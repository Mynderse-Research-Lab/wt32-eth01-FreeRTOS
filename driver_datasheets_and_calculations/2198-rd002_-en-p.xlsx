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docProps/custom.xml" ContentType="application/vnd.openxmlformats-officedocument.custom-properties+xml"/>
  <Override PartName="/xl/threadedComments/threadedComment2.xml" ContentType="application/vnd.ms-excel.threadedcomments+xml"/>
  <Override PartName="/xl/comments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228"/>
  <workbookPr codeName="ThisWorkbook"/>
  <mc:AlternateContent xmlns:mc="http://schemas.openxmlformats.org/markup-compatibility/2006">
    <mc:Choice Requires="x15">
      <x15ac:absPath xmlns:x15ac="http://schemas.microsoft.com/office/spreadsheetml/2010/11/ac" url="C:\Users\bskotows\Documents\Ironman K5100 CM3\2198-UM004C\2198-UM004C_Fault_and_Parameters\"/>
    </mc:Choice>
  </mc:AlternateContent>
  <xr:revisionPtr revIDLastSave="0" documentId="13_ncr:1_{415C7974-1321-42AD-8DFC-7A4071DE1109}" xr6:coauthVersionLast="47" xr6:coauthVersionMax="47" xr10:uidLastSave="{00000000-0000-0000-0000-000000000000}"/>
  <bookViews>
    <workbookView xWindow="57480" yWindow="-120" windowWidth="29040" windowHeight="15840" xr2:uid="{00000000-000D-0000-FFFF-FFFF00000000}"/>
  </bookViews>
  <sheets>
    <sheet name="Introduction" sheetId="24" r:id="rId1"/>
    <sheet name="Summary of Changes" sheetId="21" r:id="rId2"/>
    <sheet name="1 - Motor" sheetId="8" r:id="rId3"/>
    <sheet name="2 - Drive" sheetId="10" r:id="rId4"/>
    <sheet name="3 - General" sheetId="11" r:id="rId5"/>
    <sheet name="4 - Status Monitor" sheetId="12" r:id="rId6"/>
    <sheet name="5 - Control" sheetId="13" r:id="rId7"/>
    <sheet name="6 - IO" sheetId="14" r:id="rId8"/>
    <sheet name="7 - Communication" sheetId="15" r:id="rId9"/>
    <sheet name="8 - Diagnosis" sheetId="16" r:id="rId10"/>
    <sheet name="9 - Motion" sheetId="17" r:id="rId11"/>
    <sheet name="Sheet1" sheetId="22" state="hidden" r:id="rId12"/>
    <sheet name="Detailed Definitions" sheetId="19" r:id="rId13"/>
  </sheets>
  <externalReferences>
    <externalReference r:id="rId14"/>
    <externalReference r:id="rId15"/>
  </externalReferences>
  <definedNames>
    <definedName name="_xlnm._FilterDatabase" localSheetId="2" hidden="1">'1 - Motor'!$A$4:$P$4</definedName>
    <definedName name="_xlnm._FilterDatabase" localSheetId="10" hidden="1">'9 - Motion'!$A$4:$P$122</definedName>
    <definedName name="_xlnm._FilterDatabase" localSheetId="11" hidden="1">Sheet1!$A$3:$BC$699</definedName>
    <definedName name="ADD_Dint_L63_Time">'[1]Ladder Instructions'!#REF!</definedName>
    <definedName name="ADD_DINT_L75_Mem_20">'[1]Ladder Instructions'!#REF!</definedName>
    <definedName name="ADD_Dint_L75_STTime_20">'[1]Structured Text'!#REF!</definedName>
    <definedName name="ADD_Dint_L75_Time_20">'[1]Ladder Instructions'!#REF!</definedName>
    <definedName name="ADD_DINT_Mem">'[1]Ladder Instructions'!#REF!</definedName>
    <definedName name="ADD_DINT_Mem_18">'[1]Ladder Instructions'!#REF!</definedName>
    <definedName name="ADD_Real_L63_Time">'[1]Ladder Instructions'!#REF!</definedName>
    <definedName name="ADD_Real_L75_Mem_20">'[1]Ladder Instructions'!#REF!</definedName>
    <definedName name="ADD_Real_L75_Time_20">'[1]Ladder Instructions'!#REF!</definedName>
    <definedName name="ADD_Real_Mem">'[1]Ladder Instructions'!#REF!</definedName>
    <definedName name="array_indexes" localSheetId="0">Introduction!#REF!</definedName>
    <definedName name="array_indexes">[2]Introduction!#REF!</definedName>
    <definedName name="Array_Subscript_L75_Mem_20">#REF!</definedName>
    <definedName name="Array_Subscript_L75_Time_20">#REF!</definedName>
    <definedName name="ArrayTime">#REF!</definedName>
    <definedName name="Conv_Dint_Int">#REF!</definedName>
    <definedName name="Conv_Dint_Int_Mem">#REF!</definedName>
    <definedName name="Conv_Dint_Real">#REF!</definedName>
    <definedName name="Conv_Dint_Real_Mem">#REF!</definedName>
    <definedName name="Conv_Int_Dint">#REF!</definedName>
    <definedName name="Conv_Int_Dint_Mem">#REF!</definedName>
    <definedName name="Conv_Real_Dint">#REF!</definedName>
    <definedName name="Conv_Real_Dint_Mem">#REF!</definedName>
    <definedName name="CPT_L63_Time">'[1]Ladder Instructions'!#REF!</definedName>
    <definedName name="CPT_L75_Mem_20">'[1]Ladder Instructions'!#REF!</definedName>
    <definedName name="CPT_L75_Time_20">'[1]Ladder Instructions'!#REF!</definedName>
    <definedName name="CPT_Mem">'[1]Ladder Instructions'!#REF!</definedName>
    <definedName name="Data_Conversions" localSheetId="0">Introduction!#REF!</definedName>
    <definedName name="Data_Conversions">[2]Introduction!#REF!</definedName>
    <definedName name="data_conversions_time" localSheetId="0">Introduction!#REF!</definedName>
    <definedName name="data_conversions_time">[2]Introduction!#REF!</definedName>
    <definedName name="Function_Block_Elements" localSheetId="0">Introduction!#REF!</definedName>
    <definedName name="Function_Block_Elements">[2]Introduction!#REF!</definedName>
    <definedName name="ladder_logic_instructions" localSheetId="0">Introduction!#REF!</definedName>
    <definedName name="ladder_logic_instructions">[2]Introduction!#REF!</definedName>
    <definedName name="LadderInstructionTimes" localSheetId="0">Introduction!#REF!</definedName>
    <definedName name="LadderInstructionTimes">[2]Introduction!#REF!</definedName>
    <definedName name="Motion_Tasks" localSheetId="0">Introduction!#REF!</definedName>
    <definedName name="Motion_Tasks">[2]Introduction!#REF!</definedName>
    <definedName name="SFCs">[1]SFC!#REF!</definedName>
    <definedName name="structured_text_constructs" localSheetId="0">Introduction!#REF!</definedName>
    <definedName name="structured_text_constructs">[2]Introduction!#REF!</definedName>
    <definedName name="Z_45CCA0F0_7C53_46EC_A1AB_8850B8A8BB00_.wvu.Cols" localSheetId="2" hidden="1">'1 - Motor'!$B:$B,'1 - Motor'!$L:$O</definedName>
    <definedName name="Z_45CCA0F0_7C53_46EC_A1AB_8850B8A8BB00_.wvu.Cols" localSheetId="3" hidden="1">'2 - Drive'!$L:$O</definedName>
    <definedName name="Z_45CCA0F0_7C53_46EC_A1AB_8850B8A8BB00_.wvu.Cols" localSheetId="4" hidden="1">'3 - General'!$L:$O</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738" i="22" l="1"/>
  <c r="W737" i="22"/>
  <c r="W736" i="22"/>
  <c r="W735" i="22"/>
  <c r="W734" i="22"/>
  <c r="W733" i="22"/>
  <c r="U701" i="22"/>
  <c r="W699" i="22"/>
  <c r="W698" i="22"/>
  <c r="A695" i="22"/>
  <c r="A696" i="22" s="1"/>
  <c r="A697" i="22" s="1"/>
  <c r="A698" i="22" s="1"/>
  <c r="A699" i="22" s="1"/>
  <c r="A691" i="22"/>
  <c r="W678" i="22"/>
  <c r="W677" i="22"/>
  <c r="W676" i="22"/>
  <c r="W665" i="22"/>
  <c r="W664" i="22"/>
  <c r="W663" i="22"/>
  <c r="W662" i="22"/>
  <c r="W661" i="22"/>
  <c r="W660" i="22"/>
  <c r="W659" i="22"/>
  <c r="W658" i="22"/>
  <c r="W614" i="22"/>
  <c r="W117" i="22"/>
  <c r="W116" i="22"/>
  <c r="W115" i="22"/>
  <c r="W114" i="22"/>
  <c r="W113" i="22"/>
  <c r="W112" i="22"/>
  <c r="W111" i="22"/>
  <c r="W110" i="22"/>
  <c r="W107" i="22"/>
  <c r="W106" i="22"/>
  <c r="W105" i="22"/>
  <c r="W104" i="22"/>
  <c r="A104" i="22"/>
  <c r="A105" i="22" s="1"/>
  <c r="A106" i="22" s="1"/>
  <c r="A107" i="22" s="1"/>
  <c r="A108" i="22" s="1"/>
  <c r="A109" i="22" s="1"/>
  <c r="A110" i="22" s="1"/>
  <c r="A111" i="22" s="1"/>
  <c r="A112" i="22" s="1"/>
  <c r="A113" i="22" s="1"/>
  <c r="A114" i="22" s="1"/>
  <c r="A115" i="22" s="1"/>
  <c r="A116" i="22" s="1"/>
  <c r="A117" i="22" s="1"/>
  <c r="A118" i="22" s="1"/>
  <c r="A119" i="22" s="1"/>
  <c r="A120" i="22" s="1"/>
  <c r="A121" i="22" s="1"/>
  <c r="A122" i="22" s="1"/>
  <c r="A123" i="22" s="1"/>
  <c r="A124" i="22" s="1"/>
  <c r="A125" i="22" s="1"/>
  <c r="A126" i="22" s="1"/>
  <c r="A127" i="22" s="1"/>
  <c r="A128" i="22" s="1"/>
  <c r="A129" i="22" s="1"/>
  <c r="A130" i="22" s="1"/>
  <c r="A131" i="22" s="1"/>
  <c r="A132" i="22" s="1"/>
  <c r="A133" i="22" s="1"/>
  <c r="A134" i="22" s="1"/>
  <c r="A135" i="22" s="1"/>
  <c r="A136" i="22" s="1"/>
  <c r="A137" i="22" s="1"/>
  <c r="A138" i="22" s="1"/>
  <c r="A139" i="22" s="1"/>
  <c r="A140" i="22" s="1"/>
  <c r="A141" i="22" s="1"/>
  <c r="A142" i="22" s="1"/>
  <c r="A143" i="22" s="1"/>
  <c r="A144" i="22" s="1"/>
  <c r="A145" i="22" s="1"/>
  <c r="A146" i="22" s="1"/>
  <c r="A147" i="22" s="1"/>
  <c r="A148" i="22" s="1"/>
  <c r="A149" i="22" s="1"/>
  <c r="A150" i="22" s="1"/>
  <c r="A151" i="22" s="1"/>
  <c r="A152" i="22" s="1"/>
  <c r="A153" i="22" s="1"/>
  <c r="A154" i="22" s="1"/>
  <c r="A155" i="22" s="1"/>
  <c r="A156" i="22" s="1"/>
  <c r="A157" i="22" s="1"/>
  <c r="A158" i="22" s="1"/>
  <c r="A159" i="22" s="1"/>
  <c r="A160" i="22" s="1"/>
  <c r="A161" i="22" s="1"/>
  <c r="A162" i="22" s="1"/>
  <c r="A163" i="22" s="1"/>
  <c r="A164" i="22" s="1"/>
  <c r="A165" i="22" s="1"/>
  <c r="A166" i="22" s="1"/>
  <c r="A167" i="22" s="1"/>
  <c r="A168" i="22" s="1"/>
  <c r="A169" i="22" s="1"/>
  <c r="A170" i="22" s="1"/>
  <c r="A171" i="22" s="1"/>
  <c r="A172" i="22" s="1"/>
  <c r="A173" i="22" s="1"/>
  <c r="A174" i="22" s="1"/>
  <c r="A175" i="22" s="1"/>
  <c r="A176" i="22" s="1"/>
  <c r="A177" i="22" s="1"/>
  <c r="A178" i="22" s="1"/>
  <c r="A179" i="22" s="1"/>
  <c r="A180" i="22" s="1"/>
  <c r="A181" i="22" s="1"/>
  <c r="A182" i="22" s="1"/>
  <c r="A183" i="22" s="1"/>
  <c r="A184" i="22" s="1"/>
  <c r="A185" i="22" s="1"/>
  <c r="A186" i="22" s="1"/>
  <c r="A187" i="22" s="1"/>
  <c r="A188" i="22" s="1"/>
  <c r="A189" i="22" s="1"/>
  <c r="A190" i="22" s="1"/>
  <c r="A191" i="22" s="1"/>
  <c r="A192" i="22" s="1"/>
  <c r="A193" i="22" s="1"/>
  <c r="A194" i="22" s="1"/>
  <c r="A195" i="22" s="1"/>
  <c r="A196" i="22" s="1"/>
  <c r="A197" i="22" s="1"/>
  <c r="A198" i="22" s="1"/>
  <c r="A199" i="22" s="1"/>
  <c r="A200" i="22" s="1"/>
  <c r="A201" i="22" s="1"/>
  <c r="A202" i="22" s="1"/>
  <c r="A203" i="22" s="1"/>
  <c r="A204" i="22" s="1"/>
  <c r="A205" i="22" s="1"/>
  <c r="A206" i="22" s="1"/>
  <c r="A207" i="22" s="1"/>
  <c r="A208" i="22" s="1"/>
  <c r="A209" i="22" s="1"/>
  <c r="A210" i="22" s="1"/>
  <c r="A211" i="22" s="1"/>
  <c r="A212" i="22" s="1"/>
  <c r="A213" i="22" s="1"/>
  <c r="A214" i="22" s="1"/>
  <c r="A215" i="22" s="1"/>
  <c r="A216" i="22" s="1"/>
  <c r="A217" i="22" s="1"/>
  <c r="A218" i="22" s="1"/>
  <c r="A219" i="22" s="1"/>
  <c r="A220" i="22" s="1"/>
  <c r="A221" i="22" s="1"/>
  <c r="A222" i="22" s="1"/>
  <c r="A223" i="22" s="1"/>
  <c r="A224" i="22" s="1"/>
  <c r="A225" i="22" s="1"/>
  <c r="A226" i="22" s="1"/>
  <c r="A227" i="22" s="1"/>
  <c r="A228" i="22" s="1"/>
  <c r="A229" i="22" s="1"/>
  <c r="A230" i="22" s="1"/>
  <c r="A231" i="22" s="1"/>
  <c r="A232" i="22" s="1"/>
  <c r="A233" i="22" s="1"/>
  <c r="A234" i="22" s="1"/>
  <c r="A235" i="22" s="1"/>
  <c r="A236" i="22" s="1"/>
  <c r="A237" i="22" s="1"/>
  <c r="A238" i="22" s="1"/>
  <c r="A239" i="22" s="1"/>
  <c r="A240" i="22" s="1"/>
  <c r="A241" i="22" s="1"/>
  <c r="A242" i="22" s="1"/>
  <c r="A243" i="22" s="1"/>
  <c r="A244" i="22" s="1"/>
  <c r="A245" i="22" s="1"/>
  <c r="A246" i="22" s="1"/>
  <c r="A247" i="22" s="1"/>
  <c r="A248" i="22" s="1"/>
  <c r="A249" i="22" s="1"/>
  <c r="A250" i="22" s="1"/>
  <c r="A251" i="22" s="1"/>
  <c r="A252" i="22" s="1"/>
  <c r="A253" i="22" s="1"/>
  <c r="A254" i="22" s="1"/>
  <c r="A255" i="22" s="1"/>
  <c r="A256" i="22" s="1"/>
  <c r="A257" i="22" s="1"/>
  <c r="A258" i="22" s="1"/>
  <c r="A259" i="22" s="1"/>
  <c r="A260" i="22" s="1"/>
  <c r="A261" i="22" s="1"/>
  <c r="A262" i="22" s="1"/>
  <c r="A263" i="22" s="1"/>
  <c r="A264" i="22" s="1"/>
  <c r="A265" i="22" s="1"/>
  <c r="A266" i="22" s="1"/>
  <c r="A267" i="22" s="1"/>
  <c r="A268" i="22" s="1"/>
  <c r="A269" i="22" s="1"/>
  <c r="A271" i="22" s="1"/>
  <c r="A272" i="22" s="1"/>
  <c r="A273" i="22" s="1"/>
  <c r="A274" i="22" s="1"/>
  <c r="A275" i="22" s="1"/>
  <c r="A276" i="22" s="1"/>
  <c r="A277" i="22" s="1"/>
  <c r="A278" i="22" s="1"/>
  <c r="A279" i="22" s="1"/>
  <c r="A280" i="22" s="1"/>
  <c r="A281" i="22" s="1"/>
  <c r="A282" i="22" s="1"/>
  <c r="A283" i="22" s="1"/>
  <c r="A284" i="22" s="1"/>
  <c r="A285" i="22" s="1"/>
  <c r="A286" i="22" s="1"/>
  <c r="A287" i="22" s="1"/>
  <c r="A288" i="22" s="1"/>
  <c r="A289" i="22" s="1"/>
  <c r="A290" i="22" s="1"/>
  <c r="A291" i="22" s="1"/>
  <c r="A292" i="22" s="1"/>
  <c r="A293" i="22" s="1"/>
  <c r="A294" i="22" s="1"/>
  <c r="A295" i="22" s="1"/>
  <c r="A296" i="22" s="1"/>
  <c r="A297" i="22" s="1"/>
  <c r="A298" i="22" s="1"/>
  <c r="A299" i="22" s="1"/>
  <c r="A300" i="22" s="1"/>
  <c r="A301" i="22" s="1"/>
  <c r="A302" i="22" s="1"/>
  <c r="A303" i="22" s="1"/>
  <c r="A304" i="22" s="1"/>
  <c r="A305" i="22" s="1"/>
  <c r="A306" i="22" s="1"/>
  <c r="A307" i="22" s="1"/>
  <c r="A308" i="22" s="1"/>
  <c r="A309" i="22" s="1"/>
  <c r="A310" i="22" s="1"/>
  <c r="A311" i="22" s="1"/>
  <c r="A312" i="22" s="1"/>
  <c r="A313" i="22" s="1"/>
  <c r="A314" i="22" s="1"/>
  <c r="A315" i="22" s="1"/>
  <c r="A316" i="22" s="1"/>
  <c r="A317" i="22" s="1"/>
  <c r="A318" i="22" s="1"/>
  <c r="A319" i="22" s="1"/>
  <c r="A320" i="22" s="1"/>
  <c r="A321" i="22" s="1"/>
  <c r="A322" i="22" s="1"/>
  <c r="A323" i="22" s="1"/>
  <c r="A324" i="22" s="1"/>
  <c r="A325" i="22" s="1"/>
  <c r="A326" i="22" s="1"/>
  <c r="A327" i="22" s="1"/>
  <c r="A328" i="22" s="1"/>
  <c r="A329" i="22" s="1"/>
  <c r="A330" i="22" s="1"/>
  <c r="A331" i="22" s="1"/>
  <c r="A332" i="22" s="1"/>
  <c r="A333" i="22" s="1"/>
  <c r="A334" i="22" s="1"/>
  <c r="A335" i="22" s="1"/>
  <c r="A336" i="22" s="1"/>
  <c r="A337" i="22" s="1"/>
  <c r="A338" i="22" s="1"/>
  <c r="A339" i="22" s="1"/>
  <c r="A340" i="22" s="1"/>
  <c r="A341" i="22" s="1"/>
  <c r="A342" i="22" s="1"/>
  <c r="A343" i="22" s="1"/>
  <c r="A344" i="22" s="1"/>
  <c r="A345" i="22" s="1"/>
  <c r="A346" i="22" s="1"/>
  <c r="A347" i="22" s="1"/>
  <c r="A348" i="22" s="1"/>
  <c r="A349" i="22" s="1"/>
  <c r="A350" i="22" s="1"/>
  <c r="A351" i="22" s="1"/>
  <c r="A352" i="22" s="1"/>
  <c r="A353" i="22" s="1"/>
  <c r="A354" i="22" s="1"/>
  <c r="A355" i="22" s="1"/>
  <c r="A356" i="22" s="1"/>
  <c r="A357" i="22" s="1"/>
  <c r="A358" i="22" s="1"/>
  <c r="A359" i="22" s="1"/>
  <c r="A360" i="22" s="1"/>
  <c r="A361" i="22" s="1"/>
  <c r="A362" i="22" s="1"/>
  <c r="A363" i="22" s="1"/>
  <c r="A364" i="22" s="1"/>
  <c r="A365" i="22" s="1"/>
  <c r="A366" i="22" s="1"/>
  <c r="A367" i="22" s="1"/>
  <c r="A368" i="22" s="1"/>
  <c r="A369" i="22" s="1"/>
  <c r="A370" i="22" s="1"/>
  <c r="A371" i="22" s="1"/>
  <c r="A372" i="22" s="1"/>
  <c r="A373" i="22" s="1"/>
  <c r="A374" i="22" s="1"/>
  <c r="A375" i="22" s="1"/>
  <c r="A376" i="22" s="1"/>
  <c r="A377" i="22" s="1"/>
  <c r="A378" i="22" s="1"/>
  <c r="A379" i="22" s="1"/>
  <c r="A380" i="22" s="1"/>
  <c r="A381" i="22" s="1"/>
  <c r="A382" i="22" s="1"/>
  <c r="A383" i="22" s="1"/>
  <c r="A384" i="22" s="1"/>
  <c r="A385" i="22" s="1"/>
  <c r="A386" i="22" s="1"/>
  <c r="A387" i="22" s="1"/>
  <c r="A388" i="22" s="1"/>
  <c r="A389" i="22" s="1"/>
  <c r="A390" i="22" s="1"/>
  <c r="A391" i="22" s="1"/>
  <c r="A392" i="22" s="1"/>
  <c r="A393" i="22" s="1"/>
  <c r="A394" i="22" s="1"/>
  <c r="A395" i="22" s="1"/>
  <c r="A396" i="22" s="1"/>
  <c r="A397" i="22" s="1"/>
  <c r="A398" i="22" s="1"/>
  <c r="A399" i="22" s="1"/>
  <c r="A400" i="22" s="1"/>
  <c r="A401" i="22" s="1"/>
  <c r="A402" i="22" s="1"/>
  <c r="A403" i="22" s="1"/>
  <c r="A404" i="22" s="1"/>
  <c r="A405" i="22" s="1"/>
  <c r="A406" i="22" s="1"/>
  <c r="A407" i="22" s="1"/>
  <c r="A408" i="22" s="1"/>
  <c r="A409" i="22" s="1"/>
  <c r="A410" i="22" s="1"/>
  <c r="A411" i="22" s="1"/>
  <c r="A412" i="22" s="1"/>
  <c r="A413" i="22" s="1"/>
  <c r="A414" i="22" s="1"/>
  <c r="A415" i="22" s="1"/>
  <c r="A416" i="22" s="1"/>
  <c r="A417" i="22" s="1"/>
  <c r="A418" i="22" s="1"/>
  <c r="A419" i="22" s="1"/>
  <c r="A420" i="22" s="1"/>
  <c r="A421" i="22" s="1"/>
  <c r="A422" i="22" s="1"/>
  <c r="A423" i="22" s="1"/>
  <c r="A424" i="22" s="1"/>
  <c r="A425" i="22" s="1"/>
  <c r="A426" i="22" s="1"/>
  <c r="A427" i="22" s="1"/>
  <c r="A428" i="22" s="1"/>
  <c r="A429" i="22" s="1"/>
  <c r="A430" i="22" s="1"/>
  <c r="A431" i="22" s="1"/>
  <c r="A432" i="22" s="1"/>
  <c r="A433" i="22" s="1"/>
  <c r="A434" i="22" s="1"/>
  <c r="A435" i="22" s="1"/>
  <c r="A436" i="22" s="1"/>
  <c r="A437" i="22" s="1"/>
  <c r="A438" i="22" s="1"/>
  <c r="A439" i="22" s="1"/>
  <c r="A440" i="22" s="1"/>
  <c r="A441" i="22" s="1"/>
  <c r="A442" i="22" s="1"/>
  <c r="A443" i="22" s="1"/>
  <c r="A444" i="22" s="1"/>
  <c r="A445" i="22" s="1"/>
  <c r="A446" i="22" s="1"/>
  <c r="A447" i="22" s="1"/>
  <c r="A448" i="22" s="1"/>
  <c r="A449" i="22" s="1"/>
  <c r="A450" i="22" s="1"/>
  <c r="A451" i="22" s="1"/>
  <c r="A452" i="22" s="1"/>
  <c r="A453" i="22" s="1"/>
  <c r="A454" i="22" s="1"/>
  <c r="A455" i="22" s="1"/>
  <c r="A456" i="22" s="1"/>
  <c r="A457" i="22" s="1"/>
  <c r="A458" i="22" s="1"/>
  <c r="A459" i="22" s="1"/>
  <c r="A460" i="22" s="1"/>
  <c r="A461" i="22" s="1"/>
  <c r="A462" i="22" s="1"/>
  <c r="A463" i="22" s="1"/>
  <c r="A464" i="22" s="1"/>
  <c r="A465" i="22" s="1"/>
  <c r="A466" i="22" s="1"/>
  <c r="A467" i="22" s="1"/>
  <c r="A468" i="22" s="1"/>
  <c r="A469" i="22" s="1"/>
  <c r="A470" i="22" s="1"/>
  <c r="A471" i="22" s="1"/>
  <c r="A472" i="22" s="1"/>
  <c r="A473" i="22" s="1"/>
  <c r="A474" i="22" s="1"/>
  <c r="A475" i="22" s="1"/>
  <c r="A476" i="22" s="1"/>
  <c r="A477" i="22" s="1"/>
  <c r="A478" i="22" s="1"/>
  <c r="A479" i="22" s="1"/>
  <c r="A480" i="22" s="1"/>
  <c r="A481" i="22" s="1"/>
  <c r="A482" i="22" s="1"/>
  <c r="A483" i="22" s="1"/>
  <c r="A484" i="22" s="1"/>
  <c r="A485" i="22" s="1"/>
  <c r="A486" i="22" s="1"/>
  <c r="A487" i="22" s="1"/>
  <c r="A488" i="22" s="1"/>
  <c r="A489" i="22" s="1"/>
  <c r="A490" i="22" s="1"/>
  <c r="A491" i="22" s="1"/>
  <c r="A492" i="22" s="1"/>
  <c r="A493" i="22" s="1"/>
  <c r="A494" i="22" s="1"/>
  <c r="A495" i="22" s="1"/>
  <c r="A496" i="22" s="1"/>
  <c r="A497" i="22" s="1"/>
  <c r="A498" i="22" s="1"/>
  <c r="A499" i="22" s="1"/>
  <c r="A500" i="22" s="1"/>
  <c r="A501" i="22" s="1"/>
  <c r="A502" i="22" s="1"/>
  <c r="A503" i="22" s="1"/>
  <c r="A504" i="22" s="1"/>
  <c r="A505" i="22" s="1"/>
  <c r="A506" i="22" s="1"/>
  <c r="A507" i="22" s="1"/>
  <c r="A508" i="22" s="1"/>
  <c r="A509" i="22" s="1"/>
  <c r="A510" i="22" s="1"/>
  <c r="A511" i="22" s="1"/>
  <c r="A512" i="22" s="1"/>
  <c r="A513" i="22" s="1"/>
  <c r="A514" i="22" s="1"/>
  <c r="A515" i="22" s="1"/>
  <c r="A516" i="22" s="1"/>
  <c r="A517" i="22" s="1"/>
  <c r="A518" i="22" s="1"/>
  <c r="A519" i="22" s="1"/>
  <c r="A520" i="22" s="1"/>
  <c r="A521" i="22" s="1"/>
  <c r="A522" i="22" s="1"/>
  <c r="A523" i="22" s="1"/>
  <c r="A524" i="22" s="1"/>
  <c r="A525" i="22" s="1"/>
  <c r="A526" i="22" s="1"/>
  <c r="A527" i="22" s="1"/>
  <c r="A528" i="22" s="1"/>
  <c r="A529" i="22" s="1"/>
  <c r="A530" i="22" s="1"/>
  <c r="A531" i="22" s="1"/>
  <c r="A532" i="22" s="1"/>
  <c r="A533" i="22" s="1"/>
  <c r="A534" i="22" s="1"/>
  <c r="A535" i="22" s="1"/>
  <c r="A536" i="22" s="1"/>
  <c r="A537" i="22" s="1"/>
  <c r="A538" i="22" s="1"/>
  <c r="A539" i="22" s="1"/>
  <c r="A540" i="22" s="1"/>
  <c r="A541" i="22" s="1"/>
  <c r="A542" i="22" s="1"/>
  <c r="A543" i="22" s="1"/>
  <c r="A544" i="22" s="1"/>
  <c r="A545" i="22" s="1"/>
  <c r="A546" i="22" s="1"/>
  <c r="A547" i="22" s="1"/>
  <c r="A548" i="22" s="1"/>
  <c r="A549" i="22" s="1"/>
  <c r="A550" i="22" s="1"/>
  <c r="A551" i="22" s="1"/>
  <c r="A552" i="22" s="1"/>
  <c r="A553" i="22" s="1"/>
  <c r="A554" i="22" s="1"/>
  <c r="A555" i="22" s="1"/>
  <c r="A556" i="22" s="1"/>
  <c r="A557" i="22" s="1"/>
  <c r="A558" i="22" s="1"/>
  <c r="A559" i="22" s="1"/>
  <c r="A560" i="22" s="1"/>
  <c r="A561" i="22" s="1"/>
  <c r="A562" i="22" s="1"/>
  <c r="A563" i="22" s="1"/>
  <c r="A564" i="22" s="1"/>
  <c r="A565" i="22" s="1"/>
  <c r="A566" i="22" s="1"/>
  <c r="A567" i="22" s="1"/>
  <c r="A568" i="22" s="1"/>
  <c r="A569" i="22" s="1"/>
  <c r="A570" i="22" s="1"/>
  <c r="A571" i="22" s="1"/>
  <c r="A572" i="22" s="1"/>
  <c r="A573" i="22" s="1"/>
  <c r="A574" i="22" s="1"/>
  <c r="A575" i="22" s="1"/>
  <c r="A576" i="22" s="1"/>
  <c r="A577" i="22" s="1"/>
  <c r="A578" i="22" s="1"/>
  <c r="A579" i="22" s="1"/>
  <c r="A580" i="22" s="1"/>
  <c r="A581" i="22" s="1"/>
  <c r="A582" i="22" s="1"/>
  <c r="A583" i="22" s="1"/>
  <c r="A584" i="22" s="1"/>
  <c r="A585" i="22" s="1"/>
  <c r="A586" i="22" s="1"/>
  <c r="A587" i="22" s="1"/>
  <c r="A588" i="22" s="1"/>
  <c r="A589" i="22" s="1"/>
  <c r="A590" i="22" s="1"/>
  <c r="A591" i="22" s="1"/>
  <c r="A592" i="22" s="1"/>
  <c r="A593" i="22" s="1"/>
  <c r="A594" i="22" s="1"/>
  <c r="A595" i="22" s="1"/>
  <c r="A596" i="22" s="1"/>
  <c r="A597" i="22" s="1"/>
  <c r="A598" i="22" s="1"/>
  <c r="A599" i="22" s="1"/>
  <c r="A600" i="22" s="1"/>
  <c r="A601" i="22" s="1"/>
  <c r="A602" i="22" s="1"/>
  <c r="A603" i="22" s="1"/>
  <c r="A604" i="22" s="1"/>
  <c r="A605" i="22" s="1"/>
  <c r="A606" i="22" s="1"/>
  <c r="A607" i="22" s="1"/>
  <c r="A608" i="22" s="1"/>
  <c r="A609" i="22" s="1"/>
  <c r="A610" i="22" s="1"/>
  <c r="A611" i="22" s="1"/>
  <c r="A612" i="22" s="1"/>
  <c r="A613" i="22" s="1"/>
  <c r="A614" i="22" s="1"/>
  <c r="A615" i="22" s="1"/>
  <c r="A616" i="22" s="1"/>
  <c r="A617" i="22" s="1"/>
  <c r="A618" i="22" s="1"/>
  <c r="A619" i="22" s="1"/>
  <c r="A620" i="22" s="1"/>
  <c r="A621" i="22" s="1"/>
  <c r="A622" i="22" s="1"/>
  <c r="A623" i="22" s="1"/>
  <c r="A624" i="22" s="1"/>
  <c r="A625" i="22" s="1"/>
  <c r="A626" i="22" s="1"/>
  <c r="A627" i="22" s="1"/>
  <c r="A628" i="22" s="1"/>
  <c r="A629" i="22" s="1"/>
  <c r="A630" i="22" s="1"/>
  <c r="A631" i="22" s="1"/>
  <c r="A632" i="22" s="1"/>
  <c r="A633" i="22" s="1"/>
  <c r="A634" i="22" s="1"/>
  <c r="A635" i="22" s="1"/>
  <c r="A636" i="22" s="1"/>
  <c r="A637" i="22" s="1"/>
  <c r="A638" i="22" s="1"/>
  <c r="A639" i="22" s="1"/>
  <c r="A640" i="22" s="1"/>
  <c r="A641" i="22" s="1"/>
  <c r="A642" i="22" s="1"/>
  <c r="A643" i="22" s="1"/>
  <c r="A644" i="22" s="1"/>
  <c r="A645" i="22" s="1"/>
  <c r="A646" i="22" s="1"/>
  <c r="A647" i="22" s="1"/>
  <c r="A648" i="22" s="1"/>
  <c r="A649" i="22" s="1"/>
  <c r="A650" i="22" s="1"/>
  <c r="A651" i="22" s="1"/>
  <c r="A652" i="22" s="1"/>
  <c r="A653" i="22" s="1"/>
  <c r="A654" i="22" s="1"/>
  <c r="A655" i="22" s="1"/>
  <c r="A656" i="22" s="1"/>
  <c r="A657" i="22" s="1"/>
  <c r="A270" i="22" s="1"/>
  <c r="A658" i="22" s="1"/>
  <c r="A659" i="22" s="1"/>
  <c r="A660" i="22" s="1"/>
  <c r="A661" i="22" s="1"/>
  <c r="A662" i="22" s="1"/>
  <c r="A663" i="22" s="1"/>
  <c r="A664" i="22" s="1"/>
  <c r="A665" i="22" s="1"/>
  <c r="A666" i="22" s="1"/>
  <c r="A667" i="22" s="1"/>
  <c r="A668" i="22" s="1"/>
  <c r="A669" i="22" s="1"/>
  <c r="A670" i="22" s="1"/>
  <c r="A671" i="22" s="1"/>
  <c r="A672" i="22" s="1"/>
  <c r="A673" i="22" s="1"/>
  <c r="A674" i="22" s="1"/>
  <c r="A675" i="22" s="1"/>
  <c r="W103" i="22"/>
  <c r="W67" i="22"/>
  <c r="W66" i="22"/>
  <c r="W65" i="22"/>
  <c r="W64" i="22"/>
  <c r="W63" i="22"/>
  <c r="W62" i="22"/>
  <c r="W61" i="22"/>
  <c r="W60" i="22"/>
  <c r="W59" i="22"/>
  <c r="W58" i="22"/>
  <c r="A37" i="22"/>
  <c r="A38" i="22" s="1"/>
  <c r="A39" i="22" s="1"/>
  <c r="A40" i="22" s="1"/>
  <c r="A41" i="22" s="1"/>
  <c r="A42" i="22" s="1"/>
  <c r="A43" i="22" s="1"/>
  <c r="A44" i="22" s="1"/>
  <c r="A45" i="22" s="1"/>
  <c r="A46" i="22" s="1"/>
  <c r="A47" i="22" s="1"/>
  <c r="A48" i="22" s="1"/>
  <c r="A49" i="22" s="1"/>
  <c r="A50" i="22" s="1"/>
  <c r="A51" i="22" s="1"/>
  <c r="A52" i="22" s="1"/>
  <c r="A53" i="22" s="1"/>
  <c r="A54" i="22" s="1"/>
  <c r="A55" i="22" s="1"/>
  <c r="A56" i="22" s="1"/>
  <c r="A57" i="22" s="1"/>
  <c r="A58" i="22" s="1"/>
  <c r="A59" i="22" s="1"/>
  <c r="A60" i="22" s="1"/>
  <c r="A61" i="22" s="1"/>
  <c r="A62" i="22" s="1"/>
  <c r="A63" i="22" s="1"/>
  <c r="A64" i="22" s="1"/>
  <c r="A65" i="22" s="1"/>
  <c r="A66" i="22" s="1"/>
  <c r="A67" i="22" s="1"/>
  <c r="A68" i="22" s="1"/>
  <c r="A69" i="22" s="1"/>
  <c r="A70" i="22" s="1"/>
  <c r="A71" i="22" s="1"/>
  <c r="A72" i="22" s="1"/>
  <c r="A73" i="22" s="1"/>
  <c r="A74" i="22" s="1"/>
  <c r="A75" i="22" s="1"/>
  <c r="A76" i="22" s="1"/>
  <c r="A77" i="22" s="1"/>
  <c r="A78" i="22" s="1"/>
  <c r="A79" i="22" s="1"/>
  <c r="A80" i="22" s="1"/>
  <c r="A81" i="22" s="1"/>
  <c r="A82" i="22" s="1"/>
  <c r="A83" i="22" s="1"/>
  <c r="A84" i="22" s="1"/>
  <c r="A85" i="22" s="1"/>
  <c r="A86" i="22" s="1"/>
  <c r="A87" i="22" s="1"/>
  <c r="A88" i="22" s="1"/>
  <c r="A89" i="22" s="1"/>
  <c r="A90" i="22" s="1"/>
  <c r="A91" i="22" s="1"/>
  <c r="A92" i="22" s="1"/>
  <c r="A93" i="22" s="1"/>
  <c r="A94" i="22" s="1"/>
  <c r="A95" i="22" s="1"/>
  <c r="A96" i="22" s="1"/>
  <c r="A97" i="22" s="1"/>
  <c r="A98" i="22" s="1"/>
  <c r="A99" i="22" s="1"/>
  <c r="A100" i="22" s="1"/>
  <c r="A101" i="22" s="1"/>
  <c r="A102" i="22" s="1"/>
  <c r="W16" i="22"/>
  <c r="W15" i="22"/>
  <c r="W14" i="22"/>
  <c r="W13" i="22"/>
  <c r="W12" i="22"/>
  <c r="W11" i="22"/>
  <c r="W9" i="22"/>
  <c r="W8" i="22"/>
  <c r="W7" i="22"/>
  <c r="W5" i="22"/>
  <c r="W4" i="22"/>
  <c r="G6" i="17" l="1"/>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5" i="17"/>
  <c r="G6" i="16"/>
  <c r="G7" i="16"/>
  <c r="G8" i="16"/>
  <c r="G9" i="16"/>
  <c r="G10" i="16"/>
  <c r="G11" i="16"/>
  <c r="G12" i="16"/>
  <c r="G13" i="16"/>
  <c r="G5" i="16"/>
  <c r="G6" i="15"/>
  <c r="G7" i="15"/>
  <c r="G8" i="15"/>
  <c r="G9" i="15"/>
  <c r="G10" i="15"/>
  <c r="G11" i="15"/>
  <c r="G5" i="15"/>
  <c r="G6" i="14"/>
  <c r="G7" i="14"/>
  <c r="G8" i="14"/>
  <c r="G9" i="14"/>
  <c r="G10" i="14"/>
  <c r="G11" i="14"/>
  <c r="G12" i="14"/>
  <c r="G13" i="14"/>
  <c r="G14" i="14"/>
  <c r="G15" i="14"/>
  <c r="G16" i="14"/>
  <c r="G17" i="14"/>
  <c r="G18" i="14"/>
  <c r="G19" i="14"/>
  <c r="G20" i="14"/>
  <c r="G21" i="14"/>
  <c r="G22" i="14"/>
  <c r="G23" i="14"/>
  <c r="G24" i="14"/>
  <c r="G25" i="14"/>
  <c r="G26" i="14"/>
  <c r="G27" i="14"/>
  <c r="G28" i="14"/>
  <c r="G29" i="14"/>
  <c r="G5" i="14"/>
  <c r="G6" i="13"/>
  <c r="G7" i="13"/>
  <c r="G8" i="13"/>
  <c r="G9" i="13"/>
  <c r="G10" i="13"/>
  <c r="G11" i="13"/>
  <c r="G12" i="13"/>
  <c r="G13" i="13"/>
  <c r="G14" i="13"/>
  <c r="G15" i="13"/>
  <c r="G16" i="13"/>
  <c r="G17" i="13"/>
  <c r="G18" i="13"/>
  <c r="G19" i="13"/>
  <c r="G20" i="13"/>
  <c r="G21" i="13"/>
  <c r="G22" i="13"/>
  <c r="G23" i="13"/>
  <c r="G24" i="13"/>
  <c r="G25" i="13"/>
  <c r="G26" i="13"/>
  <c r="G27" i="13"/>
  <c r="G28" i="13"/>
  <c r="G29" i="13"/>
  <c r="G30" i="13"/>
  <c r="G31" i="13"/>
  <c r="G32" i="13"/>
  <c r="G33" i="13"/>
  <c r="G34" i="13"/>
  <c r="G35" i="13"/>
  <c r="G36" i="13"/>
  <c r="G37" i="13"/>
  <c r="G38" i="13"/>
  <c r="G39" i="13"/>
  <c r="G40" i="13"/>
  <c r="G41" i="13"/>
  <c r="G42" i="13"/>
  <c r="G43" i="13"/>
  <c r="G44" i="13"/>
  <c r="G45" i="13"/>
  <c r="G46" i="13"/>
  <c r="G47" i="13"/>
  <c r="G48" i="13"/>
  <c r="G49" i="13"/>
  <c r="G50" i="13"/>
  <c r="G51" i="13"/>
  <c r="G52" i="13"/>
  <c r="G53" i="13"/>
  <c r="G54" i="13"/>
  <c r="G55" i="13"/>
  <c r="G56" i="13"/>
  <c r="G57" i="13"/>
  <c r="G58" i="13"/>
  <c r="G59" i="13"/>
  <c r="G60" i="13"/>
  <c r="G61" i="13"/>
  <c r="G62" i="13"/>
  <c r="G63" i="13"/>
  <c r="G64" i="13"/>
  <c r="G65" i="13"/>
  <c r="G66" i="13"/>
  <c r="G5" i="13"/>
  <c r="G6" i="12"/>
  <c r="G7" i="12"/>
  <c r="G8" i="12"/>
  <c r="G9" i="12"/>
  <c r="G10" i="12"/>
  <c r="G11" i="12"/>
  <c r="G12" i="12"/>
  <c r="G13" i="12"/>
  <c r="G14" i="12"/>
  <c r="G15" i="12"/>
  <c r="G16" i="12"/>
  <c r="G17" i="12"/>
  <c r="G18" i="12"/>
  <c r="G19" i="12"/>
  <c r="G20" i="12"/>
  <c r="G21" i="12"/>
  <c r="G22" i="12"/>
  <c r="G23" i="12"/>
  <c r="G24" i="12"/>
  <c r="G25" i="12"/>
  <c r="G26" i="12"/>
  <c r="G27" i="12"/>
  <c r="G28" i="12"/>
  <c r="G29" i="12"/>
  <c r="G5" i="12"/>
  <c r="G101" i="11"/>
  <c r="G100" i="11"/>
  <c r="G99" i="11"/>
  <c r="G98" i="11"/>
  <c r="G97" i="11"/>
  <c r="G96" i="11"/>
  <c r="G95" i="11"/>
  <c r="G94" i="11"/>
  <c r="G93" i="11"/>
  <c r="G92" i="11"/>
  <c r="G91" i="11"/>
  <c r="G90" i="11"/>
  <c r="G89" i="11"/>
  <c r="G88" i="11"/>
  <c r="G87" i="11"/>
  <c r="G86" i="11"/>
  <c r="G85" i="11"/>
  <c r="G84" i="11"/>
  <c r="G83" i="11"/>
  <c r="G82" i="11"/>
  <c r="G81" i="11"/>
  <c r="G80" i="11"/>
  <c r="G79" i="11"/>
  <c r="G78" i="11"/>
  <c r="G77" i="11"/>
  <c r="G76" i="11"/>
  <c r="G75" i="11"/>
  <c r="G74" i="11"/>
  <c r="G73" i="11"/>
  <c r="G72" i="11"/>
  <c r="G71" i="11"/>
  <c r="G70" i="11"/>
  <c r="G69" i="11"/>
  <c r="G68" i="11"/>
  <c r="G67" i="11"/>
  <c r="G66" i="11"/>
  <c r="G65" i="11"/>
  <c r="G64" i="11"/>
  <c r="G63" i="11"/>
  <c r="G62" i="11"/>
  <c r="G61" i="11"/>
  <c r="G60" i="11"/>
  <c r="G59" i="11"/>
  <c r="G58" i="11"/>
  <c r="G57" i="11"/>
  <c r="G56" i="11"/>
  <c r="G55" i="11"/>
  <c r="G54" i="11"/>
  <c r="G53" i="11"/>
  <c r="G52" i="11"/>
  <c r="G51" i="11"/>
  <c r="G50" i="11"/>
  <c r="G49" i="11"/>
  <c r="G48" i="11"/>
  <c r="G47" i="11"/>
  <c r="G46" i="11"/>
  <c r="G45" i="11"/>
  <c r="G44" i="11"/>
  <c r="G43" i="11"/>
  <c r="G42" i="11"/>
  <c r="G41" i="11"/>
  <c r="G40" i="11"/>
  <c r="G39" i="11"/>
  <c r="G38" i="11"/>
  <c r="G37" i="11"/>
  <c r="G36" i="11"/>
  <c r="G35" i="11"/>
  <c r="G34" i="11"/>
  <c r="G33" i="11"/>
  <c r="G32" i="11"/>
  <c r="G31" i="11"/>
  <c r="G30" i="11"/>
  <c r="G29" i="11"/>
  <c r="G28" i="11"/>
  <c r="G27" i="11"/>
  <c r="G26" i="11"/>
  <c r="G25" i="11"/>
  <c r="G24" i="11"/>
  <c r="G23" i="11"/>
  <c r="G22" i="11"/>
  <c r="G21" i="11"/>
  <c r="G20" i="11"/>
  <c r="G19" i="11"/>
  <c r="G18" i="11"/>
  <c r="G17" i="11"/>
  <c r="G16" i="11"/>
  <c r="G15" i="11"/>
  <c r="G14" i="11"/>
  <c r="G13" i="11"/>
  <c r="G12" i="11"/>
  <c r="G11" i="11"/>
  <c r="G10" i="11"/>
  <c r="G9" i="11"/>
  <c r="G8" i="11"/>
  <c r="G7" i="11"/>
  <c r="G6" i="11"/>
  <c r="G5" i="11"/>
  <c r="G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58" i="10"/>
  <c r="G59" i="10"/>
  <c r="G60" i="10"/>
  <c r="G61" i="10"/>
  <c r="G62" i="10"/>
  <c r="G63" i="10"/>
  <c r="G64" i="10"/>
  <c r="G65" i="10"/>
  <c r="G66" i="10"/>
  <c r="G67" i="10"/>
  <c r="G68" i="10"/>
  <c r="G69" i="10"/>
  <c r="G70" i="10"/>
  <c r="G5" i="10"/>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6" i="8"/>
  <c r="G7" i="8"/>
  <c r="G5" i="8"/>
  <c r="P66" i="13"/>
  <c r="O66" i="13"/>
  <c r="N66" i="13"/>
  <c r="M66" i="13"/>
  <c r="L66" i="13"/>
  <c r="I66" i="13"/>
  <c r="H66" i="13"/>
  <c r="F66" i="13"/>
  <c r="E66" i="13"/>
  <c r="D66" i="13"/>
  <c r="C66" i="13"/>
  <c r="B66" i="13"/>
  <c r="P65" i="13"/>
  <c r="O65" i="13"/>
  <c r="N65" i="13"/>
  <c r="M65" i="13"/>
  <c r="L65" i="13"/>
  <c r="I65" i="13"/>
  <c r="H65" i="13"/>
  <c r="F65" i="13"/>
  <c r="E65" i="13"/>
  <c r="D65" i="13"/>
  <c r="C65" i="13"/>
  <c r="B65" i="13"/>
  <c r="P64" i="13"/>
  <c r="O64" i="13"/>
  <c r="N64" i="13"/>
  <c r="M64" i="13"/>
  <c r="L64" i="13"/>
  <c r="I64" i="13"/>
  <c r="H64" i="13"/>
  <c r="F64" i="13"/>
  <c r="E64" i="13"/>
  <c r="D64" i="13"/>
  <c r="C64" i="13"/>
  <c r="B64" i="13"/>
  <c r="L6" i="17"/>
  <c r="M6" i="17"/>
  <c r="N6" i="17"/>
  <c r="O6" i="17"/>
  <c r="P6" i="17"/>
  <c r="L7" i="17"/>
  <c r="M7" i="17"/>
  <c r="N7" i="17"/>
  <c r="O7" i="17"/>
  <c r="P7" i="17"/>
  <c r="L8" i="17"/>
  <c r="M8" i="17"/>
  <c r="N8" i="17"/>
  <c r="O8" i="17"/>
  <c r="P8" i="17"/>
  <c r="L9" i="17"/>
  <c r="M9" i="17"/>
  <c r="N9" i="17"/>
  <c r="O9" i="17"/>
  <c r="P9" i="17"/>
  <c r="L10" i="17"/>
  <c r="M10" i="17"/>
  <c r="N10" i="17"/>
  <c r="O10" i="17"/>
  <c r="P10" i="17"/>
  <c r="L11" i="17"/>
  <c r="M11" i="17"/>
  <c r="N11" i="17"/>
  <c r="O11" i="17"/>
  <c r="P11" i="17"/>
  <c r="L12" i="17"/>
  <c r="M12" i="17"/>
  <c r="N12" i="17"/>
  <c r="O12" i="17"/>
  <c r="P12" i="17"/>
  <c r="L13" i="17"/>
  <c r="M13" i="17"/>
  <c r="N13" i="17"/>
  <c r="O13" i="17"/>
  <c r="P13" i="17"/>
  <c r="L14" i="17"/>
  <c r="M14" i="17"/>
  <c r="N14" i="17"/>
  <c r="O14" i="17"/>
  <c r="P14" i="17"/>
  <c r="L15" i="17"/>
  <c r="M15" i="17"/>
  <c r="N15" i="17"/>
  <c r="O15" i="17"/>
  <c r="P15" i="17"/>
  <c r="L16" i="17"/>
  <c r="M16" i="17"/>
  <c r="N16" i="17"/>
  <c r="O16" i="17"/>
  <c r="P16" i="17"/>
  <c r="L17" i="17"/>
  <c r="M17" i="17"/>
  <c r="N17" i="17"/>
  <c r="O17" i="17"/>
  <c r="P17" i="17"/>
  <c r="L18" i="17"/>
  <c r="M18" i="17"/>
  <c r="N18" i="17"/>
  <c r="O18" i="17"/>
  <c r="P18" i="17"/>
  <c r="L19" i="17"/>
  <c r="M19" i="17"/>
  <c r="N19" i="17"/>
  <c r="O19" i="17"/>
  <c r="P19" i="17"/>
  <c r="L20" i="17"/>
  <c r="M20" i="17"/>
  <c r="N20" i="17"/>
  <c r="O20" i="17"/>
  <c r="P20" i="17"/>
  <c r="L21" i="17"/>
  <c r="M21" i="17"/>
  <c r="N21" i="17"/>
  <c r="O21" i="17"/>
  <c r="P21" i="17"/>
  <c r="L22" i="17"/>
  <c r="M22" i="17"/>
  <c r="N22" i="17"/>
  <c r="O22" i="17"/>
  <c r="P22" i="17"/>
  <c r="L23" i="17"/>
  <c r="M23" i="17"/>
  <c r="N23" i="17"/>
  <c r="O23" i="17"/>
  <c r="P23" i="17"/>
  <c r="L24" i="17"/>
  <c r="M24" i="17"/>
  <c r="N24" i="17"/>
  <c r="O24" i="17"/>
  <c r="P24" i="17"/>
  <c r="L25" i="17"/>
  <c r="M25" i="17"/>
  <c r="N25" i="17"/>
  <c r="O25" i="17"/>
  <c r="P25" i="17"/>
  <c r="L26" i="17"/>
  <c r="M26" i="17"/>
  <c r="N26" i="17"/>
  <c r="O26" i="17"/>
  <c r="P26" i="17"/>
  <c r="L27" i="17"/>
  <c r="M27" i="17"/>
  <c r="N27" i="17"/>
  <c r="O27" i="17"/>
  <c r="P27" i="17"/>
  <c r="L28" i="17"/>
  <c r="M28" i="17"/>
  <c r="N28" i="17"/>
  <c r="O28" i="17"/>
  <c r="P28" i="17"/>
  <c r="L29" i="17"/>
  <c r="M29" i="17"/>
  <c r="N29" i="17"/>
  <c r="O29" i="17"/>
  <c r="P29" i="17"/>
  <c r="L30" i="17"/>
  <c r="M30" i="17"/>
  <c r="N30" i="17"/>
  <c r="O30" i="17"/>
  <c r="P30" i="17"/>
  <c r="L31" i="17"/>
  <c r="M31" i="17"/>
  <c r="N31" i="17"/>
  <c r="O31" i="17"/>
  <c r="P31" i="17"/>
  <c r="L32" i="17"/>
  <c r="M32" i="17"/>
  <c r="N32" i="17"/>
  <c r="O32" i="17"/>
  <c r="P32" i="17"/>
  <c r="L33" i="17"/>
  <c r="M33" i="17"/>
  <c r="N33" i="17"/>
  <c r="O33" i="17"/>
  <c r="P33" i="17"/>
  <c r="L34" i="17"/>
  <c r="M34" i="17"/>
  <c r="N34" i="17"/>
  <c r="O34" i="17"/>
  <c r="P34" i="17"/>
  <c r="L35" i="17"/>
  <c r="M35" i="17"/>
  <c r="N35" i="17"/>
  <c r="O35" i="17"/>
  <c r="P35" i="17"/>
  <c r="L36" i="17"/>
  <c r="M36" i="17"/>
  <c r="N36" i="17"/>
  <c r="O36" i="17"/>
  <c r="P36" i="17"/>
  <c r="L37" i="17"/>
  <c r="M37" i="17"/>
  <c r="N37" i="17"/>
  <c r="O37" i="17"/>
  <c r="P37" i="17"/>
  <c r="L38" i="17"/>
  <c r="M38" i="17"/>
  <c r="N38" i="17"/>
  <c r="O38" i="17"/>
  <c r="P38" i="17"/>
  <c r="L39" i="17"/>
  <c r="M39" i="17"/>
  <c r="N39" i="17"/>
  <c r="O39" i="17"/>
  <c r="P39" i="17"/>
  <c r="L40" i="17"/>
  <c r="M40" i="17"/>
  <c r="N40" i="17"/>
  <c r="O40" i="17"/>
  <c r="P40" i="17"/>
  <c r="L41" i="17"/>
  <c r="M41" i="17"/>
  <c r="N41" i="17"/>
  <c r="O41" i="17"/>
  <c r="P41" i="17"/>
  <c r="L42" i="17"/>
  <c r="M42" i="17"/>
  <c r="N42" i="17"/>
  <c r="O42" i="17"/>
  <c r="P42" i="17"/>
  <c r="L43" i="17"/>
  <c r="M43" i="17"/>
  <c r="N43" i="17"/>
  <c r="O43" i="17"/>
  <c r="P43" i="17"/>
  <c r="L44" i="17"/>
  <c r="M44" i="17"/>
  <c r="N44" i="17"/>
  <c r="O44" i="17"/>
  <c r="P44" i="17"/>
  <c r="L45" i="17"/>
  <c r="M45" i="17"/>
  <c r="N45" i="17"/>
  <c r="O45" i="17"/>
  <c r="P45" i="17"/>
  <c r="L46" i="17"/>
  <c r="M46" i="17"/>
  <c r="N46" i="17"/>
  <c r="O46" i="17"/>
  <c r="P46" i="17"/>
  <c r="L47" i="17"/>
  <c r="M47" i="17"/>
  <c r="N47" i="17"/>
  <c r="O47" i="17"/>
  <c r="P47" i="17"/>
  <c r="L48" i="17"/>
  <c r="M48" i="17"/>
  <c r="N48" i="17"/>
  <c r="O48" i="17"/>
  <c r="P48" i="17"/>
  <c r="L49" i="17"/>
  <c r="M49" i="17"/>
  <c r="N49" i="17"/>
  <c r="O49" i="17"/>
  <c r="P49" i="17"/>
  <c r="L50" i="17"/>
  <c r="M50" i="17"/>
  <c r="N50" i="17"/>
  <c r="O50" i="17"/>
  <c r="P50" i="17"/>
  <c r="L51" i="17"/>
  <c r="M51" i="17"/>
  <c r="N51" i="17"/>
  <c r="O51" i="17"/>
  <c r="P51" i="17"/>
  <c r="L52" i="17"/>
  <c r="M52" i="17"/>
  <c r="N52" i="17"/>
  <c r="O52" i="17"/>
  <c r="P52" i="17"/>
  <c r="L53" i="17"/>
  <c r="M53" i="17"/>
  <c r="N53" i="17"/>
  <c r="O53" i="17"/>
  <c r="P53" i="17"/>
  <c r="L54" i="17"/>
  <c r="M54" i="17"/>
  <c r="N54" i="17"/>
  <c r="O54" i="17"/>
  <c r="P54" i="17"/>
  <c r="L55" i="17"/>
  <c r="M55" i="17"/>
  <c r="N55" i="17"/>
  <c r="O55" i="17"/>
  <c r="P55" i="17"/>
  <c r="L56" i="17"/>
  <c r="M56" i="17"/>
  <c r="N56" i="17"/>
  <c r="O56" i="17"/>
  <c r="P56" i="17"/>
  <c r="L57" i="17"/>
  <c r="M57" i="17"/>
  <c r="N57" i="17"/>
  <c r="O57" i="17"/>
  <c r="P57" i="17"/>
  <c r="L58" i="17"/>
  <c r="M58" i="17"/>
  <c r="N58" i="17"/>
  <c r="O58" i="17"/>
  <c r="P58" i="17"/>
  <c r="L59" i="17"/>
  <c r="M59" i="17"/>
  <c r="N59" i="17"/>
  <c r="O59" i="17"/>
  <c r="P59" i="17"/>
  <c r="L60" i="17"/>
  <c r="M60" i="17"/>
  <c r="N60" i="17"/>
  <c r="O60" i="17"/>
  <c r="P60" i="17"/>
  <c r="L61" i="17"/>
  <c r="M61" i="17"/>
  <c r="N61" i="17"/>
  <c r="O61" i="17"/>
  <c r="P61" i="17"/>
  <c r="L62" i="17"/>
  <c r="M62" i="17"/>
  <c r="N62" i="17"/>
  <c r="O62" i="17"/>
  <c r="P62" i="17"/>
  <c r="L63" i="17"/>
  <c r="M63" i="17"/>
  <c r="N63" i="17"/>
  <c r="O63" i="17"/>
  <c r="P63" i="17"/>
  <c r="L64" i="17"/>
  <c r="M64" i="17"/>
  <c r="N64" i="17"/>
  <c r="O64" i="17"/>
  <c r="P64" i="17"/>
  <c r="L65" i="17"/>
  <c r="M65" i="17"/>
  <c r="N65" i="17"/>
  <c r="O65" i="17"/>
  <c r="P65" i="17"/>
  <c r="L66" i="17"/>
  <c r="M66" i="17"/>
  <c r="N66" i="17"/>
  <c r="O66" i="17"/>
  <c r="P66" i="17"/>
  <c r="L67" i="17"/>
  <c r="M67" i="17"/>
  <c r="N67" i="17"/>
  <c r="O67" i="17"/>
  <c r="P67" i="17"/>
  <c r="L68" i="17"/>
  <c r="M68" i="17"/>
  <c r="N68" i="17"/>
  <c r="O68" i="17"/>
  <c r="P68" i="17"/>
  <c r="L69" i="17"/>
  <c r="M69" i="17"/>
  <c r="N69" i="17"/>
  <c r="O69" i="17"/>
  <c r="P69" i="17"/>
  <c r="L70" i="17"/>
  <c r="M70" i="17"/>
  <c r="N70" i="17"/>
  <c r="O70" i="17"/>
  <c r="P70" i="17"/>
  <c r="L71" i="17"/>
  <c r="M71" i="17"/>
  <c r="N71" i="17"/>
  <c r="O71" i="17"/>
  <c r="P71" i="17"/>
  <c r="L72" i="17"/>
  <c r="M72" i="17"/>
  <c r="N72" i="17"/>
  <c r="O72" i="17"/>
  <c r="P72" i="17"/>
  <c r="L73" i="17"/>
  <c r="M73" i="17"/>
  <c r="N73" i="17"/>
  <c r="O73" i="17"/>
  <c r="P73" i="17"/>
  <c r="L74" i="17"/>
  <c r="M74" i="17"/>
  <c r="N74" i="17"/>
  <c r="O74" i="17"/>
  <c r="P74" i="17"/>
  <c r="L75" i="17"/>
  <c r="M75" i="17"/>
  <c r="N75" i="17"/>
  <c r="O75" i="17"/>
  <c r="P75" i="17"/>
  <c r="L76" i="17"/>
  <c r="M76" i="17"/>
  <c r="N76" i="17"/>
  <c r="O76" i="17"/>
  <c r="P76" i="17"/>
  <c r="L77" i="17"/>
  <c r="M77" i="17"/>
  <c r="N77" i="17"/>
  <c r="O77" i="17"/>
  <c r="P77" i="17"/>
  <c r="L78" i="17"/>
  <c r="M78" i="17"/>
  <c r="N78" i="17"/>
  <c r="O78" i="17"/>
  <c r="P78" i="17"/>
  <c r="L79" i="17"/>
  <c r="M79" i="17"/>
  <c r="N79" i="17"/>
  <c r="O79" i="17"/>
  <c r="P79" i="17"/>
  <c r="L80" i="17"/>
  <c r="M80" i="17"/>
  <c r="N80" i="17"/>
  <c r="O80" i="17"/>
  <c r="P80" i="17"/>
  <c r="L81" i="17"/>
  <c r="M81" i="17"/>
  <c r="N81" i="17"/>
  <c r="O81" i="17"/>
  <c r="P81" i="17"/>
  <c r="L82" i="17"/>
  <c r="M82" i="17"/>
  <c r="N82" i="17"/>
  <c r="O82" i="17"/>
  <c r="P82" i="17"/>
  <c r="L83" i="17"/>
  <c r="M83" i="17"/>
  <c r="N83" i="17"/>
  <c r="O83" i="17"/>
  <c r="P83" i="17"/>
  <c r="L84" i="17"/>
  <c r="M84" i="17"/>
  <c r="N84" i="17"/>
  <c r="O84" i="17"/>
  <c r="P84" i="17"/>
  <c r="L85" i="17"/>
  <c r="M85" i="17"/>
  <c r="N85" i="17"/>
  <c r="O85" i="17"/>
  <c r="P85" i="17"/>
  <c r="L86" i="17"/>
  <c r="M86" i="17"/>
  <c r="N86" i="17"/>
  <c r="O86" i="17"/>
  <c r="P86" i="17"/>
  <c r="L87" i="17"/>
  <c r="M87" i="17"/>
  <c r="N87" i="17"/>
  <c r="O87" i="17"/>
  <c r="P87" i="17"/>
  <c r="L88" i="17"/>
  <c r="M88" i="17"/>
  <c r="N88" i="17"/>
  <c r="O88" i="17"/>
  <c r="P88" i="17"/>
  <c r="L89" i="17"/>
  <c r="M89" i="17"/>
  <c r="N89" i="17"/>
  <c r="O89" i="17"/>
  <c r="P89" i="17"/>
  <c r="L90" i="17"/>
  <c r="M90" i="17"/>
  <c r="N90" i="17"/>
  <c r="O90" i="17"/>
  <c r="P90" i="17"/>
  <c r="L91" i="17"/>
  <c r="M91" i="17"/>
  <c r="N91" i="17"/>
  <c r="O91" i="17"/>
  <c r="P91" i="17"/>
  <c r="L92" i="17"/>
  <c r="M92" i="17"/>
  <c r="N92" i="17"/>
  <c r="O92" i="17"/>
  <c r="P92" i="17"/>
  <c r="L93" i="17"/>
  <c r="M93" i="17"/>
  <c r="N93" i="17"/>
  <c r="O93" i="17"/>
  <c r="P93" i="17"/>
  <c r="L94" i="17"/>
  <c r="M94" i="17"/>
  <c r="N94" i="17"/>
  <c r="O94" i="17"/>
  <c r="P94" i="17"/>
  <c r="L95" i="17"/>
  <c r="M95" i="17"/>
  <c r="N95" i="17"/>
  <c r="O95" i="17"/>
  <c r="P95" i="17"/>
  <c r="L96" i="17"/>
  <c r="M96" i="17"/>
  <c r="N96" i="17"/>
  <c r="O96" i="17"/>
  <c r="P96" i="17"/>
  <c r="L97" i="17"/>
  <c r="M97" i="17"/>
  <c r="N97" i="17"/>
  <c r="O97" i="17"/>
  <c r="P97" i="17"/>
  <c r="L98" i="17"/>
  <c r="M98" i="17"/>
  <c r="N98" i="17"/>
  <c r="O98" i="17"/>
  <c r="P98" i="17"/>
  <c r="L99" i="17"/>
  <c r="M99" i="17"/>
  <c r="N99" i="17"/>
  <c r="O99" i="17"/>
  <c r="P99" i="17"/>
  <c r="L100" i="17"/>
  <c r="M100" i="17"/>
  <c r="N100" i="17"/>
  <c r="O100" i="17"/>
  <c r="P100" i="17"/>
  <c r="L101" i="17"/>
  <c r="M101" i="17"/>
  <c r="N101" i="17"/>
  <c r="O101" i="17"/>
  <c r="P101" i="17"/>
  <c r="L102" i="17"/>
  <c r="M102" i="17"/>
  <c r="N102" i="17"/>
  <c r="O102" i="17"/>
  <c r="P102" i="17"/>
  <c r="L103" i="17"/>
  <c r="M103" i="17"/>
  <c r="N103" i="17"/>
  <c r="O103" i="17"/>
  <c r="P103" i="17"/>
  <c r="L104" i="17"/>
  <c r="M104" i="17"/>
  <c r="N104" i="17"/>
  <c r="O104" i="17"/>
  <c r="P104" i="17"/>
  <c r="L105" i="17"/>
  <c r="M105" i="17"/>
  <c r="N105" i="17"/>
  <c r="O105" i="17"/>
  <c r="P105" i="17"/>
  <c r="L106" i="17"/>
  <c r="M106" i="17"/>
  <c r="N106" i="17"/>
  <c r="O106" i="17"/>
  <c r="P106" i="17"/>
  <c r="L107" i="17"/>
  <c r="M107" i="17"/>
  <c r="N107" i="17"/>
  <c r="O107" i="17"/>
  <c r="P107" i="17"/>
  <c r="L108" i="17"/>
  <c r="M108" i="17"/>
  <c r="N108" i="17"/>
  <c r="O108" i="17"/>
  <c r="P108" i="17"/>
  <c r="L109" i="17"/>
  <c r="M109" i="17"/>
  <c r="N109" i="17"/>
  <c r="O109" i="17"/>
  <c r="P109" i="17"/>
  <c r="L110" i="17"/>
  <c r="M110" i="17"/>
  <c r="N110" i="17"/>
  <c r="O110" i="17"/>
  <c r="P110" i="17"/>
  <c r="L111" i="17"/>
  <c r="M111" i="17"/>
  <c r="N111" i="17"/>
  <c r="O111" i="17"/>
  <c r="P111" i="17"/>
  <c r="L112" i="17"/>
  <c r="M112" i="17"/>
  <c r="N112" i="17"/>
  <c r="O112" i="17"/>
  <c r="P112" i="17"/>
  <c r="L113" i="17"/>
  <c r="M113" i="17"/>
  <c r="N113" i="17"/>
  <c r="O113" i="17"/>
  <c r="P113" i="17"/>
  <c r="L114" i="17"/>
  <c r="M114" i="17"/>
  <c r="N114" i="17"/>
  <c r="O114" i="17"/>
  <c r="P114" i="17"/>
  <c r="L115" i="17"/>
  <c r="M115" i="17"/>
  <c r="N115" i="17"/>
  <c r="O115" i="17"/>
  <c r="P115" i="17"/>
  <c r="L116" i="17"/>
  <c r="M116" i="17"/>
  <c r="N116" i="17"/>
  <c r="O116" i="17"/>
  <c r="P116" i="17"/>
  <c r="L117" i="17"/>
  <c r="M117" i="17"/>
  <c r="N117" i="17"/>
  <c r="O117" i="17"/>
  <c r="P117" i="17"/>
  <c r="L118" i="17"/>
  <c r="M118" i="17"/>
  <c r="N118" i="17"/>
  <c r="O118" i="17"/>
  <c r="P118" i="17"/>
  <c r="L119" i="17"/>
  <c r="M119" i="17"/>
  <c r="N119" i="17"/>
  <c r="O119" i="17"/>
  <c r="P119" i="17"/>
  <c r="L120" i="17"/>
  <c r="M120" i="17"/>
  <c r="N120" i="17"/>
  <c r="O120" i="17"/>
  <c r="P120" i="17"/>
  <c r="L121" i="17"/>
  <c r="M121" i="17"/>
  <c r="N121" i="17"/>
  <c r="O121" i="17"/>
  <c r="P121" i="17"/>
  <c r="L122" i="17"/>
  <c r="M122" i="17"/>
  <c r="N122" i="17"/>
  <c r="O122" i="17"/>
  <c r="P122" i="17"/>
  <c r="L123" i="17"/>
  <c r="M123" i="17"/>
  <c r="N123" i="17"/>
  <c r="O123" i="17"/>
  <c r="P123" i="17"/>
  <c r="L124" i="17"/>
  <c r="M124" i="17"/>
  <c r="N124" i="17"/>
  <c r="O124" i="17"/>
  <c r="P124" i="17"/>
  <c r="L125" i="17"/>
  <c r="M125" i="17"/>
  <c r="N125" i="17"/>
  <c r="O125" i="17"/>
  <c r="P125" i="17"/>
  <c r="L126" i="17"/>
  <c r="M126" i="17"/>
  <c r="N126" i="17"/>
  <c r="O126" i="17"/>
  <c r="P126" i="17"/>
  <c r="L127" i="17"/>
  <c r="M127" i="17"/>
  <c r="N127" i="17"/>
  <c r="O127" i="17"/>
  <c r="P127" i="17"/>
  <c r="L128" i="17"/>
  <c r="M128" i="17"/>
  <c r="N128" i="17"/>
  <c r="O128" i="17"/>
  <c r="P128" i="17"/>
  <c r="L129" i="17"/>
  <c r="M129" i="17"/>
  <c r="N129" i="17"/>
  <c r="O129" i="17"/>
  <c r="P129" i="17"/>
  <c r="L130" i="17"/>
  <c r="M130" i="17"/>
  <c r="N130" i="17"/>
  <c r="O130" i="17"/>
  <c r="P130" i="17"/>
  <c r="L131" i="17"/>
  <c r="M131" i="17"/>
  <c r="N131" i="17"/>
  <c r="O131" i="17"/>
  <c r="P131" i="17"/>
  <c r="L132" i="17"/>
  <c r="M132" i="17"/>
  <c r="N132" i="17"/>
  <c r="O132" i="17"/>
  <c r="P132" i="17"/>
  <c r="L133" i="17"/>
  <c r="M133" i="17"/>
  <c r="N133" i="17"/>
  <c r="O133" i="17"/>
  <c r="P133" i="17"/>
  <c r="L134" i="17"/>
  <c r="M134" i="17"/>
  <c r="N134" i="17"/>
  <c r="O134" i="17"/>
  <c r="P134" i="17"/>
  <c r="L135" i="17"/>
  <c r="M135" i="17"/>
  <c r="N135" i="17"/>
  <c r="O135" i="17"/>
  <c r="P135" i="17"/>
  <c r="L136" i="17"/>
  <c r="M136" i="17"/>
  <c r="N136" i="17"/>
  <c r="O136" i="17"/>
  <c r="P136" i="17"/>
  <c r="L137" i="17"/>
  <c r="M137" i="17"/>
  <c r="N137" i="17"/>
  <c r="O137" i="17"/>
  <c r="P137" i="17"/>
  <c r="L138" i="17"/>
  <c r="M138" i="17"/>
  <c r="N138" i="17"/>
  <c r="O138" i="17"/>
  <c r="P138" i="17"/>
  <c r="L139" i="17"/>
  <c r="M139" i="17"/>
  <c r="N139" i="17"/>
  <c r="O139" i="17"/>
  <c r="P139" i="17"/>
  <c r="L140" i="17"/>
  <c r="M140" i="17"/>
  <c r="N140" i="17"/>
  <c r="O140" i="17"/>
  <c r="P140" i="17"/>
  <c r="L141" i="17"/>
  <c r="M141" i="17"/>
  <c r="N141" i="17"/>
  <c r="O141" i="17"/>
  <c r="P141" i="17"/>
  <c r="L142" i="17"/>
  <c r="M142" i="17"/>
  <c r="N142" i="17"/>
  <c r="O142" i="17"/>
  <c r="P142" i="17"/>
  <c r="L143" i="17"/>
  <c r="M143" i="17"/>
  <c r="N143" i="17"/>
  <c r="O143" i="17"/>
  <c r="P143" i="17"/>
  <c r="L144" i="17"/>
  <c r="M144" i="17"/>
  <c r="N144" i="17"/>
  <c r="O144" i="17"/>
  <c r="P144" i="17"/>
  <c r="L145" i="17"/>
  <c r="M145" i="17"/>
  <c r="N145" i="17"/>
  <c r="O145" i="17"/>
  <c r="P145" i="17"/>
  <c r="L146" i="17"/>
  <c r="M146" i="17"/>
  <c r="N146" i="17"/>
  <c r="O146" i="17"/>
  <c r="P146" i="17"/>
  <c r="L147" i="17"/>
  <c r="M147" i="17"/>
  <c r="N147" i="17"/>
  <c r="O147" i="17"/>
  <c r="P147" i="17"/>
  <c r="L148" i="17"/>
  <c r="M148" i="17"/>
  <c r="N148" i="17"/>
  <c r="O148" i="17"/>
  <c r="P148" i="17"/>
  <c r="L149" i="17"/>
  <c r="M149" i="17"/>
  <c r="N149" i="17"/>
  <c r="O149" i="17"/>
  <c r="P149" i="17"/>
  <c r="L150" i="17"/>
  <c r="M150" i="17"/>
  <c r="N150" i="17"/>
  <c r="O150" i="17"/>
  <c r="P150" i="17"/>
  <c r="L151" i="17"/>
  <c r="M151" i="17"/>
  <c r="N151" i="17"/>
  <c r="O151" i="17"/>
  <c r="P151" i="17"/>
  <c r="L152" i="17"/>
  <c r="M152" i="17"/>
  <c r="N152" i="17"/>
  <c r="O152" i="17"/>
  <c r="P152" i="17"/>
  <c r="L153" i="17"/>
  <c r="M153" i="17"/>
  <c r="N153" i="17"/>
  <c r="O153" i="17"/>
  <c r="P153" i="17"/>
  <c r="L154" i="17"/>
  <c r="M154" i="17"/>
  <c r="N154" i="17"/>
  <c r="O154" i="17"/>
  <c r="P154" i="17"/>
  <c r="L155" i="17"/>
  <c r="M155" i="17"/>
  <c r="N155" i="17"/>
  <c r="O155" i="17"/>
  <c r="P155" i="17"/>
  <c r="L156" i="17"/>
  <c r="M156" i="17"/>
  <c r="N156" i="17"/>
  <c r="O156" i="17"/>
  <c r="P156" i="17"/>
  <c r="L157" i="17"/>
  <c r="M157" i="17"/>
  <c r="N157" i="17"/>
  <c r="O157" i="17"/>
  <c r="P157" i="17"/>
  <c r="L158" i="17"/>
  <c r="M158" i="17"/>
  <c r="N158" i="17"/>
  <c r="O158" i="17"/>
  <c r="P158" i="17"/>
  <c r="L159" i="17"/>
  <c r="M159" i="17"/>
  <c r="N159" i="17"/>
  <c r="O159" i="17"/>
  <c r="P159" i="17"/>
  <c r="L160" i="17"/>
  <c r="M160" i="17"/>
  <c r="N160" i="17"/>
  <c r="O160" i="17"/>
  <c r="P160" i="17"/>
  <c r="L161" i="17"/>
  <c r="M161" i="17"/>
  <c r="N161" i="17"/>
  <c r="O161" i="17"/>
  <c r="P161" i="17"/>
  <c r="L162" i="17"/>
  <c r="M162" i="17"/>
  <c r="N162" i="17"/>
  <c r="O162" i="17"/>
  <c r="P162" i="17"/>
  <c r="L163" i="17"/>
  <c r="M163" i="17"/>
  <c r="N163" i="17"/>
  <c r="O163" i="17"/>
  <c r="P163" i="17"/>
  <c r="L164" i="17"/>
  <c r="M164" i="17"/>
  <c r="N164" i="17"/>
  <c r="O164" i="17"/>
  <c r="P164" i="17"/>
  <c r="L165" i="17"/>
  <c r="M165" i="17"/>
  <c r="N165" i="17"/>
  <c r="O165" i="17"/>
  <c r="P165" i="17"/>
  <c r="L166" i="17"/>
  <c r="M166" i="17"/>
  <c r="N166" i="17"/>
  <c r="O166" i="17"/>
  <c r="P166" i="17"/>
  <c r="L167" i="17"/>
  <c r="M167" i="17"/>
  <c r="N167" i="17"/>
  <c r="O167" i="17"/>
  <c r="P167" i="17"/>
  <c r="L168" i="17"/>
  <c r="M168" i="17"/>
  <c r="N168" i="17"/>
  <c r="O168" i="17"/>
  <c r="P168" i="17"/>
  <c r="L169" i="17"/>
  <c r="M169" i="17"/>
  <c r="N169" i="17"/>
  <c r="O169" i="17"/>
  <c r="P169" i="17"/>
  <c r="L170" i="17"/>
  <c r="M170" i="17"/>
  <c r="N170" i="17"/>
  <c r="O170" i="17"/>
  <c r="P170" i="17"/>
  <c r="L171" i="17"/>
  <c r="M171" i="17"/>
  <c r="N171" i="17"/>
  <c r="O171" i="17"/>
  <c r="P171" i="17"/>
  <c r="L172" i="17"/>
  <c r="M172" i="17"/>
  <c r="N172" i="17"/>
  <c r="O172" i="17"/>
  <c r="P172" i="17"/>
  <c r="L173" i="17"/>
  <c r="M173" i="17"/>
  <c r="N173" i="17"/>
  <c r="O173" i="17"/>
  <c r="P173" i="17"/>
  <c r="L174" i="17"/>
  <c r="M174" i="17"/>
  <c r="N174" i="17"/>
  <c r="O174" i="17"/>
  <c r="P174" i="17"/>
  <c r="L175" i="17"/>
  <c r="M175" i="17"/>
  <c r="N175" i="17"/>
  <c r="O175" i="17"/>
  <c r="P175" i="17"/>
  <c r="L176" i="17"/>
  <c r="M176" i="17"/>
  <c r="N176" i="17"/>
  <c r="O176" i="17"/>
  <c r="P176" i="17"/>
  <c r="L177" i="17"/>
  <c r="M177" i="17"/>
  <c r="N177" i="17"/>
  <c r="O177" i="17"/>
  <c r="P177" i="17"/>
  <c r="L178" i="17"/>
  <c r="M178" i="17"/>
  <c r="N178" i="17"/>
  <c r="O178" i="17"/>
  <c r="P178" i="17"/>
  <c r="L179" i="17"/>
  <c r="M179" i="17"/>
  <c r="N179" i="17"/>
  <c r="O179" i="17"/>
  <c r="P179" i="17"/>
  <c r="L180" i="17"/>
  <c r="M180" i="17"/>
  <c r="N180" i="17"/>
  <c r="O180" i="17"/>
  <c r="P180" i="17"/>
  <c r="L181" i="17"/>
  <c r="M181" i="17"/>
  <c r="N181" i="17"/>
  <c r="O181" i="17"/>
  <c r="P181" i="17"/>
  <c r="L182" i="17"/>
  <c r="M182" i="17"/>
  <c r="N182" i="17"/>
  <c r="O182" i="17"/>
  <c r="P182" i="17"/>
  <c r="L183" i="17"/>
  <c r="M183" i="17"/>
  <c r="N183" i="17"/>
  <c r="O183" i="17"/>
  <c r="P183" i="17"/>
  <c r="L184" i="17"/>
  <c r="M184" i="17"/>
  <c r="N184" i="17"/>
  <c r="O184" i="17"/>
  <c r="P184" i="17"/>
  <c r="L185" i="17"/>
  <c r="M185" i="17"/>
  <c r="N185" i="17"/>
  <c r="O185" i="17"/>
  <c r="P185" i="17"/>
  <c r="L186" i="17"/>
  <c r="M186" i="17"/>
  <c r="N186" i="17"/>
  <c r="O186" i="17"/>
  <c r="P186" i="17"/>
  <c r="L187" i="17"/>
  <c r="M187" i="17"/>
  <c r="N187" i="17"/>
  <c r="O187" i="17"/>
  <c r="P187" i="17"/>
  <c r="L188" i="17"/>
  <c r="M188" i="17"/>
  <c r="N188" i="17"/>
  <c r="O188" i="17"/>
  <c r="P188" i="17"/>
  <c r="L189" i="17"/>
  <c r="M189" i="17"/>
  <c r="N189" i="17"/>
  <c r="O189" i="17"/>
  <c r="P189" i="17"/>
  <c r="L190" i="17"/>
  <c r="M190" i="17"/>
  <c r="N190" i="17"/>
  <c r="O190" i="17"/>
  <c r="P190" i="17"/>
  <c r="L191" i="17"/>
  <c r="M191" i="17"/>
  <c r="N191" i="17"/>
  <c r="O191" i="17"/>
  <c r="P191" i="17"/>
  <c r="L192" i="17"/>
  <c r="M192" i="17"/>
  <c r="N192" i="17"/>
  <c r="O192" i="17"/>
  <c r="P192" i="17"/>
  <c r="L193" i="17"/>
  <c r="M193" i="17"/>
  <c r="N193" i="17"/>
  <c r="O193" i="17"/>
  <c r="P193" i="17"/>
  <c r="L194" i="17"/>
  <c r="M194" i="17"/>
  <c r="N194" i="17"/>
  <c r="O194" i="17"/>
  <c r="P194" i="17"/>
  <c r="L195" i="17"/>
  <c r="M195" i="17"/>
  <c r="N195" i="17"/>
  <c r="O195" i="17"/>
  <c r="P195" i="17"/>
  <c r="L196" i="17"/>
  <c r="M196" i="17"/>
  <c r="N196" i="17"/>
  <c r="O196" i="17"/>
  <c r="P196" i="17"/>
  <c r="L197" i="17"/>
  <c r="M197" i="17"/>
  <c r="N197" i="17"/>
  <c r="O197" i="17"/>
  <c r="P197" i="17"/>
  <c r="L198" i="17"/>
  <c r="M198" i="17"/>
  <c r="N198" i="17"/>
  <c r="O198" i="17"/>
  <c r="P198" i="17"/>
  <c r="L199" i="17"/>
  <c r="M199" i="17"/>
  <c r="N199" i="17"/>
  <c r="O199" i="17"/>
  <c r="P199" i="17"/>
  <c r="L200" i="17"/>
  <c r="M200" i="17"/>
  <c r="N200" i="17"/>
  <c r="O200" i="17"/>
  <c r="P200" i="17"/>
  <c r="L201" i="17"/>
  <c r="M201" i="17"/>
  <c r="N201" i="17"/>
  <c r="O201" i="17"/>
  <c r="P201" i="17"/>
  <c r="L202" i="17"/>
  <c r="M202" i="17"/>
  <c r="N202" i="17"/>
  <c r="O202" i="17"/>
  <c r="P202" i="17"/>
  <c r="L203" i="17"/>
  <c r="M203" i="17"/>
  <c r="N203" i="17"/>
  <c r="O203" i="17"/>
  <c r="P203" i="17"/>
  <c r="L204" i="17"/>
  <c r="M204" i="17"/>
  <c r="N204" i="17"/>
  <c r="O204" i="17"/>
  <c r="P204" i="17"/>
  <c r="L205" i="17"/>
  <c r="M205" i="17"/>
  <c r="N205" i="17"/>
  <c r="O205" i="17"/>
  <c r="P205" i="17"/>
  <c r="L206" i="17"/>
  <c r="M206" i="17"/>
  <c r="N206" i="17"/>
  <c r="O206" i="17"/>
  <c r="P206" i="17"/>
  <c r="L207" i="17"/>
  <c r="M207" i="17"/>
  <c r="N207" i="17"/>
  <c r="O207" i="17"/>
  <c r="P207" i="17"/>
  <c r="L208" i="17"/>
  <c r="M208" i="17"/>
  <c r="N208" i="17"/>
  <c r="O208" i="17"/>
  <c r="P208" i="17"/>
  <c r="L209" i="17"/>
  <c r="M209" i="17"/>
  <c r="N209" i="17"/>
  <c r="O209" i="17"/>
  <c r="P209" i="17"/>
  <c r="L210" i="17"/>
  <c r="M210" i="17"/>
  <c r="N210" i="17"/>
  <c r="O210" i="17"/>
  <c r="P210" i="17"/>
  <c r="L211" i="17"/>
  <c r="M211" i="17"/>
  <c r="N211" i="17"/>
  <c r="O211" i="17"/>
  <c r="P211" i="17"/>
  <c r="L212" i="17"/>
  <c r="M212" i="17"/>
  <c r="N212" i="17"/>
  <c r="O212" i="17"/>
  <c r="P212" i="17"/>
  <c r="L213" i="17"/>
  <c r="M213" i="17"/>
  <c r="N213" i="17"/>
  <c r="O213" i="17"/>
  <c r="P213" i="17"/>
  <c r="L214" i="17"/>
  <c r="M214" i="17"/>
  <c r="N214" i="17"/>
  <c r="O214" i="17"/>
  <c r="P214" i="17"/>
  <c r="L215" i="17"/>
  <c r="M215" i="17"/>
  <c r="N215" i="17"/>
  <c r="O215" i="17"/>
  <c r="P215" i="17"/>
  <c r="L216" i="17"/>
  <c r="M216" i="17"/>
  <c r="N216" i="17"/>
  <c r="O216" i="17"/>
  <c r="P216" i="17"/>
  <c r="L217" i="17"/>
  <c r="M217" i="17"/>
  <c r="N217" i="17"/>
  <c r="O217" i="17"/>
  <c r="P217" i="17"/>
  <c r="L218" i="17"/>
  <c r="M218" i="17"/>
  <c r="N218" i="17"/>
  <c r="O218" i="17"/>
  <c r="P218" i="17"/>
  <c r="L219" i="17"/>
  <c r="M219" i="17"/>
  <c r="N219" i="17"/>
  <c r="O219" i="17"/>
  <c r="P219" i="17"/>
  <c r="L220" i="17"/>
  <c r="M220" i="17"/>
  <c r="N220" i="17"/>
  <c r="O220" i="17"/>
  <c r="P220" i="17"/>
  <c r="L221" i="17"/>
  <c r="M221" i="17"/>
  <c r="N221" i="17"/>
  <c r="O221" i="17"/>
  <c r="P221" i="17"/>
  <c r="L222" i="17"/>
  <c r="M222" i="17"/>
  <c r="N222" i="17"/>
  <c r="O222" i="17"/>
  <c r="P222" i="17"/>
  <c r="L223" i="17"/>
  <c r="M223" i="17"/>
  <c r="N223" i="17"/>
  <c r="O223" i="17"/>
  <c r="P223" i="17"/>
  <c r="L224" i="17"/>
  <c r="M224" i="17"/>
  <c r="N224" i="17"/>
  <c r="O224" i="17"/>
  <c r="P224" i="17"/>
  <c r="L225" i="17"/>
  <c r="M225" i="17"/>
  <c r="N225" i="17"/>
  <c r="O225" i="17"/>
  <c r="P225" i="17"/>
  <c r="L226" i="17"/>
  <c r="M226" i="17"/>
  <c r="N226" i="17"/>
  <c r="O226" i="17"/>
  <c r="P226" i="17"/>
  <c r="L227" i="17"/>
  <c r="M227" i="17"/>
  <c r="N227" i="17"/>
  <c r="O227" i="17"/>
  <c r="P227" i="17"/>
  <c r="L228" i="17"/>
  <c r="M228" i="17"/>
  <c r="N228" i="17"/>
  <c r="O228" i="17"/>
  <c r="P228" i="17"/>
  <c r="L229" i="17"/>
  <c r="M229" i="17"/>
  <c r="N229" i="17"/>
  <c r="O229" i="17"/>
  <c r="P229" i="17"/>
  <c r="L230" i="17"/>
  <c r="M230" i="17"/>
  <c r="N230" i="17"/>
  <c r="O230" i="17"/>
  <c r="P230" i="17"/>
  <c r="L231" i="17"/>
  <c r="M231" i="17"/>
  <c r="N231" i="17"/>
  <c r="O231" i="17"/>
  <c r="P231" i="17"/>
  <c r="L232" i="17"/>
  <c r="M232" i="17"/>
  <c r="N232" i="17"/>
  <c r="O232" i="17"/>
  <c r="P232" i="17"/>
  <c r="L233" i="17"/>
  <c r="M233" i="17"/>
  <c r="N233" i="17"/>
  <c r="O233" i="17"/>
  <c r="P233" i="17"/>
  <c r="L234" i="17"/>
  <c r="M234" i="17"/>
  <c r="N234" i="17"/>
  <c r="O234" i="17"/>
  <c r="P234" i="17"/>
  <c r="L235" i="17"/>
  <c r="M235" i="17"/>
  <c r="N235" i="17"/>
  <c r="O235" i="17"/>
  <c r="P235" i="17"/>
  <c r="L236" i="17"/>
  <c r="M236" i="17"/>
  <c r="N236" i="17"/>
  <c r="O236" i="17"/>
  <c r="P236" i="17"/>
  <c r="L237" i="17"/>
  <c r="M237" i="17"/>
  <c r="N237" i="17"/>
  <c r="O237" i="17"/>
  <c r="P237" i="17"/>
  <c r="L238" i="17"/>
  <c r="M238" i="17"/>
  <c r="N238" i="17"/>
  <c r="O238" i="17"/>
  <c r="P238" i="17"/>
  <c r="L239" i="17"/>
  <c r="M239" i="17"/>
  <c r="N239" i="17"/>
  <c r="O239" i="17"/>
  <c r="P239" i="17"/>
  <c r="L240" i="17"/>
  <c r="M240" i="17"/>
  <c r="N240" i="17"/>
  <c r="O240" i="17"/>
  <c r="P240" i="17"/>
  <c r="L241" i="17"/>
  <c r="M241" i="17"/>
  <c r="N241" i="17"/>
  <c r="O241" i="17"/>
  <c r="P241" i="17"/>
  <c r="L242" i="17"/>
  <c r="M242" i="17"/>
  <c r="N242" i="17"/>
  <c r="O242" i="17"/>
  <c r="P242" i="17"/>
  <c r="L243" i="17"/>
  <c r="M243" i="17"/>
  <c r="N243" i="17"/>
  <c r="O243" i="17"/>
  <c r="P243" i="17"/>
  <c r="L244" i="17"/>
  <c r="M244" i="17"/>
  <c r="N244" i="17"/>
  <c r="O244" i="17"/>
  <c r="P244" i="17"/>
  <c r="L245" i="17"/>
  <c r="M245" i="17"/>
  <c r="N245" i="17"/>
  <c r="O245" i="17"/>
  <c r="P245" i="17"/>
  <c r="L246" i="17"/>
  <c r="M246" i="17"/>
  <c r="N246" i="17"/>
  <c r="O246" i="17"/>
  <c r="P246" i="17"/>
  <c r="L247" i="17"/>
  <c r="M247" i="17"/>
  <c r="N247" i="17"/>
  <c r="O247" i="17"/>
  <c r="P247" i="17"/>
  <c r="L248" i="17"/>
  <c r="M248" i="17"/>
  <c r="N248" i="17"/>
  <c r="O248" i="17"/>
  <c r="P248" i="17"/>
  <c r="L249" i="17"/>
  <c r="M249" i="17"/>
  <c r="N249" i="17"/>
  <c r="O249" i="17"/>
  <c r="P249" i="17"/>
  <c r="L250" i="17"/>
  <c r="M250" i="17"/>
  <c r="N250" i="17"/>
  <c r="O250" i="17"/>
  <c r="P250" i="17"/>
  <c r="L251" i="17"/>
  <c r="M251" i="17"/>
  <c r="N251" i="17"/>
  <c r="O251" i="17"/>
  <c r="P251" i="17"/>
  <c r="L252" i="17"/>
  <c r="M252" i="17"/>
  <c r="N252" i="17"/>
  <c r="O252" i="17"/>
  <c r="P252" i="17"/>
  <c r="L253" i="17"/>
  <c r="M253" i="17"/>
  <c r="N253" i="17"/>
  <c r="O253" i="17"/>
  <c r="P253" i="17"/>
  <c r="L254" i="17"/>
  <c r="M254" i="17"/>
  <c r="N254" i="17"/>
  <c r="O254" i="17"/>
  <c r="P254" i="17"/>
  <c r="L255" i="17"/>
  <c r="M255" i="17"/>
  <c r="N255" i="17"/>
  <c r="O255" i="17"/>
  <c r="P255" i="17"/>
  <c r="L256" i="17"/>
  <c r="M256" i="17"/>
  <c r="N256" i="17"/>
  <c r="O256" i="17"/>
  <c r="P256" i="17"/>
  <c r="L257" i="17"/>
  <c r="M257" i="17"/>
  <c r="N257" i="17"/>
  <c r="O257" i="17"/>
  <c r="P257" i="17"/>
  <c r="L258" i="17"/>
  <c r="M258" i="17"/>
  <c r="N258" i="17"/>
  <c r="O258" i="17"/>
  <c r="P258" i="17"/>
  <c r="L259" i="17"/>
  <c r="M259" i="17"/>
  <c r="N259" i="17"/>
  <c r="O259" i="17"/>
  <c r="P259" i="17"/>
  <c r="L260" i="17"/>
  <c r="M260" i="17"/>
  <c r="N260" i="17"/>
  <c r="O260" i="17"/>
  <c r="P260" i="17"/>
  <c r="L261" i="17"/>
  <c r="M261" i="17"/>
  <c r="N261" i="17"/>
  <c r="O261" i="17"/>
  <c r="P261" i="17"/>
  <c r="L262" i="17"/>
  <c r="M262" i="17"/>
  <c r="N262" i="17"/>
  <c r="O262" i="17"/>
  <c r="P262" i="17"/>
  <c r="L263" i="17"/>
  <c r="M263" i="17"/>
  <c r="N263" i="17"/>
  <c r="O263" i="17"/>
  <c r="P263" i="17"/>
  <c r="L264" i="17"/>
  <c r="M264" i="17"/>
  <c r="N264" i="17"/>
  <c r="O264" i="17"/>
  <c r="P264" i="17"/>
  <c r="L265" i="17"/>
  <c r="M265" i="17"/>
  <c r="N265" i="17"/>
  <c r="O265" i="17"/>
  <c r="P265" i="17"/>
  <c r="L266" i="17"/>
  <c r="M266" i="17"/>
  <c r="N266" i="17"/>
  <c r="O266" i="17"/>
  <c r="P266" i="17"/>
  <c r="L267" i="17"/>
  <c r="M267" i="17"/>
  <c r="N267" i="17"/>
  <c r="O267" i="17"/>
  <c r="P267" i="17"/>
  <c r="L268" i="17"/>
  <c r="M268" i="17"/>
  <c r="N268" i="17"/>
  <c r="O268" i="17"/>
  <c r="P268" i="17"/>
  <c r="L269" i="17"/>
  <c r="M269" i="17"/>
  <c r="N269" i="17"/>
  <c r="O269" i="17"/>
  <c r="P269" i="17"/>
  <c r="L270" i="17"/>
  <c r="M270" i="17"/>
  <c r="N270" i="17"/>
  <c r="O270" i="17"/>
  <c r="P270" i="17"/>
  <c r="L271" i="17"/>
  <c r="M271" i="17"/>
  <c r="N271" i="17"/>
  <c r="O271" i="17"/>
  <c r="P271" i="17"/>
  <c r="L272" i="17"/>
  <c r="M272" i="17"/>
  <c r="N272" i="17"/>
  <c r="O272" i="17"/>
  <c r="P272" i="17"/>
  <c r="L273" i="17"/>
  <c r="M273" i="17"/>
  <c r="N273" i="17"/>
  <c r="O273" i="17"/>
  <c r="P273" i="17"/>
  <c r="L274" i="17"/>
  <c r="M274" i="17"/>
  <c r="N274" i="17"/>
  <c r="O274" i="17"/>
  <c r="P274" i="17"/>
  <c r="L275" i="17"/>
  <c r="M275" i="17"/>
  <c r="N275" i="17"/>
  <c r="O275" i="17"/>
  <c r="P275" i="17"/>
  <c r="L276" i="17"/>
  <c r="M276" i="17"/>
  <c r="N276" i="17"/>
  <c r="O276" i="17"/>
  <c r="P276" i="17"/>
  <c r="L277" i="17"/>
  <c r="M277" i="17"/>
  <c r="N277" i="17"/>
  <c r="O277" i="17"/>
  <c r="P277" i="17"/>
  <c r="L278" i="17"/>
  <c r="M278" i="17"/>
  <c r="N278" i="17"/>
  <c r="O278" i="17"/>
  <c r="P278" i="17"/>
  <c r="L279" i="17"/>
  <c r="M279" i="17"/>
  <c r="N279" i="17"/>
  <c r="O279" i="17"/>
  <c r="P279" i="17"/>
  <c r="L280" i="17"/>
  <c r="M280" i="17"/>
  <c r="N280" i="17"/>
  <c r="O280" i="17"/>
  <c r="P280" i="17"/>
  <c r="L281" i="17"/>
  <c r="M281" i="17"/>
  <c r="N281" i="17"/>
  <c r="O281" i="17"/>
  <c r="P281" i="17"/>
  <c r="L282" i="17"/>
  <c r="M282" i="17"/>
  <c r="N282" i="17"/>
  <c r="O282" i="17"/>
  <c r="P282" i="17"/>
  <c r="L283" i="17"/>
  <c r="M283" i="17"/>
  <c r="N283" i="17"/>
  <c r="O283" i="17"/>
  <c r="P283" i="17"/>
  <c r="L284" i="17"/>
  <c r="M284" i="17"/>
  <c r="N284" i="17"/>
  <c r="O284" i="17"/>
  <c r="P284" i="17"/>
  <c r="L285" i="17"/>
  <c r="M285" i="17"/>
  <c r="N285" i="17"/>
  <c r="O285" i="17"/>
  <c r="P285" i="17"/>
  <c r="L286" i="17"/>
  <c r="M286" i="17"/>
  <c r="N286" i="17"/>
  <c r="O286" i="17"/>
  <c r="P286" i="17"/>
  <c r="L287" i="17"/>
  <c r="M287" i="17"/>
  <c r="N287" i="17"/>
  <c r="O287" i="17"/>
  <c r="P287" i="17"/>
  <c r="L288" i="17"/>
  <c r="M288" i="17"/>
  <c r="N288" i="17"/>
  <c r="O288" i="17"/>
  <c r="P288" i="17"/>
  <c r="L289" i="17"/>
  <c r="M289" i="17"/>
  <c r="N289" i="17"/>
  <c r="O289" i="17"/>
  <c r="P289" i="17"/>
  <c r="L290" i="17"/>
  <c r="M290" i="17"/>
  <c r="N290" i="17"/>
  <c r="O290" i="17"/>
  <c r="P290" i="17"/>
  <c r="L291" i="17"/>
  <c r="M291" i="17"/>
  <c r="N291" i="17"/>
  <c r="O291" i="17"/>
  <c r="P291" i="17"/>
  <c r="L292" i="17"/>
  <c r="M292" i="17"/>
  <c r="N292" i="17"/>
  <c r="O292" i="17"/>
  <c r="P292" i="17"/>
  <c r="L293" i="17"/>
  <c r="M293" i="17"/>
  <c r="N293" i="17"/>
  <c r="O293" i="17"/>
  <c r="P293" i="17"/>
  <c r="L294" i="17"/>
  <c r="M294" i="17"/>
  <c r="N294" i="17"/>
  <c r="O294" i="17"/>
  <c r="P294" i="17"/>
  <c r="L295" i="17"/>
  <c r="M295" i="17"/>
  <c r="N295" i="17"/>
  <c r="O295" i="17"/>
  <c r="P295" i="17"/>
  <c r="L296" i="17"/>
  <c r="M296" i="17"/>
  <c r="N296" i="17"/>
  <c r="O296" i="17"/>
  <c r="P296" i="17"/>
  <c r="L297" i="17"/>
  <c r="M297" i="17"/>
  <c r="N297" i="17"/>
  <c r="O297" i="17"/>
  <c r="P297" i="17"/>
  <c r="L298" i="17"/>
  <c r="M298" i="17"/>
  <c r="N298" i="17"/>
  <c r="O298" i="17"/>
  <c r="P298" i="17"/>
  <c r="L299" i="17"/>
  <c r="M299" i="17"/>
  <c r="N299" i="17"/>
  <c r="O299" i="17"/>
  <c r="P299" i="17"/>
  <c r="L300" i="17"/>
  <c r="M300" i="17"/>
  <c r="N300" i="17"/>
  <c r="O300" i="17"/>
  <c r="P300" i="17"/>
  <c r="L301" i="17"/>
  <c r="M301" i="17"/>
  <c r="N301" i="17"/>
  <c r="O301" i="17"/>
  <c r="P301" i="17"/>
  <c r="L302" i="17"/>
  <c r="M302" i="17"/>
  <c r="N302" i="17"/>
  <c r="O302" i="17"/>
  <c r="P302" i="17"/>
  <c r="L303" i="17"/>
  <c r="M303" i="17"/>
  <c r="N303" i="17"/>
  <c r="O303" i="17"/>
  <c r="P303" i="17"/>
  <c r="L304" i="17"/>
  <c r="M304" i="17"/>
  <c r="N304" i="17"/>
  <c r="O304" i="17"/>
  <c r="P304" i="17"/>
  <c r="L305" i="17"/>
  <c r="M305" i="17"/>
  <c r="N305" i="17"/>
  <c r="O305" i="17"/>
  <c r="P305" i="17"/>
  <c r="L306" i="17"/>
  <c r="M306" i="17"/>
  <c r="N306" i="17"/>
  <c r="O306" i="17"/>
  <c r="P306" i="17"/>
  <c r="L307" i="17"/>
  <c r="M307" i="17"/>
  <c r="N307" i="17"/>
  <c r="O307" i="17"/>
  <c r="P307" i="17"/>
  <c r="L308" i="17"/>
  <c r="M308" i="17"/>
  <c r="N308" i="17"/>
  <c r="O308" i="17"/>
  <c r="P308" i="17"/>
  <c r="L309" i="17"/>
  <c r="M309" i="17"/>
  <c r="N309" i="17"/>
  <c r="O309" i="17"/>
  <c r="P309" i="17"/>
  <c r="L310" i="17"/>
  <c r="M310" i="17"/>
  <c r="N310" i="17"/>
  <c r="O310" i="17"/>
  <c r="P310" i="17"/>
  <c r="L311" i="17"/>
  <c r="M311" i="17"/>
  <c r="N311" i="17"/>
  <c r="O311" i="17"/>
  <c r="P311" i="17"/>
  <c r="L312" i="17"/>
  <c r="M312" i="17"/>
  <c r="N312" i="17"/>
  <c r="O312" i="17"/>
  <c r="P312" i="17"/>
  <c r="L313" i="17"/>
  <c r="M313" i="17"/>
  <c r="N313" i="17"/>
  <c r="O313" i="17"/>
  <c r="P313" i="17"/>
  <c r="L314" i="17"/>
  <c r="M314" i="17"/>
  <c r="N314" i="17"/>
  <c r="O314" i="17"/>
  <c r="P314" i="17"/>
  <c r="L315" i="17"/>
  <c r="M315" i="17"/>
  <c r="N315" i="17"/>
  <c r="O315" i="17"/>
  <c r="P315" i="17"/>
  <c r="L316" i="17"/>
  <c r="M316" i="17"/>
  <c r="N316" i="17"/>
  <c r="O316" i="17"/>
  <c r="P316" i="17"/>
  <c r="L317" i="17"/>
  <c r="M317" i="17"/>
  <c r="N317" i="17"/>
  <c r="O317" i="17"/>
  <c r="P317" i="17"/>
  <c r="L318" i="17"/>
  <c r="M318" i="17"/>
  <c r="N318" i="17"/>
  <c r="O318" i="17"/>
  <c r="P318" i="17"/>
  <c r="L319" i="17"/>
  <c r="M319" i="17"/>
  <c r="N319" i="17"/>
  <c r="O319" i="17"/>
  <c r="P319" i="17"/>
  <c r="L320" i="17"/>
  <c r="M320" i="17"/>
  <c r="N320" i="17"/>
  <c r="O320" i="17"/>
  <c r="P320" i="17"/>
  <c r="L321" i="17"/>
  <c r="M321" i="17"/>
  <c r="N321" i="17"/>
  <c r="O321" i="17"/>
  <c r="P321" i="17"/>
  <c r="L322" i="17"/>
  <c r="M322" i="17"/>
  <c r="N322" i="17"/>
  <c r="O322" i="17"/>
  <c r="P322" i="17"/>
  <c r="L323" i="17"/>
  <c r="M323" i="17"/>
  <c r="N323" i="17"/>
  <c r="O323" i="17"/>
  <c r="P323" i="17"/>
  <c r="P5" i="17"/>
  <c r="O5" i="17"/>
  <c r="N5" i="17"/>
  <c r="M5" i="17"/>
  <c r="L5" i="17"/>
  <c r="C6" i="17"/>
  <c r="D6" i="17"/>
  <c r="E6" i="17"/>
  <c r="F6" i="17"/>
  <c r="H6" i="17"/>
  <c r="I6" i="17"/>
  <c r="C7" i="17"/>
  <c r="D7" i="17"/>
  <c r="E7" i="17"/>
  <c r="F7" i="17"/>
  <c r="H7" i="17"/>
  <c r="I7" i="17"/>
  <c r="C8" i="17"/>
  <c r="D8" i="17"/>
  <c r="E8" i="17"/>
  <c r="F8" i="17"/>
  <c r="H8" i="17"/>
  <c r="I8" i="17"/>
  <c r="C9" i="17"/>
  <c r="D9" i="17"/>
  <c r="E9" i="17"/>
  <c r="F9" i="17"/>
  <c r="H9" i="17"/>
  <c r="I9" i="17"/>
  <c r="C10" i="17"/>
  <c r="D10" i="17"/>
  <c r="E10" i="17"/>
  <c r="F10" i="17"/>
  <c r="H10" i="17"/>
  <c r="I10" i="17"/>
  <c r="C11" i="17"/>
  <c r="D11" i="17"/>
  <c r="E11" i="17"/>
  <c r="F11" i="17"/>
  <c r="H11" i="17"/>
  <c r="I11" i="17"/>
  <c r="C12" i="17"/>
  <c r="D12" i="17"/>
  <c r="E12" i="17"/>
  <c r="F12" i="17"/>
  <c r="H12" i="17"/>
  <c r="I12" i="17"/>
  <c r="C13" i="17"/>
  <c r="D13" i="17"/>
  <c r="E13" i="17"/>
  <c r="F13" i="17"/>
  <c r="H13" i="17"/>
  <c r="I13" i="17"/>
  <c r="C14" i="17"/>
  <c r="D14" i="17"/>
  <c r="E14" i="17"/>
  <c r="F14" i="17"/>
  <c r="H14" i="17"/>
  <c r="I14" i="17"/>
  <c r="C15" i="17"/>
  <c r="D15" i="17"/>
  <c r="E15" i="17"/>
  <c r="F15" i="17"/>
  <c r="H15" i="17"/>
  <c r="I15" i="17"/>
  <c r="C16" i="17"/>
  <c r="D16" i="17"/>
  <c r="E16" i="17"/>
  <c r="F16" i="17"/>
  <c r="H16" i="17"/>
  <c r="I16" i="17"/>
  <c r="C17" i="17"/>
  <c r="D17" i="17"/>
  <c r="E17" i="17"/>
  <c r="F17" i="17"/>
  <c r="H17" i="17"/>
  <c r="I17" i="17"/>
  <c r="C18" i="17"/>
  <c r="D18" i="17"/>
  <c r="E18" i="17"/>
  <c r="F18" i="17"/>
  <c r="H18" i="17"/>
  <c r="I18" i="17"/>
  <c r="C19" i="17"/>
  <c r="D19" i="17"/>
  <c r="E19" i="17"/>
  <c r="F19" i="17"/>
  <c r="H19" i="17"/>
  <c r="I19" i="17"/>
  <c r="C20" i="17"/>
  <c r="D20" i="17"/>
  <c r="E20" i="17"/>
  <c r="F20" i="17"/>
  <c r="H20" i="17"/>
  <c r="I20" i="17"/>
  <c r="C21" i="17"/>
  <c r="D21" i="17"/>
  <c r="E21" i="17"/>
  <c r="F21" i="17"/>
  <c r="H21" i="17"/>
  <c r="I21" i="17"/>
  <c r="C22" i="17"/>
  <c r="D22" i="17"/>
  <c r="E22" i="17"/>
  <c r="F22" i="17"/>
  <c r="H22" i="17"/>
  <c r="I22" i="17"/>
  <c r="C23" i="17"/>
  <c r="D23" i="17"/>
  <c r="E23" i="17"/>
  <c r="F23" i="17"/>
  <c r="H23" i="17"/>
  <c r="I23" i="17"/>
  <c r="C24" i="17"/>
  <c r="D24" i="17"/>
  <c r="E24" i="17"/>
  <c r="F24" i="17"/>
  <c r="H24" i="17"/>
  <c r="I24" i="17"/>
  <c r="C25" i="17"/>
  <c r="D25" i="17"/>
  <c r="E25" i="17"/>
  <c r="F25" i="17"/>
  <c r="H25" i="17"/>
  <c r="I25" i="17"/>
  <c r="C26" i="17"/>
  <c r="D26" i="17"/>
  <c r="E26" i="17"/>
  <c r="F26" i="17"/>
  <c r="H26" i="17"/>
  <c r="I26" i="17"/>
  <c r="C27" i="17"/>
  <c r="D27" i="17"/>
  <c r="E27" i="17"/>
  <c r="F27" i="17"/>
  <c r="H27" i="17"/>
  <c r="I27" i="17"/>
  <c r="C28" i="17"/>
  <c r="D28" i="17"/>
  <c r="E28" i="17"/>
  <c r="F28" i="17"/>
  <c r="H28" i="17"/>
  <c r="I28" i="17"/>
  <c r="C29" i="17"/>
  <c r="D29" i="17"/>
  <c r="E29" i="17"/>
  <c r="F29" i="17"/>
  <c r="H29" i="17"/>
  <c r="I29" i="17"/>
  <c r="C30" i="17"/>
  <c r="D30" i="17"/>
  <c r="E30" i="17"/>
  <c r="F30" i="17"/>
  <c r="H30" i="17"/>
  <c r="I30" i="17"/>
  <c r="C31" i="17"/>
  <c r="D31" i="17"/>
  <c r="E31" i="17"/>
  <c r="F31" i="17"/>
  <c r="H31" i="17"/>
  <c r="I31" i="17"/>
  <c r="C32" i="17"/>
  <c r="D32" i="17"/>
  <c r="E32" i="17"/>
  <c r="F32" i="17"/>
  <c r="H32" i="17"/>
  <c r="I32" i="17"/>
  <c r="C33" i="17"/>
  <c r="D33" i="17"/>
  <c r="E33" i="17"/>
  <c r="F33" i="17"/>
  <c r="H33" i="17"/>
  <c r="I33" i="17"/>
  <c r="C34" i="17"/>
  <c r="D34" i="17"/>
  <c r="E34" i="17"/>
  <c r="F34" i="17"/>
  <c r="H34" i="17"/>
  <c r="I34" i="17"/>
  <c r="C35" i="17"/>
  <c r="D35" i="17"/>
  <c r="E35" i="17"/>
  <c r="F35" i="17"/>
  <c r="H35" i="17"/>
  <c r="I35" i="17"/>
  <c r="C36" i="17"/>
  <c r="D36" i="17"/>
  <c r="E36" i="17"/>
  <c r="F36" i="17"/>
  <c r="H36" i="17"/>
  <c r="I36" i="17"/>
  <c r="C37" i="17"/>
  <c r="D37" i="17"/>
  <c r="E37" i="17"/>
  <c r="F37" i="17"/>
  <c r="H37" i="17"/>
  <c r="I37" i="17"/>
  <c r="C38" i="17"/>
  <c r="D38" i="17"/>
  <c r="E38" i="17"/>
  <c r="F38" i="17"/>
  <c r="H38" i="17"/>
  <c r="I38" i="17"/>
  <c r="C39" i="17"/>
  <c r="D39" i="17"/>
  <c r="E39" i="17"/>
  <c r="F39" i="17"/>
  <c r="H39" i="17"/>
  <c r="I39" i="17"/>
  <c r="C40" i="17"/>
  <c r="D40" i="17"/>
  <c r="E40" i="17"/>
  <c r="F40" i="17"/>
  <c r="H40" i="17"/>
  <c r="I40" i="17"/>
  <c r="C41" i="17"/>
  <c r="D41" i="17"/>
  <c r="E41" i="17"/>
  <c r="F41" i="17"/>
  <c r="H41" i="17"/>
  <c r="I41" i="17"/>
  <c r="C42" i="17"/>
  <c r="D42" i="17"/>
  <c r="E42" i="17"/>
  <c r="F42" i="17"/>
  <c r="H42" i="17"/>
  <c r="I42" i="17"/>
  <c r="C43" i="17"/>
  <c r="D43" i="17"/>
  <c r="E43" i="17"/>
  <c r="F43" i="17"/>
  <c r="H43" i="17"/>
  <c r="I43" i="17"/>
  <c r="C44" i="17"/>
  <c r="D44" i="17"/>
  <c r="E44" i="17"/>
  <c r="F44" i="17"/>
  <c r="H44" i="17"/>
  <c r="I44" i="17"/>
  <c r="C45" i="17"/>
  <c r="D45" i="17"/>
  <c r="E45" i="17"/>
  <c r="F45" i="17"/>
  <c r="H45" i="17"/>
  <c r="I45" i="17"/>
  <c r="C46" i="17"/>
  <c r="D46" i="17"/>
  <c r="E46" i="17"/>
  <c r="F46" i="17"/>
  <c r="H46" i="17"/>
  <c r="I46" i="17"/>
  <c r="C47" i="17"/>
  <c r="D47" i="17"/>
  <c r="E47" i="17"/>
  <c r="F47" i="17"/>
  <c r="H47" i="17"/>
  <c r="I47" i="17"/>
  <c r="C48" i="17"/>
  <c r="D48" i="17"/>
  <c r="E48" i="17"/>
  <c r="F48" i="17"/>
  <c r="H48" i="17"/>
  <c r="I48" i="17"/>
  <c r="C49" i="17"/>
  <c r="D49" i="17"/>
  <c r="E49" i="17"/>
  <c r="F49" i="17"/>
  <c r="H49" i="17"/>
  <c r="I49" i="17"/>
  <c r="C50" i="17"/>
  <c r="D50" i="17"/>
  <c r="E50" i="17"/>
  <c r="F50" i="17"/>
  <c r="H50" i="17"/>
  <c r="I50" i="17"/>
  <c r="C51" i="17"/>
  <c r="D51" i="17"/>
  <c r="E51" i="17"/>
  <c r="F51" i="17"/>
  <c r="H51" i="17"/>
  <c r="I51" i="17"/>
  <c r="C52" i="17"/>
  <c r="D52" i="17"/>
  <c r="E52" i="17"/>
  <c r="F52" i="17"/>
  <c r="H52" i="17"/>
  <c r="I52" i="17"/>
  <c r="C53" i="17"/>
  <c r="D53" i="17"/>
  <c r="E53" i="17"/>
  <c r="F53" i="17"/>
  <c r="H53" i="17"/>
  <c r="I53" i="17"/>
  <c r="C54" i="17"/>
  <c r="D54" i="17"/>
  <c r="E54" i="17"/>
  <c r="F54" i="17"/>
  <c r="H54" i="17"/>
  <c r="I54" i="17"/>
  <c r="C55" i="17"/>
  <c r="D55" i="17"/>
  <c r="E55" i="17"/>
  <c r="F55" i="17"/>
  <c r="H55" i="17"/>
  <c r="I55" i="17"/>
  <c r="C56" i="17"/>
  <c r="D56" i="17"/>
  <c r="E56" i="17"/>
  <c r="F56" i="17"/>
  <c r="H56" i="17"/>
  <c r="I56" i="17"/>
  <c r="C57" i="17"/>
  <c r="D57" i="17"/>
  <c r="E57" i="17"/>
  <c r="F57" i="17"/>
  <c r="H57" i="17"/>
  <c r="I57" i="17"/>
  <c r="C58" i="17"/>
  <c r="D58" i="17"/>
  <c r="E58" i="17"/>
  <c r="F58" i="17"/>
  <c r="H58" i="17"/>
  <c r="I58" i="17"/>
  <c r="C59" i="17"/>
  <c r="D59" i="17"/>
  <c r="E59" i="17"/>
  <c r="F59" i="17"/>
  <c r="H59" i="17"/>
  <c r="I59" i="17"/>
  <c r="C60" i="17"/>
  <c r="D60" i="17"/>
  <c r="E60" i="17"/>
  <c r="F60" i="17"/>
  <c r="H60" i="17"/>
  <c r="I60" i="17"/>
  <c r="C61" i="17"/>
  <c r="D61" i="17"/>
  <c r="E61" i="17"/>
  <c r="F61" i="17"/>
  <c r="H61" i="17"/>
  <c r="I61" i="17"/>
  <c r="C62" i="17"/>
  <c r="D62" i="17"/>
  <c r="E62" i="17"/>
  <c r="F62" i="17"/>
  <c r="H62" i="17"/>
  <c r="I62" i="17"/>
  <c r="C63" i="17"/>
  <c r="D63" i="17"/>
  <c r="E63" i="17"/>
  <c r="F63" i="17"/>
  <c r="H63" i="17"/>
  <c r="I63" i="17"/>
  <c r="C64" i="17"/>
  <c r="D64" i="17"/>
  <c r="E64" i="17"/>
  <c r="F64" i="17"/>
  <c r="H64" i="17"/>
  <c r="I64" i="17"/>
  <c r="C65" i="17"/>
  <c r="D65" i="17"/>
  <c r="E65" i="17"/>
  <c r="F65" i="17"/>
  <c r="H65" i="17"/>
  <c r="I65" i="17"/>
  <c r="C66" i="17"/>
  <c r="D66" i="17"/>
  <c r="E66" i="17"/>
  <c r="F66" i="17"/>
  <c r="H66" i="17"/>
  <c r="I66" i="17"/>
  <c r="C67" i="17"/>
  <c r="D67" i="17"/>
  <c r="E67" i="17"/>
  <c r="F67" i="17"/>
  <c r="H67" i="17"/>
  <c r="I67" i="17"/>
  <c r="C68" i="17"/>
  <c r="D68" i="17"/>
  <c r="E68" i="17"/>
  <c r="F68" i="17"/>
  <c r="H68" i="17"/>
  <c r="I68" i="17"/>
  <c r="C69" i="17"/>
  <c r="D69" i="17"/>
  <c r="E69" i="17"/>
  <c r="F69" i="17"/>
  <c r="H69" i="17"/>
  <c r="I69" i="17"/>
  <c r="C70" i="17"/>
  <c r="D70" i="17"/>
  <c r="E70" i="17"/>
  <c r="F70" i="17"/>
  <c r="H70" i="17"/>
  <c r="I70" i="17"/>
  <c r="C71" i="17"/>
  <c r="D71" i="17"/>
  <c r="E71" i="17"/>
  <c r="F71" i="17"/>
  <c r="H71" i="17"/>
  <c r="I71" i="17"/>
  <c r="C72" i="17"/>
  <c r="D72" i="17"/>
  <c r="E72" i="17"/>
  <c r="F72" i="17"/>
  <c r="H72" i="17"/>
  <c r="I72" i="17"/>
  <c r="C73" i="17"/>
  <c r="D73" i="17"/>
  <c r="E73" i="17"/>
  <c r="F73" i="17"/>
  <c r="H73" i="17"/>
  <c r="I73" i="17"/>
  <c r="C74" i="17"/>
  <c r="D74" i="17"/>
  <c r="E74" i="17"/>
  <c r="F74" i="17"/>
  <c r="H74" i="17"/>
  <c r="I74" i="17"/>
  <c r="C75" i="17"/>
  <c r="D75" i="17"/>
  <c r="E75" i="17"/>
  <c r="F75" i="17"/>
  <c r="H75" i="17"/>
  <c r="I75" i="17"/>
  <c r="C76" i="17"/>
  <c r="D76" i="17"/>
  <c r="E76" i="17"/>
  <c r="F76" i="17"/>
  <c r="H76" i="17"/>
  <c r="I76" i="17"/>
  <c r="C77" i="17"/>
  <c r="D77" i="17"/>
  <c r="E77" i="17"/>
  <c r="F77" i="17"/>
  <c r="H77" i="17"/>
  <c r="I77" i="17"/>
  <c r="C78" i="17"/>
  <c r="D78" i="17"/>
  <c r="E78" i="17"/>
  <c r="F78" i="17"/>
  <c r="H78" i="17"/>
  <c r="I78" i="17"/>
  <c r="C79" i="17"/>
  <c r="D79" i="17"/>
  <c r="E79" i="17"/>
  <c r="F79" i="17"/>
  <c r="H79" i="17"/>
  <c r="I79" i="17"/>
  <c r="C80" i="17"/>
  <c r="D80" i="17"/>
  <c r="E80" i="17"/>
  <c r="F80" i="17"/>
  <c r="H80" i="17"/>
  <c r="I80" i="17"/>
  <c r="C81" i="17"/>
  <c r="D81" i="17"/>
  <c r="E81" i="17"/>
  <c r="F81" i="17"/>
  <c r="H81" i="17"/>
  <c r="I81" i="17"/>
  <c r="C82" i="17"/>
  <c r="D82" i="17"/>
  <c r="E82" i="17"/>
  <c r="F82" i="17"/>
  <c r="H82" i="17"/>
  <c r="I82" i="17"/>
  <c r="C83" i="17"/>
  <c r="D83" i="17"/>
  <c r="E83" i="17"/>
  <c r="F83" i="17"/>
  <c r="H83" i="17"/>
  <c r="I83" i="17"/>
  <c r="C84" i="17"/>
  <c r="D84" i="17"/>
  <c r="E84" i="17"/>
  <c r="F84" i="17"/>
  <c r="H84" i="17"/>
  <c r="I84" i="17"/>
  <c r="C85" i="17"/>
  <c r="D85" i="17"/>
  <c r="E85" i="17"/>
  <c r="F85" i="17"/>
  <c r="H85" i="17"/>
  <c r="I85" i="17"/>
  <c r="C86" i="17"/>
  <c r="D86" i="17"/>
  <c r="E86" i="17"/>
  <c r="F86" i="17"/>
  <c r="H86" i="17"/>
  <c r="I86" i="17"/>
  <c r="C87" i="17"/>
  <c r="D87" i="17"/>
  <c r="E87" i="17"/>
  <c r="F87" i="17"/>
  <c r="H87" i="17"/>
  <c r="I87" i="17"/>
  <c r="C88" i="17"/>
  <c r="D88" i="17"/>
  <c r="E88" i="17"/>
  <c r="F88" i="17"/>
  <c r="H88" i="17"/>
  <c r="I88" i="17"/>
  <c r="C89" i="17"/>
  <c r="D89" i="17"/>
  <c r="E89" i="17"/>
  <c r="F89" i="17"/>
  <c r="H89" i="17"/>
  <c r="I89" i="17"/>
  <c r="C90" i="17"/>
  <c r="D90" i="17"/>
  <c r="E90" i="17"/>
  <c r="F90" i="17"/>
  <c r="H90" i="17"/>
  <c r="I90" i="17"/>
  <c r="C91" i="17"/>
  <c r="D91" i="17"/>
  <c r="E91" i="17"/>
  <c r="F91" i="17"/>
  <c r="H91" i="17"/>
  <c r="I91" i="17"/>
  <c r="C92" i="17"/>
  <c r="D92" i="17"/>
  <c r="E92" i="17"/>
  <c r="F92" i="17"/>
  <c r="H92" i="17"/>
  <c r="I92" i="17"/>
  <c r="C93" i="17"/>
  <c r="D93" i="17"/>
  <c r="E93" i="17"/>
  <c r="F93" i="17"/>
  <c r="H93" i="17"/>
  <c r="I93" i="17"/>
  <c r="C94" i="17"/>
  <c r="D94" i="17"/>
  <c r="E94" i="17"/>
  <c r="F94" i="17"/>
  <c r="H94" i="17"/>
  <c r="I94" i="17"/>
  <c r="C95" i="17"/>
  <c r="D95" i="17"/>
  <c r="E95" i="17"/>
  <c r="F95" i="17"/>
  <c r="H95" i="17"/>
  <c r="I95" i="17"/>
  <c r="C96" i="17"/>
  <c r="D96" i="17"/>
  <c r="E96" i="17"/>
  <c r="F96" i="17"/>
  <c r="H96" i="17"/>
  <c r="I96" i="17"/>
  <c r="C97" i="17"/>
  <c r="D97" i="17"/>
  <c r="E97" i="17"/>
  <c r="F97" i="17"/>
  <c r="H97" i="17"/>
  <c r="I97" i="17"/>
  <c r="C98" i="17"/>
  <c r="D98" i="17"/>
  <c r="E98" i="17"/>
  <c r="F98" i="17"/>
  <c r="H98" i="17"/>
  <c r="I98" i="17"/>
  <c r="C99" i="17"/>
  <c r="D99" i="17"/>
  <c r="E99" i="17"/>
  <c r="F99" i="17"/>
  <c r="H99" i="17"/>
  <c r="I99" i="17"/>
  <c r="C100" i="17"/>
  <c r="D100" i="17"/>
  <c r="E100" i="17"/>
  <c r="F100" i="17"/>
  <c r="H100" i="17"/>
  <c r="I100" i="17"/>
  <c r="C101" i="17"/>
  <c r="D101" i="17"/>
  <c r="E101" i="17"/>
  <c r="F101" i="17"/>
  <c r="H101" i="17"/>
  <c r="I101" i="17"/>
  <c r="C102" i="17"/>
  <c r="D102" i="17"/>
  <c r="E102" i="17"/>
  <c r="F102" i="17"/>
  <c r="H102" i="17"/>
  <c r="I102" i="17"/>
  <c r="C103" i="17"/>
  <c r="D103" i="17"/>
  <c r="E103" i="17"/>
  <c r="F103" i="17"/>
  <c r="H103" i="17"/>
  <c r="I103" i="17"/>
  <c r="C104" i="17"/>
  <c r="D104" i="17"/>
  <c r="E104" i="17"/>
  <c r="F104" i="17"/>
  <c r="H104" i="17"/>
  <c r="I104" i="17"/>
  <c r="C105" i="17"/>
  <c r="D105" i="17"/>
  <c r="E105" i="17"/>
  <c r="F105" i="17"/>
  <c r="H105" i="17"/>
  <c r="I105" i="17"/>
  <c r="C106" i="17"/>
  <c r="D106" i="17"/>
  <c r="E106" i="17"/>
  <c r="F106" i="17"/>
  <c r="H106" i="17"/>
  <c r="I106" i="17"/>
  <c r="C107" i="17"/>
  <c r="D107" i="17"/>
  <c r="E107" i="17"/>
  <c r="F107" i="17"/>
  <c r="H107" i="17"/>
  <c r="I107" i="17"/>
  <c r="C108" i="17"/>
  <c r="D108" i="17"/>
  <c r="E108" i="17"/>
  <c r="F108" i="17"/>
  <c r="H108" i="17"/>
  <c r="I108" i="17"/>
  <c r="C109" i="17"/>
  <c r="D109" i="17"/>
  <c r="E109" i="17"/>
  <c r="F109" i="17"/>
  <c r="H109" i="17"/>
  <c r="I109" i="17"/>
  <c r="C110" i="17"/>
  <c r="D110" i="17"/>
  <c r="E110" i="17"/>
  <c r="F110" i="17"/>
  <c r="H110" i="17"/>
  <c r="I110" i="17"/>
  <c r="C111" i="17"/>
  <c r="D111" i="17"/>
  <c r="E111" i="17"/>
  <c r="F111" i="17"/>
  <c r="H111" i="17"/>
  <c r="I111" i="17"/>
  <c r="C112" i="17"/>
  <c r="D112" i="17"/>
  <c r="E112" i="17"/>
  <c r="F112" i="17"/>
  <c r="H112" i="17"/>
  <c r="I112" i="17"/>
  <c r="C113" i="17"/>
  <c r="D113" i="17"/>
  <c r="E113" i="17"/>
  <c r="F113" i="17"/>
  <c r="H113" i="17"/>
  <c r="I113" i="17"/>
  <c r="C114" i="17"/>
  <c r="D114" i="17"/>
  <c r="E114" i="17"/>
  <c r="F114" i="17"/>
  <c r="H114" i="17"/>
  <c r="I114" i="17"/>
  <c r="C115" i="17"/>
  <c r="D115" i="17"/>
  <c r="E115" i="17"/>
  <c r="F115" i="17"/>
  <c r="H115" i="17"/>
  <c r="I115" i="17"/>
  <c r="C116" i="17"/>
  <c r="D116" i="17"/>
  <c r="E116" i="17"/>
  <c r="F116" i="17"/>
  <c r="H116" i="17"/>
  <c r="I116" i="17"/>
  <c r="C117" i="17"/>
  <c r="D117" i="17"/>
  <c r="E117" i="17"/>
  <c r="F117" i="17"/>
  <c r="H117" i="17"/>
  <c r="I117" i="17"/>
  <c r="C118" i="17"/>
  <c r="D118" i="17"/>
  <c r="E118" i="17"/>
  <c r="F118" i="17"/>
  <c r="H118" i="17"/>
  <c r="I118" i="17"/>
  <c r="C119" i="17"/>
  <c r="D119" i="17"/>
  <c r="E119" i="17"/>
  <c r="F119" i="17"/>
  <c r="H119" i="17"/>
  <c r="I119" i="17"/>
  <c r="C120" i="17"/>
  <c r="D120" i="17"/>
  <c r="E120" i="17"/>
  <c r="F120" i="17"/>
  <c r="H120" i="17"/>
  <c r="I120" i="17"/>
  <c r="C121" i="17"/>
  <c r="D121" i="17"/>
  <c r="E121" i="17"/>
  <c r="F121" i="17"/>
  <c r="H121" i="17"/>
  <c r="I121" i="17"/>
  <c r="C122" i="17"/>
  <c r="D122" i="17"/>
  <c r="E122" i="17"/>
  <c r="F122" i="17"/>
  <c r="H122" i="17"/>
  <c r="I122" i="17"/>
  <c r="C123" i="17"/>
  <c r="D123" i="17"/>
  <c r="E123" i="17"/>
  <c r="F123" i="17"/>
  <c r="H123" i="17"/>
  <c r="I123" i="17"/>
  <c r="C124" i="17"/>
  <c r="D124" i="17"/>
  <c r="E124" i="17"/>
  <c r="F124" i="17"/>
  <c r="H124" i="17"/>
  <c r="I124" i="17"/>
  <c r="C125" i="17"/>
  <c r="D125" i="17"/>
  <c r="E125" i="17"/>
  <c r="F125" i="17"/>
  <c r="H125" i="17"/>
  <c r="I125" i="17"/>
  <c r="C126" i="17"/>
  <c r="D126" i="17"/>
  <c r="E126" i="17"/>
  <c r="F126" i="17"/>
  <c r="H126" i="17"/>
  <c r="I126" i="17"/>
  <c r="C127" i="17"/>
  <c r="D127" i="17"/>
  <c r="E127" i="17"/>
  <c r="F127" i="17"/>
  <c r="H127" i="17"/>
  <c r="I127" i="17"/>
  <c r="C128" i="17"/>
  <c r="D128" i="17"/>
  <c r="E128" i="17"/>
  <c r="F128" i="17"/>
  <c r="H128" i="17"/>
  <c r="I128" i="17"/>
  <c r="C129" i="17"/>
  <c r="D129" i="17"/>
  <c r="E129" i="17"/>
  <c r="F129" i="17"/>
  <c r="H129" i="17"/>
  <c r="I129" i="17"/>
  <c r="C130" i="17"/>
  <c r="D130" i="17"/>
  <c r="E130" i="17"/>
  <c r="F130" i="17"/>
  <c r="H130" i="17"/>
  <c r="I130" i="17"/>
  <c r="C131" i="17"/>
  <c r="D131" i="17"/>
  <c r="E131" i="17"/>
  <c r="F131" i="17"/>
  <c r="H131" i="17"/>
  <c r="I131" i="17"/>
  <c r="C132" i="17"/>
  <c r="D132" i="17"/>
  <c r="E132" i="17"/>
  <c r="F132" i="17"/>
  <c r="H132" i="17"/>
  <c r="I132" i="17"/>
  <c r="C133" i="17"/>
  <c r="D133" i="17"/>
  <c r="E133" i="17"/>
  <c r="F133" i="17"/>
  <c r="H133" i="17"/>
  <c r="I133" i="17"/>
  <c r="C134" i="17"/>
  <c r="D134" i="17"/>
  <c r="E134" i="17"/>
  <c r="F134" i="17"/>
  <c r="H134" i="17"/>
  <c r="I134" i="17"/>
  <c r="C135" i="17"/>
  <c r="D135" i="17"/>
  <c r="E135" i="17"/>
  <c r="F135" i="17"/>
  <c r="H135" i="17"/>
  <c r="I135" i="17"/>
  <c r="C136" i="17"/>
  <c r="D136" i="17"/>
  <c r="E136" i="17"/>
  <c r="F136" i="17"/>
  <c r="H136" i="17"/>
  <c r="I136" i="17"/>
  <c r="C137" i="17"/>
  <c r="D137" i="17"/>
  <c r="E137" i="17"/>
  <c r="F137" i="17"/>
  <c r="H137" i="17"/>
  <c r="I137" i="17"/>
  <c r="C138" i="17"/>
  <c r="D138" i="17"/>
  <c r="E138" i="17"/>
  <c r="F138" i="17"/>
  <c r="H138" i="17"/>
  <c r="I138" i="17"/>
  <c r="C139" i="17"/>
  <c r="D139" i="17"/>
  <c r="E139" i="17"/>
  <c r="F139" i="17"/>
  <c r="H139" i="17"/>
  <c r="I139" i="17"/>
  <c r="C140" i="17"/>
  <c r="D140" i="17"/>
  <c r="E140" i="17"/>
  <c r="F140" i="17"/>
  <c r="H140" i="17"/>
  <c r="I140" i="17"/>
  <c r="C141" i="17"/>
  <c r="D141" i="17"/>
  <c r="E141" i="17"/>
  <c r="F141" i="17"/>
  <c r="H141" i="17"/>
  <c r="I141" i="17"/>
  <c r="C142" i="17"/>
  <c r="D142" i="17"/>
  <c r="E142" i="17"/>
  <c r="F142" i="17"/>
  <c r="H142" i="17"/>
  <c r="I142" i="17"/>
  <c r="C143" i="17"/>
  <c r="D143" i="17"/>
  <c r="E143" i="17"/>
  <c r="F143" i="17"/>
  <c r="H143" i="17"/>
  <c r="I143" i="17"/>
  <c r="C144" i="17"/>
  <c r="D144" i="17"/>
  <c r="E144" i="17"/>
  <c r="F144" i="17"/>
  <c r="H144" i="17"/>
  <c r="I144" i="17"/>
  <c r="C145" i="17"/>
  <c r="D145" i="17"/>
  <c r="E145" i="17"/>
  <c r="F145" i="17"/>
  <c r="H145" i="17"/>
  <c r="I145" i="17"/>
  <c r="C146" i="17"/>
  <c r="D146" i="17"/>
  <c r="E146" i="17"/>
  <c r="F146" i="17"/>
  <c r="H146" i="17"/>
  <c r="I146" i="17"/>
  <c r="C147" i="17"/>
  <c r="D147" i="17"/>
  <c r="E147" i="17"/>
  <c r="F147" i="17"/>
  <c r="H147" i="17"/>
  <c r="I147" i="17"/>
  <c r="C148" i="17"/>
  <c r="D148" i="17"/>
  <c r="E148" i="17"/>
  <c r="F148" i="17"/>
  <c r="H148" i="17"/>
  <c r="I148" i="17"/>
  <c r="C149" i="17"/>
  <c r="D149" i="17"/>
  <c r="E149" i="17"/>
  <c r="F149" i="17"/>
  <c r="H149" i="17"/>
  <c r="I149" i="17"/>
  <c r="C150" i="17"/>
  <c r="D150" i="17"/>
  <c r="E150" i="17"/>
  <c r="F150" i="17"/>
  <c r="H150" i="17"/>
  <c r="I150" i="17"/>
  <c r="C151" i="17"/>
  <c r="D151" i="17"/>
  <c r="E151" i="17"/>
  <c r="F151" i="17"/>
  <c r="H151" i="17"/>
  <c r="I151" i="17"/>
  <c r="C152" i="17"/>
  <c r="D152" i="17"/>
  <c r="E152" i="17"/>
  <c r="F152" i="17"/>
  <c r="H152" i="17"/>
  <c r="I152" i="17"/>
  <c r="C153" i="17"/>
  <c r="D153" i="17"/>
  <c r="E153" i="17"/>
  <c r="F153" i="17"/>
  <c r="H153" i="17"/>
  <c r="I153" i="17"/>
  <c r="C154" i="17"/>
  <c r="D154" i="17"/>
  <c r="E154" i="17"/>
  <c r="F154" i="17"/>
  <c r="H154" i="17"/>
  <c r="I154" i="17"/>
  <c r="C155" i="17"/>
  <c r="D155" i="17"/>
  <c r="E155" i="17"/>
  <c r="F155" i="17"/>
  <c r="H155" i="17"/>
  <c r="I155" i="17"/>
  <c r="C156" i="17"/>
  <c r="D156" i="17"/>
  <c r="E156" i="17"/>
  <c r="F156" i="17"/>
  <c r="H156" i="17"/>
  <c r="I156" i="17"/>
  <c r="C157" i="17"/>
  <c r="D157" i="17"/>
  <c r="E157" i="17"/>
  <c r="F157" i="17"/>
  <c r="H157" i="17"/>
  <c r="I157" i="17"/>
  <c r="C158" i="17"/>
  <c r="D158" i="17"/>
  <c r="E158" i="17"/>
  <c r="F158" i="17"/>
  <c r="H158" i="17"/>
  <c r="I158" i="17"/>
  <c r="C159" i="17"/>
  <c r="D159" i="17"/>
  <c r="E159" i="17"/>
  <c r="F159" i="17"/>
  <c r="H159" i="17"/>
  <c r="I159" i="17"/>
  <c r="C160" i="17"/>
  <c r="D160" i="17"/>
  <c r="E160" i="17"/>
  <c r="F160" i="17"/>
  <c r="H160" i="17"/>
  <c r="I160" i="17"/>
  <c r="C161" i="17"/>
  <c r="D161" i="17"/>
  <c r="E161" i="17"/>
  <c r="F161" i="17"/>
  <c r="H161" i="17"/>
  <c r="I161" i="17"/>
  <c r="C162" i="17"/>
  <c r="D162" i="17"/>
  <c r="E162" i="17"/>
  <c r="F162" i="17"/>
  <c r="H162" i="17"/>
  <c r="I162" i="17"/>
  <c r="C163" i="17"/>
  <c r="D163" i="17"/>
  <c r="E163" i="17"/>
  <c r="F163" i="17"/>
  <c r="H163" i="17"/>
  <c r="I163" i="17"/>
  <c r="C164" i="17"/>
  <c r="D164" i="17"/>
  <c r="E164" i="17"/>
  <c r="F164" i="17"/>
  <c r="H164" i="17"/>
  <c r="I164" i="17"/>
  <c r="C165" i="17"/>
  <c r="D165" i="17"/>
  <c r="E165" i="17"/>
  <c r="F165" i="17"/>
  <c r="H165" i="17"/>
  <c r="I165" i="17"/>
  <c r="C166" i="17"/>
  <c r="D166" i="17"/>
  <c r="E166" i="17"/>
  <c r="F166" i="17"/>
  <c r="H166" i="17"/>
  <c r="I166" i="17"/>
  <c r="C167" i="17"/>
  <c r="D167" i="17"/>
  <c r="E167" i="17"/>
  <c r="F167" i="17"/>
  <c r="H167" i="17"/>
  <c r="I167" i="17"/>
  <c r="C168" i="17"/>
  <c r="D168" i="17"/>
  <c r="E168" i="17"/>
  <c r="F168" i="17"/>
  <c r="H168" i="17"/>
  <c r="I168" i="17"/>
  <c r="C169" i="17"/>
  <c r="D169" i="17"/>
  <c r="E169" i="17"/>
  <c r="F169" i="17"/>
  <c r="H169" i="17"/>
  <c r="I169" i="17"/>
  <c r="C170" i="17"/>
  <c r="D170" i="17"/>
  <c r="E170" i="17"/>
  <c r="F170" i="17"/>
  <c r="H170" i="17"/>
  <c r="I170" i="17"/>
  <c r="C171" i="17"/>
  <c r="D171" i="17"/>
  <c r="E171" i="17"/>
  <c r="F171" i="17"/>
  <c r="H171" i="17"/>
  <c r="I171" i="17"/>
  <c r="C172" i="17"/>
  <c r="D172" i="17"/>
  <c r="E172" i="17"/>
  <c r="F172" i="17"/>
  <c r="H172" i="17"/>
  <c r="I172" i="17"/>
  <c r="C173" i="17"/>
  <c r="D173" i="17"/>
  <c r="E173" i="17"/>
  <c r="F173" i="17"/>
  <c r="H173" i="17"/>
  <c r="I173" i="17"/>
  <c r="C174" i="17"/>
  <c r="D174" i="17"/>
  <c r="E174" i="17"/>
  <c r="F174" i="17"/>
  <c r="H174" i="17"/>
  <c r="I174" i="17"/>
  <c r="C175" i="17"/>
  <c r="D175" i="17"/>
  <c r="E175" i="17"/>
  <c r="F175" i="17"/>
  <c r="H175" i="17"/>
  <c r="I175" i="17"/>
  <c r="C176" i="17"/>
  <c r="D176" i="17"/>
  <c r="E176" i="17"/>
  <c r="F176" i="17"/>
  <c r="H176" i="17"/>
  <c r="I176" i="17"/>
  <c r="C177" i="17"/>
  <c r="D177" i="17"/>
  <c r="E177" i="17"/>
  <c r="F177" i="17"/>
  <c r="H177" i="17"/>
  <c r="I177" i="17"/>
  <c r="C178" i="17"/>
  <c r="D178" i="17"/>
  <c r="E178" i="17"/>
  <c r="F178" i="17"/>
  <c r="H178" i="17"/>
  <c r="I178" i="17"/>
  <c r="C179" i="17"/>
  <c r="D179" i="17"/>
  <c r="E179" i="17"/>
  <c r="F179" i="17"/>
  <c r="H179" i="17"/>
  <c r="I179" i="17"/>
  <c r="C180" i="17"/>
  <c r="D180" i="17"/>
  <c r="E180" i="17"/>
  <c r="F180" i="17"/>
  <c r="H180" i="17"/>
  <c r="I180" i="17"/>
  <c r="C181" i="17"/>
  <c r="D181" i="17"/>
  <c r="E181" i="17"/>
  <c r="F181" i="17"/>
  <c r="H181" i="17"/>
  <c r="I181" i="17"/>
  <c r="C182" i="17"/>
  <c r="D182" i="17"/>
  <c r="E182" i="17"/>
  <c r="F182" i="17"/>
  <c r="H182" i="17"/>
  <c r="I182" i="17"/>
  <c r="C183" i="17"/>
  <c r="D183" i="17"/>
  <c r="E183" i="17"/>
  <c r="F183" i="17"/>
  <c r="H183" i="17"/>
  <c r="I183" i="17"/>
  <c r="C184" i="17"/>
  <c r="D184" i="17"/>
  <c r="E184" i="17"/>
  <c r="F184" i="17"/>
  <c r="H184" i="17"/>
  <c r="I184" i="17"/>
  <c r="C185" i="17"/>
  <c r="D185" i="17"/>
  <c r="E185" i="17"/>
  <c r="F185" i="17"/>
  <c r="H185" i="17"/>
  <c r="I185" i="17"/>
  <c r="C186" i="17"/>
  <c r="D186" i="17"/>
  <c r="E186" i="17"/>
  <c r="F186" i="17"/>
  <c r="H186" i="17"/>
  <c r="I186" i="17"/>
  <c r="C187" i="17"/>
  <c r="D187" i="17"/>
  <c r="E187" i="17"/>
  <c r="F187" i="17"/>
  <c r="H187" i="17"/>
  <c r="I187" i="17"/>
  <c r="C188" i="17"/>
  <c r="D188" i="17"/>
  <c r="E188" i="17"/>
  <c r="F188" i="17"/>
  <c r="H188" i="17"/>
  <c r="I188" i="17"/>
  <c r="C189" i="17"/>
  <c r="D189" i="17"/>
  <c r="E189" i="17"/>
  <c r="F189" i="17"/>
  <c r="H189" i="17"/>
  <c r="I189" i="17"/>
  <c r="C190" i="17"/>
  <c r="D190" i="17"/>
  <c r="E190" i="17"/>
  <c r="F190" i="17"/>
  <c r="H190" i="17"/>
  <c r="I190" i="17"/>
  <c r="C191" i="17"/>
  <c r="D191" i="17"/>
  <c r="E191" i="17"/>
  <c r="F191" i="17"/>
  <c r="H191" i="17"/>
  <c r="I191" i="17"/>
  <c r="C192" i="17"/>
  <c r="D192" i="17"/>
  <c r="E192" i="17"/>
  <c r="F192" i="17"/>
  <c r="H192" i="17"/>
  <c r="I192" i="17"/>
  <c r="C193" i="17"/>
  <c r="D193" i="17"/>
  <c r="E193" i="17"/>
  <c r="F193" i="17"/>
  <c r="H193" i="17"/>
  <c r="I193" i="17"/>
  <c r="C194" i="17"/>
  <c r="D194" i="17"/>
  <c r="E194" i="17"/>
  <c r="F194" i="17"/>
  <c r="H194" i="17"/>
  <c r="I194" i="17"/>
  <c r="C195" i="17"/>
  <c r="D195" i="17"/>
  <c r="E195" i="17"/>
  <c r="F195" i="17"/>
  <c r="H195" i="17"/>
  <c r="I195" i="17"/>
  <c r="C196" i="17"/>
  <c r="D196" i="17"/>
  <c r="E196" i="17"/>
  <c r="F196" i="17"/>
  <c r="H196" i="17"/>
  <c r="I196" i="17"/>
  <c r="C197" i="17"/>
  <c r="D197" i="17"/>
  <c r="E197" i="17"/>
  <c r="F197" i="17"/>
  <c r="H197" i="17"/>
  <c r="I197" i="17"/>
  <c r="C198" i="17"/>
  <c r="D198" i="17"/>
  <c r="E198" i="17"/>
  <c r="F198" i="17"/>
  <c r="H198" i="17"/>
  <c r="I198" i="17"/>
  <c r="C199" i="17"/>
  <c r="D199" i="17"/>
  <c r="E199" i="17"/>
  <c r="F199" i="17"/>
  <c r="H199" i="17"/>
  <c r="I199" i="17"/>
  <c r="C200" i="17"/>
  <c r="D200" i="17"/>
  <c r="E200" i="17"/>
  <c r="F200" i="17"/>
  <c r="H200" i="17"/>
  <c r="I200" i="17"/>
  <c r="C201" i="17"/>
  <c r="D201" i="17"/>
  <c r="E201" i="17"/>
  <c r="F201" i="17"/>
  <c r="H201" i="17"/>
  <c r="I201" i="17"/>
  <c r="C202" i="17"/>
  <c r="D202" i="17"/>
  <c r="E202" i="17"/>
  <c r="F202" i="17"/>
  <c r="H202" i="17"/>
  <c r="I202" i="17"/>
  <c r="C203" i="17"/>
  <c r="D203" i="17"/>
  <c r="E203" i="17"/>
  <c r="F203" i="17"/>
  <c r="H203" i="17"/>
  <c r="I203" i="17"/>
  <c r="C204" i="17"/>
  <c r="D204" i="17"/>
  <c r="E204" i="17"/>
  <c r="F204" i="17"/>
  <c r="H204" i="17"/>
  <c r="I204" i="17"/>
  <c r="C205" i="17"/>
  <c r="D205" i="17"/>
  <c r="E205" i="17"/>
  <c r="F205" i="17"/>
  <c r="H205" i="17"/>
  <c r="I205" i="17"/>
  <c r="C206" i="17"/>
  <c r="D206" i="17"/>
  <c r="E206" i="17"/>
  <c r="F206" i="17"/>
  <c r="H206" i="17"/>
  <c r="I206" i="17"/>
  <c r="C207" i="17"/>
  <c r="D207" i="17"/>
  <c r="E207" i="17"/>
  <c r="F207" i="17"/>
  <c r="H207" i="17"/>
  <c r="I207" i="17"/>
  <c r="C208" i="17"/>
  <c r="D208" i="17"/>
  <c r="E208" i="17"/>
  <c r="F208" i="17"/>
  <c r="H208" i="17"/>
  <c r="I208" i="17"/>
  <c r="C209" i="17"/>
  <c r="D209" i="17"/>
  <c r="E209" i="17"/>
  <c r="F209" i="17"/>
  <c r="H209" i="17"/>
  <c r="I209" i="17"/>
  <c r="C210" i="17"/>
  <c r="D210" i="17"/>
  <c r="E210" i="17"/>
  <c r="F210" i="17"/>
  <c r="H210" i="17"/>
  <c r="I210" i="17"/>
  <c r="C211" i="17"/>
  <c r="D211" i="17"/>
  <c r="E211" i="17"/>
  <c r="F211" i="17"/>
  <c r="H211" i="17"/>
  <c r="I211" i="17"/>
  <c r="C212" i="17"/>
  <c r="D212" i="17"/>
  <c r="E212" i="17"/>
  <c r="F212" i="17"/>
  <c r="H212" i="17"/>
  <c r="I212" i="17"/>
  <c r="C213" i="17"/>
  <c r="D213" i="17"/>
  <c r="E213" i="17"/>
  <c r="F213" i="17"/>
  <c r="H213" i="17"/>
  <c r="I213" i="17"/>
  <c r="C214" i="17"/>
  <c r="D214" i="17"/>
  <c r="E214" i="17"/>
  <c r="F214" i="17"/>
  <c r="H214" i="17"/>
  <c r="I214" i="17"/>
  <c r="C215" i="17"/>
  <c r="D215" i="17"/>
  <c r="E215" i="17"/>
  <c r="F215" i="17"/>
  <c r="H215" i="17"/>
  <c r="I215" i="17"/>
  <c r="C216" i="17"/>
  <c r="D216" i="17"/>
  <c r="E216" i="17"/>
  <c r="F216" i="17"/>
  <c r="H216" i="17"/>
  <c r="I216" i="17"/>
  <c r="C217" i="17"/>
  <c r="D217" i="17"/>
  <c r="E217" i="17"/>
  <c r="F217" i="17"/>
  <c r="H217" i="17"/>
  <c r="I217" i="17"/>
  <c r="C218" i="17"/>
  <c r="D218" i="17"/>
  <c r="E218" i="17"/>
  <c r="F218" i="17"/>
  <c r="H218" i="17"/>
  <c r="I218" i="17"/>
  <c r="C219" i="17"/>
  <c r="D219" i="17"/>
  <c r="E219" i="17"/>
  <c r="F219" i="17"/>
  <c r="H219" i="17"/>
  <c r="I219" i="17"/>
  <c r="C220" i="17"/>
  <c r="D220" i="17"/>
  <c r="E220" i="17"/>
  <c r="F220" i="17"/>
  <c r="H220" i="17"/>
  <c r="I220" i="17"/>
  <c r="C221" i="17"/>
  <c r="D221" i="17"/>
  <c r="E221" i="17"/>
  <c r="F221" i="17"/>
  <c r="H221" i="17"/>
  <c r="I221" i="17"/>
  <c r="C222" i="17"/>
  <c r="D222" i="17"/>
  <c r="E222" i="17"/>
  <c r="F222" i="17"/>
  <c r="H222" i="17"/>
  <c r="I222" i="17"/>
  <c r="C223" i="17"/>
  <c r="D223" i="17"/>
  <c r="E223" i="17"/>
  <c r="F223" i="17"/>
  <c r="H223" i="17"/>
  <c r="I223" i="17"/>
  <c r="C224" i="17"/>
  <c r="D224" i="17"/>
  <c r="E224" i="17"/>
  <c r="F224" i="17"/>
  <c r="H224" i="17"/>
  <c r="I224" i="17"/>
  <c r="C225" i="17"/>
  <c r="D225" i="17"/>
  <c r="E225" i="17"/>
  <c r="F225" i="17"/>
  <c r="H225" i="17"/>
  <c r="I225" i="17"/>
  <c r="C226" i="17"/>
  <c r="D226" i="17"/>
  <c r="E226" i="17"/>
  <c r="F226" i="17"/>
  <c r="H226" i="17"/>
  <c r="I226" i="17"/>
  <c r="C227" i="17"/>
  <c r="D227" i="17"/>
  <c r="E227" i="17"/>
  <c r="F227" i="17"/>
  <c r="H227" i="17"/>
  <c r="I227" i="17"/>
  <c r="C228" i="17"/>
  <c r="D228" i="17"/>
  <c r="E228" i="17"/>
  <c r="F228" i="17"/>
  <c r="H228" i="17"/>
  <c r="I228" i="17"/>
  <c r="C229" i="17"/>
  <c r="D229" i="17"/>
  <c r="E229" i="17"/>
  <c r="F229" i="17"/>
  <c r="H229" i="17"/>
  <c r="I229" i="17"/>
  <c r="C230" i="17"/>
  <c r="D230" i="17"/>
  <c r="E230" i="17"/>
  <c r="F230" i="17"/>
  <c r="H230" i="17"/>
  <c r="I230" i="17"/>
  <c r="C231" i="17"/>
  <c r="D231" i="17"/>
  <c r="E231" i="17"/>
  <c r="F231" i="17"/>
  <c r="H231" i="17"/>
  <c r="I231" i="17"/>
  <c r="C232" i="17"/>
  <c r="D232" i="17"/>
  <c r="E232" i="17"/>
  <c r="F232" i="17"/>
  <c r="H232" i="17"/>
  <c r="I232" i="17"/>
  <c r="C233" i="17"/>
  <c r="D233" i="17"/>
  <c r="E233" i="17"/>
  <c r="F233" i="17"/>
  <c r="H233" i="17"/>
  <c r="I233" i="17"/>
  <c r="C234" i="17"/>
  <c r="D234" i="17"/>
  <c r="E234" i="17"/>
  <c r="F234" i="17"/>
  <c r="H234" i="17"/>
  <c r="I234" i="17"/>
  <c r="C235" i="17"/>
  <c r="D235" i="17"/>
  <c r="E235" i="17"/>
  <c r="F235" i="17"/>
  <c r="H235" i="17"/>
  <c r="I235" i="17"/>
  <c r="C236" i="17"/>
  <c r="D236" i="17"/>
  <c r="E236" i="17"/>
  <c r="F236" i="17"/>
  <c r="H236" i="17"/>
  <c r="I236" i="17"/>
  <c r="C237" i="17"/>
  <c r="D237" i="17"/>
  <c r="E237" i="17"/>
  <c r="F237" i="17"/>
  <c r="H237" i="17"/>
  <c r="I237" i="17"/>
  <c r="C238" i="17"/>
  <c r="D238" i="17"/>
  <c r="E238" i="17"/>
  <c r="F238" i="17"/>
  <c r="H238" i="17"/>
  <c r="I238" i="17"/>
  <c r="C239" i="17"/>
  <c r="D239" i="17"/>
  <c r="E239" i="17"/>
  <c r="F239" i="17"/>
  <c r="H239" i="17"/>
  <c r="I239" i="17"/>
  <c r="C240" i="17"/>
  <c r="D240" i="17"/>
  <c r="E240" i="17"/>
  <c r="F240" i="17"/>
  <c r="H240" i="17"/>
  <c r="I240" i="17"/>
  <c r="C241" i="17"/>
  <c r="D241" i="17"/>
  <c r="E241" i="17"/>
  <c r="F241" i="17"/>
  <c r="H241" i="17"/>
  <c r="I241" i="17"/>
  <c r="C242" i="17"/>
  <c r="D242" i="17"/>
  <c r="E242" i="17"/>
  <c r="F242" i="17"/>
  <c r="H242" i="17"/>
  <c r="I242" i="17"/>
  <c r="C243" i="17"/>
  <c r="D243" i="17"/>
  <c r="E243" i="17"/>
  <c r="F243" i="17"/>
  <c r="H243" i="17"/>
  <c r="I243" i="17"/>
  <c r="C244" i="17"/>
  <c r="D244" i="17"/>
  <c r="E244" i="17"/>
  <c r="F244" i="17"/>
  <c r="H244" i="17"/>
  <c r="I244" i="17"/>
  <c r="C245" i="17"/>
  <c r="D245" i="17"/>
  <c r="E245" i="17"/>
  <c r="F245" i="17"/>
  <c r="H245" i="17"/>
  <c r="I245" i="17"/>
  <c r="C246" i="17"/>
  <c r="D246" i="17"/>
  <c r="E246" i="17"/>
  <c r="F246" i="17"/>
  <c r="H246" i="17"/>
  <c r="I246" i="17"/>
  <c r="C247" i="17"/>
  <c r="D247" i="17"/>
  <c r="E247" i="17"/>
  <c r="F247" i="17"/>
  <c r="H247" i="17"/>
  <c r="I247" i="17"/>
  <c r="C248" i="17"/>
  <c r="D248" i="17"/>
  <c r="E248" i="17"/>
  <c r="F248" i="17"/>
  <c r="H248" i="17"/>
  <c r="I248" i="17"/>
  <c r="C249" i="17"/>
  <c r="D249" i="17"/>
  <c r="E249" i="17"/>
  <c r="F249" i="17"/>
  <c r="H249" i="17"/>
  <c r="I249" i="17"/>
  <c r="C250" i="17"/>
  <c r="D250" i="17"/>
  <c r="E250" i="17"/>
  <c r="F250" i="17"/>
  <c r="H250" i="17"/>
  <c r="I250" i="17"/>
  <c r="C251" i="17"/>
  <c r="D251" i="17"/>
  <c r="E251" i="17"/>
  <c r="F251" i="17"/>
  <c r="H251" i="17"/>
  <c r="I251" i="17"/>
  <c r="C252" i="17"/>
  <c r="D252" i="17"/>
  <c r="E252" i="17"/>
  <c r="F252" i="17"/>
  <c r="H252" i="17"/>
  <c r="I252" i="17"/>
  <c r="C253" i="17"/>
  <c r="D253" i="17"/>
  <c r="E253" i="17"/>
  <c r="F253" i="17"/>
  <c r="H253" i="17"/>
  <c r="I253" i="17"/>
  <c r="C254" i="17"/>
  <c r="D254" i="17"/>
  <c r="E254" i="17"/>
  <c r="F254" i="17"/>
  <c r="H254" i="17"/>
  <c r="I254" i="17"/>
  <c r="C255" i="17"/>
  <c r="D255" i="17"/>
  <c r="E255" i="17"/>
  <c r="F255" i="17"/>
  <c r="H255" i="17"/>
  <c r="I255" i="17"/>
  <c r="C256" i="17"/>
  <c r="D256" i="17"/>
  <c r="E256" i="17"/>
  <c r="F256" i="17"/>
  <c r="H256" i="17"/>
  <c r="I256" i="17"/>
  <c r="C257" i="17"/>
  <c r="D257" i="17"/>
  <c r="E257" i="17"/>
  <c r="F257" i="17"/>
  <c r="H257" i="17"/>
  <c r="I257" i="17"/>
  <c r="C258" i="17"/>
  <c r="D258" i="17"/>
  <c r="E258" i="17"/>
  <c r="F258" i="17"/>
  <c r="H258" i="17"/>
  <c r="I258" i="17"/>
  <c r="C259" i="17"/>
  <c r="D259" i="17"/>
  <c r="E259" i="17"/>
  <c r="F259" i="17"/>
  <c r="H259" i="17"/>
  <c r="I259" i="17"/>
  <c r="C260" i="17"/>
  <c r="D260" i="17"/>
  <c r="E260" i="17"/>
  <c r="F260" i="17"/>
  <c r="H260" i="17"/>
  <c r="I260" i="17"/>
  <c r="C261" i="17"/>
  <c r="D261" i="17"/>
  <c r="E261" i="17"/>
  <c r="F261" i="17"/>
  <c r="H261" i="17"/>
  <c r="I261" i="17"/>
  <c r="C262" i="17"/>
  <c r="D262" i="17"/>
  <c r="E262" i="17"/>
  <c r="F262" i="17"/>
  <c r="H262" i="17"/>
  <c r="I262" i="17"/>
  <c r="C263" i="17"/>
  <c r="D263" i="17"/>
  <c r="E263" i="17"/>
  <c r="F263" i="17"/>
  <c r="H263" i="17"/>
  <c r="I263" i="17"/>
  <c r="C264" i="17"/>
  <c r="D264" i="17"/>
  <c r="E264" i="17"/>
  <c r="F264" i="17"/>
  <c r="H264" i="17"/>
  <c r="I264" i="17"/>
  <c r="C265" i="17"/>
  <c r="D265" i="17"/>
  <c r="E265" i="17"/>
  <c r="F265" i="17"/>
  <c r="H265" i="17"/>
  <c r="I265" i="17"/>
  <c r="C266" i="17"/>
  <c r="D266" i="17"/>
  <c r="E266" i="17"/>
  <c r="F266" i="17"/>
  <c r="H266" i="17"/>
  <c r="I266" i="17"/>
  <c r="C267" i="17"/>
  <c r="D267" i="17"/>
  <c r="E267" i="17"/>
  <c r="F267" i="17"/>
  <c r="H267" i="17"/>
  <c r="I267" i="17"/>
  <c r="C268" i="17"/>
  <c r="D268" i="17"/>
  <c r="E268" i="17"/>
  <c r="F268" i="17"/>
  <c r="H268" i="17"/>
  <c r="I268" i="17"/>
  <c r="C269" i="17"/>
  <c r="D269" i="17"/>
  <c r="E269" i="17"/>
  <c r="F269" i="17"/>
  <c r="H269" i="17"/>
  <c r="I269" i="17"/>
  <c r="C270" i="17"/>
  <c r="D270" i="17"/>
  <c r="E270" i="17"/>
  <c r="F270" i="17"/>
  <c r="H270" i="17"/>
  <c r="I270" i="17"/>
  <c r="C271" i="17"/>
  <c r="D271" i="17"/>
  <c r="E271" i="17"/>
  <c r="F271" i="17"/>
  <c r="H271" i="17"/>
  <c r="I271" i="17"/>
  <c r="C272" i="17"/>
  <c r="D272" i="17"/>
  <c r="E272" i="17"/>
  <c r="F272" i="17"/>
  <c r="H272" i="17"/>
  <c r="I272" i="17"/>
  <c r="C273" i="17"/>
  <c r="D273" i="17"/>
  <c r="E273" i="17"/>
  <c r="F273" i="17"/>
  <c r="H273" i="17"/>
  <c r="I273" i="17"/>
  <c r="C274" i="17"/>
  <c r="D274" i="17"/>
  <c r="E274" i="17"/>
  <c r="F274" i="17"/>
  <c r="H274" i="17"/>
  <c r="I274" i="17"/>
  <c r="C275" i="17"/>
  <c r="D275" i="17"/>
  <c r="E275" i="17"/>
  <c r="F275" i="17"/>
  <c r="H275" i="17"/>
  <c r="I275" i="17"/>
  <c r="C276" i="17"/>
  <c r="D276" i="17"/>
  <c r="E276" i="17"/>
  <c r="F276" i="17"/>
  <c r="H276" i="17"/>
  <c r="I276" i="17"/>
  <c r="C277" i="17"/>
  <c r="D277" i="17"/>
  <c r="E277" i="17"/>
  <c r="F277" i="17"/>
  <c r="H277" i="17"/>
  <c r="I277" i="17"/>
  <c r="C278" i="17"/>
  <c r="D278" i="17"/>
  <c r="E278" i="17"/>
  <c r="F278" i="17"/>
  <c r="H278" i="17"/>
  <c r="I278" i="17"/>
  <c r="C279" i="17"/>
  <c r="D279" i="17"/>
  <c r="E279" i="17"/>
  <c r="F279" i="17"/>
  <c r="H279" i="17"/>
  <c r="I279" i="17"/>
  <c r="C280" i="17"/>
  <c r="D280" i="17"/>
  <c r="E280" i="17"/>
  <c r="F280" i="17"/>
  <c r="H280" i="17"/>
  <c r="I280" i="17"/>
  <c r="C281" i="17"/>
  <c r="D281" i="17"/>
  <c r="E281" i="17"/>
  <c r="F281" i="17"/>
  <c r="H281" i="17"/>
  <c r="I281" i="17"/>
  <c r="C282" i="17"/>
  <c r="D282" i="17"/>
  <c r="E282" i="17"/>
  <c r="F282" i="17"/>
  <c r="H282" i="17"/>
  <c r="I282" i="17"/>
  <c r="C283" i="17"/>
  <c r="D283" i="17"/>
  <c r="E283" i="17"/>
  <c r="F283" i="17"/>
  <c r="H283" i="17"/>
  <c r="I283" i="17"/>
  <c r="C284" i="17"/>
  <c r="D284" i="17"/>
  <c r="E284" i="17"/>
  <c r="F284" i="17"/>
  <c r="H284" i="17"/>
  <c r="I284" i="17"/>
  <c r="C285" i="17"/>
  <c r="D285" i="17"/>
  <c r="E285" i="17"/>
  <c r="F285" i="17"/>
  <c r="H285" i="17"/>
  <c r="I285" i="17"/>
  <c r="C286" i="17"/>
  <c r="D286" i="17"/>
  <c r="E286" i="17"/>
  <c r="F286" i="17"/>
  <c r="H286" i="17"/>
  <c r="I286" i="17"/>
  <c r="C287" i="17"/>
  <c r="D287" i="17"/>
  <c r="E287" i="17"/>
  <c r="F287" i="17"/>
  <c r="H287" i="17"/>
  <c r="I287" i="17"/>
  <c r="C288" i="17"/>
  <c r="D288" i="17"/>
  <c r="E288" i="17"/>
  <c r="F288" i="17"/>
  <c r="H288" i="17"/>
  <c r="I288" i="17"/>
  <c r="C289" i="17"/>
  <c r="D289" i="17"/>
  <c r="E289" i="17"/>
  <c r="F289" i="17"/>
  <c r="H289" i="17"/>
  <c r="I289" i="17"/>
  <c r="C290" i="17"/>
  <c r="D290" i="17"/>
  <c r="E290" i="17"/>
  <c r="F290" i="17"/>
  <c r="H290" i="17"/>
  <c r="I290" i="17"/>
  <c r="C291" i="17"/>
  <c r="D291" i="17"/>
  <c r="E291" i="17"/>
  <c r="F291" i="17"/>
  <c r="H291" i="17"/>
  <c r="I291" i="17"/>
  <c r="C292" i="17"/>
  <c r="D292" i="17"/>
  <c r="E292" i="17"/>
  <c r="F292" i="17"/>
  <c r="H292" i="17"/>
  <c r="I292" i="17"/>
  <c r="C293" i="17"/>
  <c r="D293" i="17"/>
  <c r="E293" i="17"/>
  <c r="F293" i="17"/>
  <c r="H293" i="17"/>
  <c r="I293" i="17"/>
  <c r="C294" i="17"/>
  <c r="D294" i="17"/>
  <c r="E294" i="17"/>
  <c r="F294" i="17"/>
  <c r="H294" i="17"/>
  <c r="I294" i="17"/>
  <c r="C295" i="17"/>
  <c r="D295" i="17"/>
  <c r="E295" i="17"/>
  <c r="F295" i="17"/>
  <c r="H295" i="17"/>
  <c r="I295" i="17"/>
  <c r="C296" i="17"/>
  <c r="D296" i="17"/>
  <c r="E296" i="17"/>
  <c r="F296" i="17"/>
  <c r="H296" i="17"/>
  <c r="I296" i="17"/>
  <c r="C297" i="17"/>
  <c r="D297" i="17"/>
  <c r="E297" i="17"/>
  <c r="F297" i="17"/>
  <c r="H297" i="17"/>
  <c r="I297" i="17"/>
  <c r="C298" i="17"/>
  <c r="D298" i="17"/>
  <c r="E298" i="17"/>
  <c r="F298" i="17"/>
  <c r="H298" i="17"/>
  <c r="I298" i="17"/>
  <c r="C299" i="17"/>
  <c r="D299" i="17"/>
  <c r="E299" i="17"/>
  <c r="F299" i="17"/>
  <c r="H299" i="17"/>
  <c r="I299" i="17"/>
  <c r="C300" i="17"/>
  <c r="D300" i="17"/>
  <c r="E300" i="17"/>
  <c r="F300" i="17"/>
  <c r="H300" i="17"/>
  <c r="I300" i="17"/>
  <c r="C301" i="17"/>
  <c r="D301" i="17"/>
  <c r="E301" i="17"/>
  <c r="F301" i="17"/>
  <c r="H301" i="17"/>
  <c r="I301" i="17"/>
  <c r="C302" i="17"/>
  <c r="D302" i="17"/>
  <c r="E302" i="17"/>
  <c r="F302" i="17"/>
  <c r="H302" i="17"/>
  <c r="I302" i="17"/>
  <c r="C303" i="17"/>
  <c r="D303" i="17"/>
  <c r="E303" i="17"/>
  <c r="F303" i="17"/>
  <c r="H303" i="17"/>
  <c r="I303" i="17"/>
  <c r="C304" i="17"/>
  <c r="D304" i="17"/>
  <c r="E304" i="17"/>
  <c r="F304" i="17"/>
  <c r="H304" i="17"/>
  <c r="I304" i="17"/>
  <c r="C305" i="17"/>
  <c r="D305" i="17"/>
  <c r="E305" i="17"/>
  <c r="F305" i="17"/>
  <c r="H305" i="17"/>
  <c r="I305" i="17"/>
  <c r="C306" i="17"/>
  <c r="D306" i="17"/>
  <c r="E306" i="17"/>
  <c r="F306" i="17"/>
  <c r="H306" i="17"/>
  <c r="I306" i="17"/>
  <c r="C307" i="17"/>
  <c r="D307" i="17"/>
  <c r="E307" i="17"/>
  <c r="F307" i="17"/>
  <c r="H307" i="17"/>
  <c r="I307" i="17"/>
  <c r="C308" i="17"/>
  <c r="D308" i="17"/>
  <c r="E308" i="17"/>
  <c r="F308" i="17"/>
  <c r="H308" i="17"/>
  <c r="I308" i="17"/>
  <c r="C309" i="17"/>
  <c r="D309" i="17"/>
  <c r="E309" i="17"/>
  <c r="F309" i="17"/>
  <c r="H309" i="17"/>
  <c r="I309" i="17"/>
  <c r="C310" i="17"/>
  <c r="D310" i="17"/>
  <c r="E310" i="17"/>
  <c r="F310" i="17"/>
  <c r="H310" i="17"/>
  <c r="I310" i="17"/>
  <c r="C311" i="17"/>
  <c r="D311" i="17"/>
  <c r="E311" i="17"/>
  <c r="F311" i="17"/>
  <c r="H311" i="17"/>
  <c r="I311" i="17"/>
  <c r="C312" i="17"/>
  <c r="D312" i="17"/>
  <c r="E312" i="17"/>
  <c r="F312" i="17"/>
  <c r="H312" i="17"/>
  <c r="I312" i="17"/>
  <c r="C313" i="17"/>
  <c r="D313" i="17"/>
  <c r="E313" i="17"/>
  <c r="F313" i="17"/>
  <c r="H313" i="17"/>
  <c r="I313" i="17"/>
  <c r="C314" i="17"/>
  <c r="D314" i="17"/>
  <c r="E314" i="17"/>
  <c r="F314" i="17"/>
  <c r="H314" i="17"/>
  <c r="I314" i="17"/>
  <c r="C315" i="17"/>
  <c r="D315" i="17"/>
  <c r="E315" i="17"/>
  <c r="F315" i="17"/>
  <c r="H315" i="17"/>
  <c r="I315" i="17"/>
  <c r="C316" i="17"/>
  <c r="D316" i="17"/>
  <c r="E316" i="17"/>
  <c r="F316" i="17"/>
  <c r="H316" i="17"/>
  <c r="I316" i="17"/>
  <c r="C317" i="17"/>
  <c r="D317" i="17"/>
  <c r="E317" i="17"/>
  <c r="F317" i="17"/>
  <c r="H317" i="17"/>
  <c r="I317" i="17"/>
  <c r="C318" i="17"/>
  <c r="D318" i="17"/>
  <c r="E318" i="17"/>
  <c r="F318" i="17"/>
  <c r="H318" i="17"/>
  <c r="I318" i="17"/>
  <c r="C319" i="17"/>
  <c r="D319" i="17"/>
  <c r="E319" i="17"/>
  <c r="F319" i="17"/>
  <c r="H319" i="17"/>
  <c r="I319" i="17"/>
  <c r="C320" i="17"/>
  <c r="D320" i="17"/>
  <c r="E320" i="17"/>
  <c r="F320" i="17"/>
  <c r="H320" i="17"/>
  <c r="I320" i="17"/>
  <c r="C321" i="17"/>
  <c r="D321" i="17"/>
  <c r="E321" i="17"/>
  <c r="F321" i="17"/>
  <c r="H321" i="17"/>
  <c r="I321" i="17"/>
  <c r="C322" i="17"/>
  <c r="D322" i="17"/>
  <c r="E322" i="17"/>
  <c r="F322" i="17"/>
  <c r="H322" i="17"/>
  <c r="I322" i="17"/>
  <c r="C323" i="17"/>
  <c r="D323" i="17"/>
  <c r="E323" i="17"/>
  <c r="F323" i="17"/>
  <c r="H323" i="17"/>
  <c r="I323" i="17"/>
  <c r="I5" i="17"/>
  <c r="H5" i="17"/>
  <c r="F5" i="17"/>
  <c r="E5" i="17"/>
  <c r="D5" i="17"/>
  <c r="C5" i="17"/>
  <c r="B323" i="17"/>
  <c r="B322" i="17"/>
  <c r="B321" i="17"/>
  <c r="B320" i="17"/>
  <c r="B319" i="17"/>
  <c r="B318" i="17"/>
  <c r="B317" i="17"/>
  <c r="B316" i="17"/>
  <c r="B315" i="17"/>
  <c r="B314" i="17"/>
  <c r="B313" i="17"/>
  <c r="B312" i="17"/>
  <c r="B311" i="17"/>
  <c r="B310" i="17"/>
  <c r="B309" i="17"/>
  <c r="B308" i="17"/>
  <c r="B307" i="17"/>
  <c r="B306" i="17"/>
  <c r="B305" i="17"/>
  <c r="B304" i="17"/>
  <c r="B303" i="17"/>
  <c r="B302" i="17"/>
  <c r="B301" i="17"/>
  <c r="B300" i="17"/>
  <c r="B299" i="17"/>
  <c r="B298" i="17"/>
  <c r="B297" i="17"/>
  <c r="B296" i="17"/>
  <c r="B295" i="17"/>
  <c r="B294" i="17"/>
  <c r="B293" i="17"/>
  <c r="B292" i="17"/>
  <c r="B291" i="17"/>
  <c r="B290" i="17"/>
  <c r="B289" i="17"/>
  <c r="B288" i="17"/>
  <c r="B287" i="17"/>
  <c r="B286" i="17"/>
  <c r="B285" i="17"/>
  <c r="B284" i="17"/>
  <c r="B283" i="17"/>
  <c r="B282" i="17"/>
  <c r="B281" i="17"/>
  <c r="B280" i="17"/>
  <c r="B279" i="17"/>
  <c r="B278" i="17"/>
  <c r="B277" i="17"/>
  <c r="B276" i="17"/>
  <c r="B275" i="17"/>
  <c r="B274" i="17"/>
  <c r="B273" i="17"/>
  <c r="B272" i="17"/>
  <c r="B271" i="17"/>
  <c r="B270" i="17"/>
  <c r="B269" i="17"/>
  <c r="B268" i="17"/>
  <c r="B267" i="17"/>
  <c r="B266" i="17"/>
  <c r="B265" i="17"/>
  <c r="B264" i="17"/>
  <c r="B263" i="17"/>
  <c r="B262" i="17"/>
  <c r="B261" i="17"/>
  <c r="B260" i="17"/>
  <c r="B259" i="17"/>
  <c r="B258" i="17"/>
  <c r="B257" i="17"/>
  <c r="B256" i="17"/>
  <c r="B255" i="17"/>
  <c r="B254" i="17"/>
  <c r="B253" i="17"/>
  <c r="B252" i="17"/>
  <c r="B251" i="17"/>
  <c r="B250" i="17"/>
  <c r="B249" i="17"/>
  <c r="B248" i="17"/>
  <c r="B247" i="17"/>
  <c r="B246" i="17"/>
  <c r="B245" i="17"/>
  <c r="B244" i="17"/>
  <c r="B243" i="17"/>
  <c r="B242" i="17"/>
  <c r="B241" i="17"/>
  <c r="B240" i="17"/>
  <c r="B239" i="17"/>
  <c r="B238" i="17"/>
  <c r="B237" i="17"/>
  <c r="B236" i="17"/>
  <c r="B235" i="17"/>
  <c r="B234" i="17"/>
  <c r="B233" i="17"/>
  <c r="B232" i="17"/>
  <c r="B231" i="17"/>
  <c r="B230" i="17"/>
  <c r="B229" i="17"/>
  <c r="B228" i="17"/>
  <c r="B227" i="17"/>
  <c r="B226" i="17"/>
  <c r="B225" i="17"/>
  <c r="B224" i="17"/>
  <c r="B223" i="17"/>
  <c r="B222" i="17"/>
  <c r="B221" i="17"/>
  <c r="B220" i="17"/>
  <c r="B219" i="17"/>
  <c r="B218" i="17"/>
  <c r="B217" i="17"/>
  <c r="B216" i="17"/>
  <c r="B215" i="17"/>
  <c r="B214" i="17"/>
  <c r="B213" i="17"/>
  <c r="B212" i="17"/>
  <c r="B211" i="17"/>
  <c r="B210" i="17"/>
  <c r="B209" i="17"/>
  <c r="B208" i="17"/>
  <c r="B207" i="17"/>
  <c r="B206" i="17"/>
  <c r="B205" i="17"/>
  <c r="B204" i="17"/>
  <c r="B203" i="17"/>
  <c r="B202" i="17"/>
  <c r="B201" i="17"/>
  <c r="B200" i="17"/>
  <c r="B199" i="17"/>
  <c r="B198" i="17"/>
  <c r="B197" i="17"/>
  <c r="B196" i="17"/>
  <c r="B195" i="17"/>
  <c r="B194" i="17"/>
  <c r="B193" i="17"/>
  <c r="B192" i="17"/>
  <c r="B191" i="17"/>
  <c r="B190" i="17"/>
  <c r="B189" i="17"/>
  <c r="B188" i="17"/>
  <c r="B187" i="17"/>
  <c r="B186" i="17"/>
  <c r="B185" i="17"/>
  <c r="B184" i="17"/>
  <c r="B183" i="17"/>
  <c r="B182" i="17"/>
  <c r="B181" i="17"/>
  <c r="B180" i="17"/>
  <c r="B179" i="17"/>
  <c r="B178" i="17"/>
  <c r="B177" i="17"/>
  <c r="B176" i="17"/>
  <c r="B175" i="17"/>
  <c r="B174" i="17"/>
  <c r="B173" i="17"/>
  <c r="B172" i="17"/>
  <c r="B171" i="17"/>
  <c r="B170" i="17"/>
  <c r="B169" i="17"/>
  <c r="B168" i="17"/>
  <c r="B167" i="17"/>
  <c r="B166" i="17"/>
  <c r="B165" i="17"/>
  <c r="B164" i="17"/>
  <c r="B163" i="17"/>
  <c r="B162" i="17"/>
  <c r="B161" i="17"/>
  <c r="B160" i="17"/>
  <c r="B159" i="17"/>
  <c r="B158" i="17"/>
  <c r="B157" i="17"/>
  <c r="B156" i="17"/>
  <c r="B155" i="17"/>
  <c r="B154" i="17"/>
  <c r="B153" i="17"/>
  <c r="B152" i="17"/>
  <c r="B151" i="17"/>
  <c r="B150" i="17"/>
  <c r="B149" i="17"/>
  <c r="B148" i="17"/>
  <c r="B147" i="17"/>
  <c r="B146" i="17"/>
  <c r="B145" i="17"/>
  <c r="B144" i="17"/>
  <c r="B143" i="17"/>
  <c r="B142" i="17"/>
  <c r="B141" i="17"/>
  <c r="B140" i="17"/>
  <c r="B139" i="17"/>
  <c r="B138" i="17"/>
  <c r="B137" i="17"/>
  <c r="B136" i="17"/>
  <c r="B135" i="17"/>
  <c r="B134" i="17"/>
  <c r="B133" i="17"/>
  <c r="B132" i="17"/>
  <c r="B131" i="17"/>
  <c r="B130" i="17"/>
  <c r="B129" i="17"/>
  <c r="B128" i="17"/>
  <c r="B127" i="17"/>
  <c r="B126" i="17"/>
  <c r="B125" i="17"/>
  <c r="B124" i="17"/>
  <c r="B123" i="17"/>
  <c r="D17" i="11"/>
  <c r="E17" i="11"/>
  <c r="F17" i="11"/>
  <c r="H17" i="11"/>
  <c r="D18" i="11"/>
  <c r="E18" i="11"/>
  <c r="F18" i="11"/>
  <c r="H18" i="11"/>
  <c r="D19" i="11"/>
  <c r="E19" i="11"/>
  <c r="F19" i="11"/>
  <c r="H19" i="11"/>
  <c r="D25" i="11"/>
  <c r="E25" i="11"/>
  <c r="F25" i="11"/>
  <c r="H25" i="11"/>
  <c r="D26" i="11"/>
  <c r="E26" i="11"/>
  <c r="F26" i="11"/>
  <c r="H26" i="11"/>
  <c r="D27" i="11"/>
  <c r="E27" i="11"/>
  <c r="F27" i="11"/>
  <c r="H27" i="11"/>
  <c r="D59" i="11"/>
  <c r="E59" i="11"/>
  <c r="F59" i="11"/>
  <c r="H59" i="11"/>
  <c r="D60" i="11"/>
  <c r="E60" i="11"/>
  <c r="F60" i="11"/>
  <c r="H60" i="11"/>
  <c r="D76" i="11"/>
  <c r="E76" i="11"/>
  <c r="F76" i="11"/>
  <c r="H76" i="11"/>
  <c r="E54" i="13"/>
  <c r="L7" i="16"/>
  <c r="M7" i="16"/>
  <c r="N7" i="16"/>
  <c r="O7" i="16"/>
  <c r="P7" i="16"/>
  <c r="L8" i="16"/>
  <c r="M8" i="16"/>
  <c r="N8" i="16"/>
  <c r="O8" i="16"/>
  <c r="P8" i="16"/>
  <c r="L9" i="16"/>
  <c r="M9" i="16"/>
  <c r="N9" i="16"/>
  <c r="O9" i="16"/>
  <c r="P9" i="16"/>
  <c r="L10" i="16"/>
  <c r="M10" i="16"/>
  <c r="N10" i="16"/>
  <c r="O10" i="16"/>
  <c r="P10" i="16"/>
  <c r="L11" i="16"/>
  <c r="M11" i="16"/>
  <c r="N11" i="16"/>
  <c r="O11" i="16"/>
  <c r="P11" i="16"/>
  <c r="L12" i="16"/>
  <c r="M12" i="16"/>
  <c r="N12" i="16"/>
  <c r="O12" i="16"/>
  <c r="P12" i="16"/>
  <c r="L13" i="16"/>
  <c r="M13" i="16"/>
  <c r="N13" i="16"/>
  <c r="O13" i="16"/>
  <c r="P13" i="16"/>
  <c r="L6" i="16"/>
  <c r="M6" i="16"/>
  <c r="N6" i="16"/>
  <c r="O6" i="16"/>
  <c r="P6" i="16"/>
  <c r="P5" i="16"/>
  <c r="O5" i="16"/>
  <c r="N5" i="16"/>
  <c r="M5" i="16"/>
  <c r="L5" i="16"/>
  <c r="B6" i="16"/>
  <c r="C6" i="16"/>
  <c r="D6" i="16"/>
  <c r="E6" i="16"/>
  <c r="F6" i="16"/>
  <c r="H6" i="16"/>
  <c r="I6" i="16"/>
  <c r="B7" i="16"/>
  <c r="C7" i="16"/>
  <c r="D7" i="16"/>
  <c r="E7" i="16"/>
  <c r="F7" i="16"/>
  <c r="H7" i="16"/>
  <c r="I7" i="16"/>
  <c r="B8" i="16"/>
  <c r="C8" i="16"/>
  <c r="D8" i="16"/>
  <c r="E8" i="16"/>
  <c r="F8" i="16"/>
  <c r="H8" i="16"/>
  <c r="I8" i="16"/>
  <c r="B9" i="16"/>
  <c r="C9" i="16"/>
  <c r="D9" i="16"/>
  <c r="E9" i="16"/>
  <c r="F9" i="16"/>
  <c r="H9" i="16"/>
  <c r="I9" i="16"/>
  <c r="B10" i="16"/>
  <c r="C10" i="16"/>
  <c r="D10" i="16"/>
  <c r="E10" i="16"/>
  <c r="F10" i="16"/>
  <c r="H10" i="16"/>
  <c r="I10" i="16"/>
  <c r="B11" i="16"/>
  <c r="C11" i="16"/>
  <c r="D11" i="16"/>
  <c r="E11" i="16"/>
  <c r="F11" i="16"/>
  <c r="H11" i="16"/>
  <c r="I11" i="16"/>
  <c r="B12" i="16"/>
  <c r="C12" i="16"/>
  <c r="D12" i="16"/>
  <c r="E12" i="16"/>
  <c r="F12" i="16"/>
  <c r="H12" i="16"/>
  <c r="I12" i="16"/>
  <c r="B13" i="16"/>
  <c r="C13" i="16"/>
  <c r="D13" i="16"/>
  <c r="E13" i="16"/>
  <c r="F13" i="16"/>
  <c r="H13" i="16"/>
  <c r="I13" i="16"/>
  <c r="I5" i="16"/>
  <c r="H5" i="16"/>
  <c r="F5" i="16"/>
  <c r="E5" i="16"/>
  <c r="D5" i="16"/>
  <c r="C5" i="16"/>
  <c r="B5" i="16"/>
  <c r="B79" i="17"/>
  <c r="B80" i="17"/>
  <c r="B81" i="17"/>
  <c r="B82" i="17"/>
  <c r="B83" i="17"/>
  <c r="B84" i="17"/>
  <c r="B85" i="17"/>
  <c r="B86" i="17"/>
  <c r="B87" i="17"/>
  <c r="B88" i="17"/>
  <c r="B89" i="17"/>
  <c r="B90" i="17"/>
  <c r="B91" i="17"/>
  <c r="B92" i="17"/>
  <c r="B93" i="17"/>
  <c r="B78" i="17"/>
  <c r="L6" i="15"/>
  <c r="M6" i="15"/>
  <c r="N6" i="15"/>
  <c r="O6" i="15"/>
  <c r="P6" i="15"/>
  <c r="L7" i="15"/>
  <c r="M7" i="15"/>
  <c r="N7" i="15"/>
  <c r="O7" i="15"/>
  <c r="P7" i="15"/>
  <c r="L8" i="15"/>
  <c r="M8" i="15"/>
  <c r="N8" i="15"/>
  <c r="O8" i="15"/>
  <c r="P8" i="15"/>
  <c r="L9" i="15"/>
  <c r="M9" i="15"/>
  <c r="N9" i="15"/>
  <c r="O9" i="15"/>
  <c r="P9" i="15"/>
  <c r="L10" i="15"/>
  <c r="M10" i="15"/>
  <c r="N10" i="15"/>
  <c r="O10" i="15"/>
  <c r="P10" i="15"/>
  <c r="L11" i="15"/>
  <c r="M11" i="15"/>
  <c r="N11" i="15"/>
  <c r="O11" i="15"/>
  <c r="P11" i="15"/>
  <c r="B6" i="15"/>
  <c r="C6" i="15"/>
  <c r="D6" i="15"/>
  <c r="E6" i="15"/>
  <c r="F6" i="15"/>
  <c r="H6" i="15"/>
  <c r="I6" i="15"/>
  <c r="B7" i="15"/>
  <c r="C7" i="15"/>
  <c r="D7" i="15"/>
  <c r="E7" i="15"/>
  <c r="F7" i="15"/>
  <c r="H7" i="15"/>
  <c r="I7" i="15"/>
  <c r="B8" i="15"/>
  <c r="C8" i="15"/>
  <c r="D8" i="15"/>
  <c r="E8" i="15"/>
  <c r="F8" i="15"/>
  <c r="H8" i="15"/>
  <c r="I8" i="15"/>
  <c r="B9" i="15"/>
  <c r="C9" i="15"/>
  <c r="D9" i="15"/>
  <c r="E9" i="15"/>
  <c r="F9" i="15"/>
  <c r="H9" i="15"/>
  <c r="I9" i="15"/>
  <c r="B10" i="15"/>
  <c r="C10" i="15"/>
  <c r="D10" i="15"/>
  <c r="E10" i="15"/>
  <c r="F10" i="15"/>
  <c r="H10" i="15"/>
  <c r="I10" i="15"/>
  <c r="B11" i="15"/>
  <c r="C11" i="15"/>
  <c r="D11" i="15"/>
  <c r="E11" i="15"/>
  <c r="F11" i="15"/>
  <c r="H11" i="15"/>
  <c r="I11" i="15"/>
  <c r="P5" i="15"/>
  <c r="O5" i="15"/>
  <c r="N5" i="15"/>
  <c r="M5" i="15"/>
  <c r="L5" i="15"/>
  <c r="I5" i="15"/>
  <c r="H5" i="15"/>
  <c r="F5" i="15"/>
  <c r="E5" i="15"/>
  <c r="D5" i="15"/>
  <c r="C5" i="15"/>
  <c r="B5" i="15"/>
  <c r="L6" i="14"/>
  <c r="M6" i="14"/>
  <c r="N6" i="14"/>
  <c r="O6" i="14"/>
  <c r="P6" i="14"/>
  <c r="L7" i="14"/>
  <c r="M7" i="14"/>
  <c r="N7" i="14"/>
  <c r="O7" i="14"/>
  <c r="P7" i="14"/>
  <c r="L8" i="14"/>
  <c r="M8" i="14"/>
  <c r="N8" i="14"/>
  <c r="O8" i="14"/>
  <c r="P8" i="14"/>
  <c r="L9" i="14"/>
  <c r="M9" i="14"/>
  <c r="N9" i="14"/>
  <c r="O9" i="14"/>
  <c r="P9" i="14"/>
  <c r="L10" i="14"/>
  <c r="M10" i="14"/>
  <c r="N10" i="14"/>
  <c r="O10" i="14"/>
  <c r="P10" i="14"/>
  <c r="L11" i="14"/>
  <c r="M11" i="14"/>
  <c r="N11" i="14"/>
  <c r="O11" i="14"/>
  <c r="P11" i="14"/>
  <c r="L12" i="14"/>
  <c r="M12" i="14"/>
  <c r="N12" i="14"/>
  <c r="O12" i="14"/>
  <c r="P12" i="14"/>
  <c r="L13" i="14"/>
  <c r="M13" i="14"/>
  <c r="N13" i="14"/>
  <c r="O13" i="14"/>
  <c r="P13" i="14"/>
  <c r="L14" i="14"/>
  <c r="M14" i="14"/>
  <c r="N14" i="14"/>
  <c r="O14" i="14"/>
  <c r="P14" i="14"/>
  <c r="L15" i="14"/>
  <c r="M15" i="14"/>
  <c r="N15" i="14"/>
  <c r="O15" i="14"/>
  <c r="P15" i="14"/>
  <c r="L16" i="14"/>
  <c r="M16" i="14"/>
  <c r="N16" i="14"/>
  <c r="O16" i="14"/>
  <c r="P16" i="14"/>
  <c r="L17" i="14"/>
  <c r="M17" i="14"/>
  <c r="N17" i="14"/>
  <c r="O17" i="14"/>
  <c r="P17" i="14"/>
  <c r="L18" i="14"/>
  <c r="M18" i="14"/>
  <c r="N18" i="14"/>
  <c r="O18" i="14"/>
  <c r="P18" i="14"/>
  <c r="L19" i="14"/>
  <c r="M19" i="14"/>
  <c r="N19" i="14"/>
  <c r="O19" i="14"/>
  <c r="P19" i="14"/>
  <c r="L20" i="14"/>
  <c r="M20" i="14"/>
  <c r="N20" i="14"/>
  <c r="O20" i="14"/>
  <c r="P20" i="14"/>
  <c r="L21" i="14"/>
  <c r="M21" i="14"/>
  <c r="N21" i="14"/>
  <c r="O21" i="14"/>
  <c r="P21" i="14"/>
  <c r="L22" i="14"/>
  <c r="M22" i="14"/>
  <c r="N22" i="14"/>
  <c r="O22" i="14"/>
  <c r="P22" i="14"/>
  <c r="L23" i="14"/>
  <c r="M23" i="14"/>
  <c r="N23" i="14"/>
  <c r="O23" i="14"/>
  <c r="P23" i="14"/>
  <c r="L24" i="14"/>
  <c r="M24" i="14"/>
  <c r="N24" i="14"/>
  <c r="O24" i="14"/>
  <c r="P24" i="14"/>
  <c r="L25" i="14"/>
  <c r="M25" i="14"/>
  <c r="N25" i="14"/>
  <c r="O25" i="14"/>
  <c r="P25" i="14"/>
  <c r="L26" i="14"/>
  <c r="M26" i="14"/>
  <c r="N26" i="14"/>
  <c r="O26" i="14"/>
  <c r="P26" i="14"/>
  <c r="L27" i="14"/>
  <c r="M27" i="14"/>
  <c r="N27" i="14"/>
  <c r="O27" i="14"/>
  <c r="P27" i="14"/>
  <c r="L28" i="14"/>
  <c r="M28" i="14"/>
  <c r="N28" i="14"/>
  <c r="O28" i="14"/>
  <c r="P28" i="14"/>
  <c r="L29" i="14"/>
  <c r="M29" i="14"/>
  <c r="N29" i="14"/>
  <c r="O29" i="14"/>
  <c r="P29" i="14"/>
  <c r="B6" i="14"/>
  <c r="C6" i="14"/>
  <c r="D6" i="14"/>
  <c r="E6" i="14"/>
  <c r="F6" i="14"/>
  <c r="H6" i="14"/>
  <c r="I6" i="14"/>
  <c r="B7" i="14"/>
  <c r="C7" i="14"/>
  <c r="D7" i="14"/>
  <c r="E7" i="14"/>
  <c r="F7" i="14"/>
  <c r="H7" i="14"/>
  <c r="I7" i="14"/>
  <c r="B8" i="14"/>
  <c r="C8" i="14"/>
  <c r="D8" i="14"/>
  <c r="E8" i="14"/>
  <c r="F8" i="14"/>
  <c r="H8" i="14"/>
  <c r="I8" i="14"/>
  <c r="B9" i="14"/>
  <c r="C9" i="14"/>
  <c r="D9" i="14"/>
  <c r="E9" i="14"/>
  <c r="F9" i="14"/>
  <c r="H9" i="14"/>
  <c r="I9" i="14"/>
  <c r="B10" i="14"/>
  <c r="C10" i="14"/>
  <c r="D10" i="14"/>
  <c r="E10" i="14"/>
  <c r="F10" i="14"/>
  <c r="H10" i="14"/>
  <c r="I10" i="14"/>
  <c r="B11" i="14"/>
  <c r="C11" i="14"/>
  <c r="D11" i="14"/>
  <c r="E11" i="14"/>
  <c r="F11" i="14"/>
  <c r="H11" i="14"/>
  <c r="I11" i="14"/>
  <c r="B12" i="14"/>
  <c r="C12" i="14"/>
  <c r="D12" i="14"/>
  <c r="E12" i="14"/>
  <c r="F12" i="14"/>
  <c r="H12" i="14"/>
  <c r="I12" i="14"/>
  <c r="B13" i="14"/>
  <c r="C13" i="14"/>
  <c r="D13" i="14"/>
  <c r="E13" i="14"/>
  <c r="F13" i="14"/>
  <c r="H13" i="14"/>
  <c r="I13" i="14"/>
  <c r="B14" i="14"/>
  <c r="C14" i="14"/>
  <c r="D14" i="14"/>
  <c r="E14" i="14"/>
  <c r="F14" i="14"/>
  <c r="H14" i="14"/>
  <c r="I14" i="14"/>
  <c r="B15" i="14"/>
  <c r="C15" i="14"/>
  <c r="D15" i="14"/>
  <c r="E15" i="14"/>
  <c r="F15" i="14"/>
  <c r="H15" i="14"/>
  <c r="I15" i="14"/>
  <c r="B16" i="14"/>
  <c r="C16" i="14"/>
  <c r="D16" i="14"/>
  <c r="E16" i="14"/>
  <c r="F16" i="14"/>
  <c r="H16" i="14"/>
  <c r="I16" i="14"/>
  <c r="B17" i="14"/>
  <c r="C17" i="14"/>
  <c r="D17" i="14"/>
  <c r="E17" i="14"/>
  <c r="F17" i="14"/>
  <c r="H17" i="14"/>
  <c r="I17" i="14"/>
  <c r="B18" i="14"/>
  <c r="C18" i="14"/>
  <c r="D18" i="14"/>
  <c r="E18" i="14"/>
  <c r="F18" i="14"/>
  <c r="H18" i="14"/>
  <c r="I18" i="14"/>
  <c r="B19" i="14"/>
  <c r="C19" i="14"/>
  <c r="D19" i="14"/>
  <c r="E19" i="14"/>
  <c r="F19" i="14"/>
  <c r="H19" i="14"/>
  <c r="I19" i="14"/>
  <c r="B20" i="14"/>
  <c r="C20" i="14"/>
  <c r="D20" i="14"/>
  <c r="E20" i="14"/>
  <c r="F20" i="14"/>
  <c r="H20" i="14"/>
  <c r="I20" i="14"/>
  <c r="B21" i="14"/>
  <c r="C21" i="14"/>
  <c r="D21" i="14"/>
  <c r="E21" i="14"/>
  <c r="F21" i="14"/>
  <c r="H21" i="14"/>
  <c r="I21" i="14"/>
  <c r="B22" i="14"/>
  <c r="C22" i="14"/>
  <c r="D22" i="14"/>
  <c r="E22" i="14"/>
  <c r="F22" i="14"/>
  <c r="H22" i="14"/>
  <c r="I22" i="14"/>
  <c r="B23" i="14"/>
  <c r="C23" i="14"/>
  <c r="D23" i="14"/>
  <c r="E23" i="14"/>
  <c r="F23" i="14"/>
  <c r="H23" i="14"/>
  <c r="I23" i="14"/>
  <c r="B24" i="14"/>
  <c r="C24" i="14"/>
  <c r="D24" i="14"/>
  <c r="E24" i="14"/>
  <c r="F24" i="14"/>
  <c r="H24" i="14"/>
  <c r="I24" i="14"/>
  <c r="B25" i="14"/>
  <c r="C25" i="14"/>
  <c r="D25" i="14"/>
  <c r="E25" i="14"/>
  <c r="F25" i="14"/>
  <c r="H25" i="14"/>
  <c r="I25" i="14"/>
  <c r="B26" i="14"/>
  <c r="C26" i="14"/>
  <c r="D26" i="14"/>
  <c r="E26" i="14"/>
  <c r="F26" i="14"/>
  <c r="H26" i="14"/>
  <c r="I26" i="14"/>
  <c r="B27" i="14"/>
  <c r="C27" i="14"/>
  <c r="D27" i="14"/>
  <c r="E27" i="14"/>
  <c r="F27" i="14"/>
  <c r="H27" i="14"/>
  <c r="I27" i="14"/>
  <c r="B28" i="14"/>
  <c r="C28" i="14"/>
  <c r="D28" i="14"/>
  <c r="E28" i="14"/>
  <c r="F28" i="14"/>
  <c r="H28" i="14"/>
  <c r="I28" i="14"/>
  <c r="B29" i="14"/>
  <c r="C29" i="14"/>
  <c r="D29" i="14"/>
  <c r="E29" i="14"/>
  <c r="F29" i="14"/>
  <c r="H29" i="14"/>
  <c r="I29" i="14"/>
  <c r="P5" i="14"/>
  <c r="O5" i="14"/>
  <c r="N5" i="14"/>
  <c r="M5" i="14"/>
  <c r="L5" i="14"/>
  <c r="I5" i="14"/>
  <c r="H5" i="14"/>
  <c r="F5" i="14"/>
  <c r="E5" i="14"/>
  <c r="D5" i="14"/>
  <c r="C5" i="14"/>
  <c r="B5" i="14"/>
  <c r="L6" i="13"/>
  <c r="M6" i="13"/>
  <c r="N6" i="13"/>
  <c r="O6" i="13"/>
  <c r="P6" i="13"/>
  <c r="L7" i="13"/>
  <c r="M7" i="13"/>
  <c r="N7" i="13"/>
  <c r="O7" i="13"/>
  <c r="P7" i="13"/>
  <c r="L8" i="13"/>
  <c r="M8" i="13"/>
  <c r="N8" i="13"/>
  <c r="O8" i="13"/>
  <c r="P8" i="13"/>
  <c r="L9" i="13"/>
  <c r="M9" i="13"/>
  <c r="N9" i="13"/>
  <c r="O9" i="13"/>
  <c r="P9" i="13"/>
  <c r="L10" i="13"/>
  <c r="M10" i="13"/>
  <c r="N10" i="13"/>
  <c r="O10" i="13"/>
  <c r="P10" i="13"/>
  <c r="L11" i="13"/>
  <c r="M11" i="13"/>
  <c r="N11" i="13"/>
  <c r="O11" i="13"/>
  <c r="P11" i="13"/>
  <c r="L12" i="13"/>
  <c r="M12" i="13"/>
  <c r="N12" i="13"/>
  <c r="O12" i="13"/>
  <c r="P12" i="13"/>
  <c r="L13" i="13"/>
  <c r="M13" i="13"/>
  <c r="N13" i="13"/>
  <c r="O13" i="13"/>
  <c r="P13" i="13"/>
  <c r="L14" i="13"/>
  <c r="M14" i="13"/>
  <c r="N14" i="13"/>
  <c r="O14" i="13"/>
  <c r="P14" i="13"/>
  <c r="L15" i="13"/>
  <c r="M15" i="13"/>
  <c r="N15" i="13"/>
  <c r="O15" i="13"/>
  <c r="P15" i="13"/>
  <c r="L16" i="13"/>
  <c r="M16" i="13"/>
  <c r="N16" i="13"/>
  <c r="O16" i="13"/>
  <c r="P16" i="13"/>
  <c r="L17" i="13"/>
  <c r="M17" i="13"/>
  <c r="N17" i="13"/>
  <c r="O17" i="13"/>
  <c r="P17" i="13"/>
  <c r="L18" i="13"/>
  <c r="M18" i="13"/>
  <c r="N18" i="13"/>
  <c r="O18" i="13"/>
  <c r="P18" i="13"/>
  <c r="L19" i="13"/>
  <c r="M19" i="13"/>
  <c r="N19" i="13"/>
  <c r="O19" i="13"/>
  <c r="P19" i="13"/>
  <c r="L20" i="13"/>
  <c r="M20" i="13"/>
  <c r="N20" i="13"/>
  <c r="O20" i="13"/>
  <c r="P20" i="13"/>
  <c r="L21" i="13"/>
  <c r="M21" i="13"/>
  <c r="N21" i="13"/>
  <c r="O21" i="13"/>
  <c r="P21" i="13"/>
  <c r="L22" i="13"/>
  <c r="M22" i="13"/>
  <c r="N22" i="13"/>
  <c r="O22" i="13"/>
  <c r="P22" i="13"/>
  <c r="L23" i="13"/>
  <c r="M23" i="13"/>
  <c r="N23" i="13"/>
  <c r="O23" i="13"/>
  <c r="P23" i="13"/>
  <c r="L24" i="13"/>
  <c r="M24" i="13"/>
  <c r="N24" i="13"/>
  <c r="O24" i="13"/>
  <c r="P24" i="13"/>
  <c r="L25" i="13"/>
  <c r="M25" i="13"/>
  <c r="N25" i="13"/>
  <c r="O25" i="13"/>
  <c r="P25" i="13"/>
  <c r="L26" i="13"/>
  <c r="M26" i="13"/>
  <c r="N26" i="13"/>
  <c r="O26" i="13"/>
  <c r="P26" i="13"/>
  <c r="L27" i="13"/>
  <c r="M27" i="13"/>
  <c r="N27" i="13"/>
  <c r="O27" i="13"/>
  <c r="P27" i="13"/>
  <c r="L28" i="13"/>
  <c r="M28" i="13"/>
  <c r="N28" i="13"/>
  <c r="O28" i="13"/>
  <c r="P28" i="13"/>
  <c r="L29" i="13"/>
  <c r="M29" i="13"/>
  <c r="N29" i="13"/>
  <c r="O29" i="13"/>
  <c r="P29" i="13"/>
  <c r="L30" i="13"/>
  <c r="M30" i="13"/>
  <c r="N30" i="13"/>
  <c r="O30" i="13"/>
  <c r="P30" i="13"/>
  <c r="L31" i="13"/>
  <c r="M31" i="13"/>
  <c r="N31" i="13"/>
  <c r="O31" i="13"/>
  <c r="P31" i="13"/>
  <c r="L32" i="13"/>
  <c r="M32" i="13"/>
  <c r="N32" i="13"/>
  <c r="O32" i="13"/>
  <c r="P32" i="13"/>
  <c r="L33" i="13"/>
  <c r="M33" i="13"/>
  <c r="N33" i="13"/>
  <c r="O33" i="13"/>
  <c r="P33" i="13"/>
  <c r="L34" i="13"/>
  <c r="M34" i="13"/>
  <c r="N34" i="13"/>
  <c r="O34" i="13"/>
  <c r="P34" i="13"/>
  <c r="L35" i="13"/>
  <c r="M35" i="13"/>
  <c r="N35" i="13"/>
  <c r="O35" i="13"/>
  <c r="P35" i="13"/>
  <c r="L36" i="13"/>
  <c r="M36" i="13"/>
  <c r="N36" i="13"/>
  <c r="O36" i="13"/>
  <c r="P36" i="13"/>
  <c r="L37" i="13"/>
  <c r="M37" i="13"/>
  <c r="N37" i="13"/>
  <c r="O37" i="13"/>
  <c r="P37" i="13"/>
  <c r="L38" i="13"/>
  <c r="M38" i="13"/>
  <c r="N38" i="13"/>
  <c r="O38" i="13"/>
  <c r="P38" i="13"/>
  <c r="L39" i="13"/>
  <c r="M39" i="13"/>
  <c r="N39" i="13"/>
  <c r="O39" i="13"/>
  <c r="P39" i="13"/>
  <c r="L40" i="13"/>
  <c r="M40" i="13"/>
  <c r="N40" i="13"/>
  <c r="O40" i="13"/>
  <c r="P40" i="13"/>
  <c r="L41" i="13"/>
  <c r="M41" i="13"/>
  <c r="N41" i="13"/>
  <c r="O41" i="13"/>
  <c r="P41" i="13"/>
  <c r="L42" i="13"/>
  <c r="M42" i="13"/>
  <c r="N42" i="13"/>
  <c r="O42" i="13"/>
  <c r="P42" i="13"/>
  <c r="L43" i="13"/>
  <c r="M43" i="13"/>
  <c r="N43" i="13"/>
  <c r="O43" i="13"/>
  <c r="P43" i="13"/>
  <c r="L44" i="13"/>
  <c r="M44" i="13"/>
  <c r="N44" i="13"/>
  <c r="O44" i="13"/>
  <c r="P44" i="13"/>
  <c r="L45" i="13"/>
  <c r="M45" i="13"/>
  <c r="N45" i="13"/>
  <c r="O45" i="13"/>
  <c r="P45" i="13"/>
  <c r="L46" i="13"/>
  <c r="M46" i="13"/>
  <c r="N46" i="13"/>
  <c r="O46" i="13"/>
  <c r="P46" i="13"/>
  <c r="L47" i="13"/>
  <c r="M47" i="13"/>
  <c r="N47" i="13"/>
  <c r="O47" i="13"/>
  <c r="P47" i="13"/>
  <c r="L48" i="13"/>
  <c r="M48" i="13"/>
  <c r="N48" i="13"/>
  <c r="O48" i="13"/>
  <c r="P48" i="13"/>
  <c r="L49" i="13"/>
  <c r="M49" i="13"/>
  <c r="N49" i="13"/>
  <c r="O49" i="13"/>
  <c r="P49" i="13"/>
  <c r="L50" i="13"/>
  <c r="M50" i="13"/>
  <c r="N50" i="13"/>
  <c r="O50" i="13"/>
  <c r="P50" i="13"/>
  <c r="L51" i="13"/>
  <c r="M51" i="13"/>
  <c r="N51" i="13"/>
  <c r="O51" i="13"/>
  <c r="P51" i="13"/>
  <c r="L52" i="13"/>
  <c r="M52" i="13"/>
  <c r="N52" i="13"/>
  <c r="O52" i="13"/>
  <c r="P52" i="13"/>
  <c r="L53" i="13"/>
  <c r="M53" i="13"/>
  <c r="N53" i="13"/>
  <c r="O53" i="13"/>
  <c r="P53" i="13"/>
  <c r="L54" i="13"/>
  <c r="M54" i="13"/>
  <c r="N54" i="13"/>
  <c r="O54" i="13"/>
  <c r="P54" i="13"/>
  <c r="L55" i="13"/>
  <c r="M55" i="13"/>
  <c r="N55" i="13"/>
  <c r="O55" i="13"/>
  <c r="P55" i="13"/>
  <c r="L56" i="13"/>
  <c r="M56" i="13"/>
  <c r="N56" i="13"/>
  <c r="O56" i="13"/>
  <c r="P56" i="13"/>
  <c r="L57" i="13"/>
  <c r="M57" i="13"/>
  <c r="N57" i="13"/>
  <c r="O57" i="13"/>
  <c r="P57" i="13"/>
  <c r="L58" i="13"/>
  <c r="M58" i="13"/>
  <c r="N58" i="13"/>
  <c r="O58" i="13"/>
  <c r="P58" i="13"/>
  <c r="L59" i="13"/>
  <c r="M59" i="13"/>
  <c r="N59" i="13"/>
  <c r="O59" i="13"/>
  <c r="P59" i="13"/>
  <c r="L60" i="13"/>
  <c r="M60" i="13"/>
  <c r="N60" i="13"/>
  <c r="O60" i="13"/>
  <c r="P60" i="13"/>
  <c r="L61" i="13"/>
  <c r="M61" i="13"/>
  <c r="N61" i="13"/>
  <c r="O61" i="13"/>
  <c r="P61" i="13"/>
  <c r="L62" i="13"/>
  <c r="M62" i="13"/>
  <c r="N62" i="13"/>
  <c r="O62" i="13"/>
  <c r="P62" i="13"/>
  <c r="L63" i="13"/>
  <c r="M63" i="13"/>
  <c r="N63" i="13"/>
  <c r="O63" i="13"/>
  <c r="P63" i="13"/>
  <c r="B6" i="13"/>
  <c r="C6" i="13"/>
  <c r="D6" i="13"/>
  <c r="E6" i="13"/>
  <c r="F6" i="13"/>
  <c r="H6" i="13"/>
  <c r="I6" i="13"/>
  <c r="B7" i="13"/>
  <c r="C7" i="13"/>
  <c r="D7" i="13"/>
  <c r="E7" i="13"/>
  <c r="F7" i="13"/>
  <c r="H7" i="13"/>
  <c r="I7" i="13"/>
  <c r="B8" i="13"/>
  <c r="C8" i="13"/>
  <c r="D8" i="13"/>
  <c r="E8" i="13"/>
  <c r="F8" i="13"/>
  <c r="H8" i="13"/>
  <c r="I8" i="13"/>
  <c r="B9" i="13"/>
  <c r="C9" i="13"/>
  <c r="D9" i="13"/>
  <c r="E9" i="13"/>
  <c r="F9" i="13"/>
  <c r="H9" i="13"/>
  <c r="I9" i="13"/>
  <c r="B10" i="13"/>
  <c r="C10" i="13"/>
  <c r="D10" i="13"/>
  <c r="E10" i="13"/>
  <c r="F10" i="13"/>
  <c r="H10" i="13"/>
  <c r="I10" i="13"/>
  <c r="B11" i="13"/>
  <c r="C11" i="13"/>
  <c r="D11" i="13"/>
  <c r="E11" i="13"/>
  <c r="F11" i="13"/>
  <c r="H11" i="13"/>
  <c r="I11" i="13"/>
  <c r="B12" i="13"/>
  <c r="C12" i="13"/>
  <c r="D12" i="13"/>
  <c r="E12" i="13"/>
  <c r="F12" i="13"/>
  <c r="H12" i="13"/>
  <c r="I12" i="13"/>
  <c r="B13" i="13"/>
  <c r="C13" i="13"/>
  <c r="D13" i="13"/>
  <c r="E13" i="13"/>
  <c r="F13" i="13"/>
  <c r="H13" i="13"/>
  <c r="I13" i="13"/>
  <c r="B14" i="13"/>
  <c r="C14" i="13"/>
  <c r="D14" i="13"/>
  <c r="E14" i="13"/>
  <c r="F14" i="13"/>
  <c r="H14" i="13"/>
  <c r="I14" i="13"/>
  <c r="B15" i="13"/>
  <c r="C15" i="13"/>
  <c r="D15" i="13"/>
  <c r="E15" i="13"/>
  <c r="F15" i="13"/>
  <c r="H15" i="13"/>
  <c r="I15" i="13"/>
  <c r="B16" i="13"/>
  <c r="C16" i="13"/>
  <c r="D16" i="13"/>
  <c r="E16" i="13"/>
  <c r="F16" i="13"/>
  <c r="H16" i="13"/>
  <c r="I16" i="13"/>
  <c r="B17" i="13"/>
  <c r="C17" i="13"/>
  <c r="D17" i="13"/>
  <c r="E17" i="13"/>
  <c r="F17" i="13"/>
  <c r="H17" i="13"/>
  <c r="I17" i="13"/>
  <c r="B18" i="13"/>
  <c r="C18" i="13"/>
  <c r="D18" i="13"/>
  <c r="E18" i="13"/>
  <c r="F18" i="13"/>
  <c r="H18" i="13"/>
  <c r="I18" i="13"/>
  <c r="B19" i="13"/>
  <c r="C19" i="13"/>
  <c r="D19" i="13"/>
  <c r="E19" i="13"/>
  <c r="F19" i="13"/>
  <c r="H19" i="13"/>
  <c r="I19" i="13"/>
  <c r="B20" i="13"/>
  <c r="C20" i="13"/>
  <c r="D20" i="13"/>
  <c r="E20" i="13"/>
  <c r="F20" i="13"/>
  <c r="H20" i="13"/>
  <c r="I20" i="13"/>
  <c r="B21" i="13"/>
  <c r="C21" i="13"/>
  <c r="D21" i="13"/>
  <c r="E21" i="13"/>
  <c r="F21" i="13"/>
  <c r="H21" i="13"/>
  <c r="I21" i="13"/>
  <c r="B22" i="13"/>
  <c r="C22" i="13"/>
  <c r="D22" i="13"/>
  <c r="E22" i="13"/>
  <c r="F22" i="13"/>
  <c r="H22" i="13"/>
  <c r="I22" i="13"/>
  <c r="B23" i="13"/>
  <c r="C23" i="13"/>
  <c r="D23" i="13"/>
  <c r="E23" i="13"/>
  <c r="F23" i="13"/>
  <c r="H23" i="13"/>
  <c r="I23" i="13"/>
  <c r="B24" i="13"/>
  <c r="C24" i="13"/>
  <c r="D24" i="13"/>
  <c r="E24" i="13"/>
  <c r="F24" i="13"/>
  <c r="H24" i="13"/>
  <c r="I24" i="13"/>
  <c r="B25" i="13"/>
  <c r="C25" i="13"/>
  <c r="D25" i="13"/>
  <c r="E25" i="13"/>
  <c r="F25" i="13"/>
  <c r="H25" i="13"/>
  <c r="I25" i="13"/>
  <c r="B26" i="13"/>
  <c r="C26" i="13"/>
  <c r="D26" i="13"/>
  <c r="E26" i="13"/>
  <c r="F26" i="13"/>
  <c r="H26" i="13"/>
  <c r="I26" i="13"/>
  <c r="B27" i="13"/>
  <c r="C27" i="13"/>
  <c r="D27" i="13"/>
  <c r="E27" i="13"/>
  <c r="F27" i="13"/>
  <c r="H27" i="13"/>
  <c r="I27" i="13"/>
  <c r="B28" i="13"/>
  <c r="C28" i="13"/>
  <c r="D28" i="13"/>
  <c r="E28" i="13"/>
  <c r="F28" i="13"/>
  <c r="H28" i="13"/>
  <c r="I28" i="13"/>
  <c r="B29" i="13"/>
  <c r="C29" i="13"/>
  <c r="D29" i="13"/>
  <c r="E29" i="13"/>
  <c r="F29" i="13"/>
  <c r="H29" i="13"/>
  <c r="I29" i="13"/>
  <c r="B30" i="13"/>
  <c r="C30" i="13"/>
  <c r="D30" i="13"/>
  <c r="E30" i="13"/>
  <c r="F30" i="13"/>
  <c r="H30" i="13"/>
  <c r="I30" i="13"/>
  <c r="B31" i="13"/>
  <c r="C31" i="13"/>
  <c r="D31" i="13"/>
  <c r="E31" i="13"/>
  <c r="F31" i="13"/>
  <c r="H31" i="13"/>
  <c r="I31" i="13"/>
  <c r="B32" i="13"/>
  <c r="C32" i="13"/>
  <c r="D32" i="13"/>
  <c r="E32" i="13"/>
  <c r="F32" i="13"/>
  <c r="H32" i="13"/>
  <c r="I32" i="13"/>
  <c r="B33" i="13"/>
  <c r="C33" i="13"/>
  <c r="D33" i="13"/>
  <c r="E33" i="13"/>
  <c r="F33" i="13"/>
  <c r="H33" i="13"/>
  <c r="I33" i="13"/>
  <c r="B34" i="13"/>
  <c r="C34" i="13"/>
  <c r="D34" i="13"/>
  <c r="E34" i="13"/>
  <c r="F34" i="13"/>
  <c r="H34" i="13"/>
  <c r="I34" i="13"/>
  <c r="B35" i="13"/>
  <c r="C35" i="13"/>
  <c r="D35" i="13"/>
  <c r="E35" i="13"/>
  <c r="F35" i="13"/>
  <c r="H35" i="13"/>
  <c r="I35" i="13"/>
  <c r="B36" i="13"/>
  <c r="C36" i="13"/>
  <c r="D36" i="13"/>
  <c r="E36" i="13"/>
  <c r="F36" i="13"/>
  <c r="H36" i="13"/>
  <c r="I36" i="13"/>
  <c r="B37" i="13"/>
  <c r="C37" i="13"/>
  <c r="D37" i="13"/>
  <c r="E37" i="13"/>
  <c r="F37" i="13"/>
  <c r="H37" i="13"/>
  <c r="I37" i="13"/>
  <c r="B38" i="13"/>
  <c r="C38" i="13"/>
  <c r="D38" i="13"/>
  <c r="E38" i="13"/>
  <c r="F38" i="13"/>
  <c r="H38" i="13"/>
  <c r="I38" i="13"/>
  <c r="B39" i="13"/>
  <c r="C39" i="13"/>
  <c r="D39" i="13"/>
  <c r="E39" i="13"/>
  <c r="F39" i="13"/>
  <c r="H39" i="13"/>
  <c r="I39" i="13"/>
  <c r="B40" i="13"/>
  <c r="C40" i="13"/>
  <c r="D40" i="13"/>
  <c r="E40" i="13"/>
  <c r="F40" i="13"/>
  <c r="H40" i="13"/>
  <c r="I40" i="13"/>
  <c r="B41" i="13"/>
  <c r="C41" i="13"/>
  <c r="D41" i="13"/>
  <c r="E41" i="13"/>
  <c r="F41" i="13"/>
  <c r="H41" i="13"/>
  <c r="I41" i="13"/>
  <c r="B42" i="13"/>
  <c r="C42" i="13"/>
  <c r="D42" i="13"/>
  <c r="E42" i="13"/>
  <c r="F42" i="13"/>
  <c r="H42" i="13"/>
  <c r="I42" i="13"/>
  <c r="B43" i="13"/>
  <c r="C43" i="13"/>
  <c r="D43" i="13"/>
  <c r="E43" i="13"/>
  <c r="F43" i="13"/>
  <c r="H43" i="13"/>
  <c r="I43" i="13"/>
  <c r="B44" i="13"/>
  <c r="C44" i="13"/>
  <c r="D44" i="13"/>
  <c r="E44" i="13"/>
  <c r="F44" i="13"/>
  <c r="H44" i="13"/>
  <c r="I44" i="13"/>
  <c r="B45" i="13"/>
  <c r="C45" i="13"/>
  <c r="D45" i="13"/>
  <c r="E45" i="13"/>
  <c r="F45" i="13"/>
  <c r="H45" i="13"/>
  <c r="I45" i="13"/>
  <c r="B46" i="13"/>
  <c r="C46" i="13"/>
  <c r="D46" i="13"/>
  <c r="E46" i="13"/>
  <c r="F46" i="13"/>
  <c r="H46" i="13"/>
  <c r="I46" i="13"/>
  <c r="B47" i="13"/>
  <c r="C47" i="13"/>
  <c r="D47" i="13"/>
  <c r="E47" i="13"/>
  <c r="F47" i="13"/>
  <c r="H47" i="13"/>
  <c r="I47" i="13"/>
  <c r="B48" i="13"/>
  <c r="C48" i="13"/>
  <c r="D48" i="13"/>
  <c r="E48" i="13"/>
  <c r="F48" i="13"/>
  <c r="H48" i="13"/>
  <c r="I48" i="13"/>
  <c r="B49" i="13"/>
  <c r="C49" i="13"/>
  <c r="D49" i="13"/>
  <c r="E49" i="13"/>
  <c r="F49" i="13"/>
  <c r="H49" i="13"/>
  <c r="I49" i="13"/>
  <c r="B50" i="13"/>
  <c r="C50" i="13"/>
  <c r="D50" i="13"/>
  <c r="E50" i="13"/>
  <c r="F50" i="13"/>
  <c r="H50" i="13"/>
  <c r="I50" i="13"/>
  <c r="B51" i="13"/>
  <c r="C51" i="13"/>
  <c r="D51" i="13"/>
  <c r="E51" i="13"/>
  <c r="F51" i="13"/>
  <c r="H51" i="13"/>
  <c r="I51" i="13"/>
  <c r="B52" i="13"/>
  <c r="C52" i="13"/>
  <c r="D52" i="13"/>
  <c r="E52" i="13"/>
  <c r="F52" i="13"/>
  <c r="H52" i="13"/>
  <c r="I52" i="13"/>
  <c r="B53" i="13"/>
  <c r="C53" i="13"/>
  <c r="D53" i="13"/>
  <c r="E53" i="13"/>
  <c r="F53" i="13"/>
  <c r="H53" i="13"/>
  <c r="I53" i="13"/>
  <c r="B54" i="13"/>
  <c r="C54" i="13"/>
  <c r="D54" i="13"/>
  <c r="F54" i="13"/>
  <c r="H54" i="13"/>
  <c r="I54" i="13"/>
  <c r="B55" i="13"/>
  <c r="C55" i="13"/>
  <c r="D55" i="13"/>
  <c r="E55" i="13"/>
  <c r="F55" i="13"/>
  <c r="H55" i="13"/>
  <c r="I55" i="13"/>
  <c r="B56" i="13"/>
  <c r="C56" i="13"/>
  <c r="D56" i="13"/>
  <c r="E56" i="13"/>
  <c r="F56" i="13"/>
  <c r="H56" i="13"/>
  <c r="I56" i="13"/>
  <c r="B57" i="13"/>
  <c r="C57" i="13"/>
  <c r="D57" i="13"/>
  <c r="E57" i="13"/>
  <c r="F57" i="13"/>
  <c r="H57" i="13"/>
  <c r="I57" i="13"/>
  <c r="B58" i="13"/>
  <c r="C58" i="13"/>
  <c r="D58" i="13"/>
  <c r="E58" i="13"/>
  <c r="F58" i="13"/>
  <c r="H58" i="13"/>
  <c r="I58" i="13"/>
  <c r="B59" i="13"/>
  <c r="C59" i="13"/>
  <c r="D59" i="13"/>
  <c r="E59" i="13"/>
  <c r="F59" i="13"/>
  <c r="H59" i="13"/>
  <c r="I59" i="13"/>
  <c r="B60" i="13"/>
  <c r="C60" i="13"/>
  <c r="D60" i="13"/>
  <c r="E60" i="13"/>
  <c r="F60" i="13"/>
  <c r="H60" i="13"/>
  <c r="I60" i="13"/>
  <c r="B61" i="13"/>
  <c r="C61" i="13"/>
  <c r="D61" i="13"/>
  <c r="E61" i="13"/>
  <c r="F61" i="13"/>
  <c r="H61" i="13"/>
  <c r="I61" i="13"/>
  <c r="B62" i="13"/>
  <c r="C62" i="13"/>
  <c r="D62" i="13"/>
  <c r="E62" i="13"/>
  <c r="F62" i="13"/>
  <c r="H62" i="13"/>
  <c r="I62" i="13"/>
  <c r="B63" i="13"/>
  <c r="C63" i="13"/>
  <c r="D63" i="13"/>
  <c r="E63" i="13"/>
  <c r="F63" i="13"/>
  <c r="H63" i="13"/>
  <c r="I63" i="13"/>
  <c r="P5" i="13"/>
  <c r="O5" i="13"/>
  <c r="N5" i="13"/>
  <c r="M5" i="13"/>
  <c r="L5" i="13"/>
  <c r="I5" i="13"/>
  <c r="H5" i="13"/>
  <c r="F5" i="13"/>
  <c r="E5" i="13"/>
  <c r="D5" i="13"/>
  <c r="C5" i="13"/>
  <c r="B5" i="13"/>
  <c r="L6" i="12"/>
  <c r="M6" i="12"/>
  <c r="N6" i="12"/>
  <c r="O6" i="12"/>
  <c r="P6" i="12"/>
  <c r="L7" i="12"/>
  <c r="M7" i="12"/>
  <c r="N7" i="12"/>
  <c r="O7" i="12"/>
  <c r="P7" i="12"/>
  <c r="L8" i="12"/>
  <c r="M8" i="12"/>
  <c r="N8" i="12"/>
  <c r="O8" i="12"/>
  <c r="P8" i="12"/>
  <c r="L9" i="12"/>
  <c r="M9" i="12"/>
  <c r="N9" i="12"/>
  <c r="O9" i="12"/>
  <c r="P9" i="12"/>
  <c r="L10" i="12"/>
  <c r="M10" i="12"/>
  <c r="N10" i="12"/>
  <c r="O10" i="12"/>
  <c r="P10" i="12"/>
  <c r="L11" i="12"/>
  <c r="M11" i="12"/>
  <c r="N11" i="12"/>
  <c r="O11" i="12"/>
  <c r="P11" i="12"/>
  <c r="L12" i="12"/>
  <c r="M12" i="12"/>
  <c r="N12" i="12"/>
  <c r="O12" i="12"/>
  <c r="P12" i="12"/>
  <c r="L13" i="12"/>
  <c r="M13" i="12"/>
  <c r="N13" i="12"/>
  <c r="O13" i="12"/>
  <c r="P13" i="12"/>
  <c r="L14" i="12"/>
  <c r="M14" i="12"/>
  <c r="N14" i="12"/>
  <c r="O14" i="12"/>
  <c r="P14" i="12"/>
  <c r="L15" i="12"/>
  <c r="M15" i="12"/>
  <c r="N15" i="12"/>
  <c r="O15" i="12"/>
  <c r="P15" i="12"/>
  <c r="L16" i="12"/>
  <c r="M16" i="12"/>
  <c r="N16" i="12"/>
  <c r="O16" i="12"/>
  <c r="P16" i="12"/>
  <c r="L17" i="12"/>
  <c r="M17" i="12"/>
  <c r="N17" i="12"/>
  <c r="O17" i="12"/>
  <c r="P17" i="12"/>
  <c r="L18" i="12"/>
  <c r="M18" i="12"/>
  <c r="N18" i="12"/>
  <c r="O18" i="12"/>
  <c r="P18" i="12"/>
  <c r="L19" i="12"/>
  <c r="M19" i="12"/>
  <c r="N19" i="12"/>
  <c r="O19" i="12"/>
  <c r="P19" i="12"/>
  <c r="L20" i="12"/>
  <c r="M20" i="12"/>
  <c r="N20" i="12"/>
  <c r="O20" i="12"/>
  <c r="P20" i="12"/>
  <c r="L21" i="12"/>
  <c r="M21" i="12"/>
  <c r="N21" i="12"/>
  <c r="O21" i="12"/>
  <c r="P21" i="12"/>
  <c r="L22" i="12"/>
  <c r="M22" i="12"/>
  <c r="N22" i="12"/>
  <c r="O22" i="12"/>
  <c r="P22" i="12"/>
  <c r="L23" i="12"/>
  <c r="M23" i="12"/>
  <c r="N23" i="12"/>
  <c r="O23" i="12"/>
  <c r="P23" i="12"/>
  <c r="L24" i="12"/>
  <c r="M24" i="12"/>
  <c r="N24" i="12"/>
  <c r="O24" i="12"/>
  <c r="P24" i="12"/>
  <c r="L25" i="12"/>
  <c r="M25" i="12"/>
  <c r="N25" i="12"/>
  <c r="O25" i="12"/>
  <c r="P25" i="12"/>
  <c r="L26" i="12"/>
  <c r="M26" i="12"/>
  <c r="N26" i="12"/>
  <c r="O26" i="12"/>
  <c r="P26" i="12"/>
  <c r="L27" i="12"/>
  <c r="M27" i="12"/>
  <c r="N27" i="12"/>
  <c r="O27" i="12"/>
  <c r="P27" i="12"/>
  <c r="L28" i="12"/>
  <c r="M28" i="12"/>
  <c r="N28" i="12"/>
  <c r="O28" i="12"/>
  <c r="P28" i="12"/>
  <c r="L29" i="12"/>
  <c r="M29" i="12"/>
  <c r="N29" i="12"/>
  <c r="O29" i="12"/>
  <c r="P29" i="12"/>
  <c r="I6" i="12"/>
  <c r="C6" i="12"/>
  <c r="D6" i="12"/>
  <c r="E6" i="12"/>
  <c r="F6" i="12"/>
  <c r="H6" i="12"/>
  <c r="C7" i="12"/>
  <c r="D7" i="12"/>
  <c r="E7" i="12"/>
  <c r="F7" i="12"/>
  <c r="H7" i="12"/>
  <c r="I7" i="12"/>
  <c r="C8" i="12"/>
  <c r="D8" i="12"/>
  <c r="E8" i="12"/>
  <c r="F8" i="12"/>
  <c r="H8" i="12"/>
  <c r="I8" i="12"/>
  <c r="C9" i="12"/>
  <c r="D9" i="12"/>
  <c r="E9" i="12"/>
  <c r="F9" i="12"/>
  <c r="H9" i="12"/>
  <c r="I9" i="12"/>
  <c r="C10" i="12"/>
  <c r="D10" i="12"/>
  <c r="E10" i="12"/>
  <c r="F10" i="12"/>
  <c r="H10" i="12"/>
  <c r="I10" i="12"/>
  <c r="C11" i="12"/>
  <c r="D11" i="12"/>
  <c r="E11" i="12"/>
  <c r="F11" i="12"/>
  <c r="H11" i="12"/>
  <c r="I11" i="12"/>
  <c r="C12" i="12"/>
  <c r="D12" i="12"/>
  <c r="E12" i="12"/>
  <c r="F12" i="12"/>
  <c r="H12" i="12"/>
  <c r="I12" i="12"/>
  <c r="C13" i="12"/>
  <c r="D13" i="12"/>
  <c r="E13" i="12"/>
  <c r="F13" i="12"/>
  <c r="H13" i="12"/>
  <c r="I13" i="12"/>
  <c r="C14" i="12"/>
  <c r="D14" i="12"/>
  <c r="E14" i="12"/>
  <c r="F14" i="12"/>
  <c r="H14" i="12"/>
  <c r="I14" i="12"/>
  <c r="C15" i="12"/>
  <c r="D15" i="12"/>
  <c r="E15" i="12"/>
  <c r="F15" i="12"/>
  <c r="H15" i="12"/>
  <c r="I15" i="12"/>
  <c r="C16" i="12"/>
  <c r="D16" i="12"/>
  <c r="E16" i="12"/>
  <c r="F16" i="12"/>
  <c r="H16" i="12"/>
  <c r="I16" i="12"/>
  <c r="C17" i="12"/>
  <c r="D17" i="12"/>
  <c r="E17" i="12"/>
  <c r="F17" i="12"/>
  <c r="H17" i="12"/>
  <c r="I17" i="12"/>
  <c r="C18" i="12"/>
  <c r="D18" i="12"/>
  <c r="E18" i="12"/>
  <c r="F18" i="12"/>
  <c r="H18" i="12"/>
  <c r="I18" i="12"/>
  <c r="C19" i="12"/>
  <c r="D19" i="12"/>
  <c r="E19" i="12"/>
  <c r="F19" i="12"/>
  <c r="H19" i="12"/>
  <c r="I19" i="12"/>
  <c r="C20" i="12"/>
  <c r="D20" i="12"/>
  <c r="E20" i="12"/>
  <c r="F20" i="12"/>
  <c r="H20" i="12"/>
  <c r="I20" i="12"/>
  <c r="C21" i="12"/>
  <c r="D21" i="12"/>
  <c r="E21" i="12"/>
  <c r="F21" i="12"/>
  <c r="H21" i="12"/>
  <c r="I21" i="12"/>
  <c r="C22" i="12"/>
  <c r="D22" i="12"/>
  <c r="E22" i="12"/>
  <c r="F22" i="12"/>
  <c r="H22" i="12"/>
  <c r="I22" i="12"/>
  <c r="C23" i="12"/>
  <c r="D23" i="12"/>
  <c r="E23" i="12"/>
  <c r="F23" i="12"/>
  <c r="H23" i="12"/>
  <c r="I23" i="12"/>
  <c r="C24" i="12"/>
  <c r="D24" i="12"/>
  <c r="E24" i="12"/>
  <c r="F24" i="12"/>
  <c r="H24" i="12"/>
  <c r="I24" i="12"/>
  <c r="C25" i="12"/>
  <c r="D25" i="12"/>
  <c r="E25" i="12"/>
  <c r="F25" i="12"/>
  <c r="H25" i="12"/>
  <c r="I25" i="12"/>
  <c r="C26" i="12"/>
  <c r="D26" i="12"/>
  <c r="E26" i="12"/>
  <c r="F26" i="12"/>
  <c r="H26" i="12"/>
  <c r="I26" i="12"/>
  <c r="C27" i="12"/>
  <c r="D27" i="12"/>
  <c r="E27" i="12"/>
  <c r="F27" i="12"/>
  <c r="H27" i="12"/>
  <c r="I27" i="12"/>
  <c r="C28" i="12"/>
  <c r="D28" i="12"/>
  <c r="E28" i="12"/>
  <c r="F28" i="12"/>
  <c r="H28" i="12"/>
  <c r="I28" i="12"/>
  <c r="C29" i="12"/>
  <c r="D29" i="12"/>
  <c r="E29" i="12"/>
  <c r="F29" i="12"/>
  <c r="H29" i="12"/>
  <c r="I29" i="12"/>
  <c r="B6" i="12"/>
  <c r="B7" i="12"/>
  <c r="B8" i="12"/>
  <c r="B9" i="12"/>
  <c r="B10" i="12"/>
  <c r="B11" i="12"/>
  <c r="B12" i="12"/>
  <c r="B13" i="12"/>
  <c r="B14" i="12"/>
  <c r="B15" i="12"/>
  <c r="B16" i="12"/>
  <c r="B17" i="12"/>
  <c r="B18" i="12"/>
  <c r="B19" i="12"/>
  <c r="B20" i="12"/>
  <c r="B21" i="12"/>
  <c r="B22" i="12"/>
  <c r="B23" i="12"/>
  <c r="B24" i="12"/>
  <c r="B25" i="12"/>
  <c r="B26" i="12"/>
  <c r="B27" i="12"/>
  <c r="B28" i="12"/>
  <c r="B29" i="12"/>
  <c r="P5" i="12"/>
  <c r="O5" i="12"/>
  <c r="N5" i="12"/>
  <c r="M5" i="12"/>
  <c r="L5" i="12"/>
  <c r="I5" i="12"/>
  <c r="H5" i="12"/>
  <c r="F5" i="12"/>
  <c r="E5" i="12"/>
  <c r="D5" i="12"/>
  <c r="C5" i="12"/>
  <c r="B5" i="12"/>
  <c r="B7" i="11"/>
  <c r="B8" i="11"/>
  <c r="B9" i="11"/>
  <c r="B10" i="11"/>
  <c r="B11" i="11"/>
  <c r="B12" i="11"/>
  <c r="B13" i="11"/>
  <c r="B14" i="11"/>
  <c r="B15" i="11"/>
  <c r="B16" i="11"/>
  <c r="B17" i="11"/>
  <c r="B18" i="11"/>
  <c r="B19" i="11"/>
  <c r="B20" i="11"/>
  <c r="B21" i="11"/>
  <c r="B22" i="11"/>
  <c r="B23" i="11"/>
  <c r="B24" i="11"/>
  <c r="B25" i="11"/>
  <c r="B26" i="11"/>
  <c r="B27" i="11"/>
  <c r="B28" i="11"/>
  <c r="B29" i="11"/>
  <c r="B30" i="11"/>
  <c r="B31" i="11"/>
  <c r="B32" i="11"/>
  <c r="B33" i="11"/>
  <c r="B34" i="11"/>
  <c r="B35" i="11"/>
  <c r="B36" i="11"/>
  <c r="B37" i="11"/>
  <c r="B38" i="11"/>
  <c r="B39" i="11"/>
  <c r="B40" i="11"/>
  <c r="B41" i="11"/>
  <c r="B42" i="11"/>
  <c r="B43" i="11"/>
  <c r="B44" i="11"/>
  <c r="B45" i="11"/>
  <c r="B46" i="11"/>
  <c r="B47" i="11"/>
  <c r="B48" i="11"/>
  <c r="B49" i="11"/>
  <c r="B50" i="11"/>
  <c r="B51" i="11"/>
  <c r="B52" i="11"/>
  <c r="B53" i="11"/>
  <c r="B54" i="11"/>
  <c r="B55" i="11"/>
  <c r="B56" i="11"/>
  <c r="B57" i="11"/>
  <c r="B58" i="11"/>
  <c r="B59" i="11"/>
  <c r="B60" i="11"/>
  <c r="B61" i="11"/>
  <c r="B62" i="11"/>
  <c r="B63" i="11"/>
  <c r="B64" i="11"/>
  <c r="B65" i="11"/>
  <c r="B66" i="11"/>
  <c r="B67" i="11"/>
  <c r="B68" i="11"/>
  <c r="B69" i="11"/>
  <c r="B70" i="11"/>
  <c r="B71" i="11"/>
  <c r="B72" i="11"/>
  <c r="B73" i="11"/>
  <c r="B74" i="11"/>
  <c r="B75" i="11"/>
  <c r="B76" i="11"/>
  <c r="B77" i="11"/>
  <c r="B78" i="11"/>
  <c r="B79" i="11"/>
  <c r="B80" i="11"/>
  <c r="B81" i="11"/>
  <c r="B82" i="11"/>
  <c r="B83" i="11"/>
  <c r="B84" i="11"/>
  <c r="B85" i="11"/>
  <c r="B86" i="11"/>
  <c r="B87" i="11"/>
  <c r="B88" i="11"/>
  <c r="B89" i="11"/>
  <c r="B90" i="11"/>
  <c r="B91" i="11"/>
  <c r="B92" i="11"/>
  <c r="B93" i="11"/>
  <c r="B94" i="11"/>
  <c r="B95" i="11"/>
  <c r="B96" i="11"/>
  <c r="B97" i="11"/>
  <c r="B98" i="11"/>
  <c r="B99" i="11"/>
  <c r="B100" i="11"/>
  <c r="B101" i="11"/>
  <c r="B6" i="11"/>
  <c r="B5" i="11"/>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56" i="10"/>
  <c r="B57" i="10"/>
  <c r="B58" i="10"/>
  <c r="B59" i="10"/>
  <c r="B60" i="10"/>
  <c r="B61" i="10"/>
  <c r="B62" i="10"/>
  <c r="B63" i="10"/>
  <c r="B64" i="10"/>
  <c r="B65" i="10"/>
  <c r="B66" i="10"/>
  <c r="B67" i="10"/>
  <c r="B68" i="10"/>
  <c r="B69" i="10"/>
  <c r="B70" i="10"/>
  <c r="B6" i="10"/>
  <c r="B5" i="10"/>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5" i="8"/>
  <c r="C6" i="11"/>
  <c r="C7"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C56" i="11"/>
  <c r="C57" i="11"/>
  <c r="C58" i="11"/>
  <c r="C59" i="11"/>
  <c r="C60" i="11"/>
  <c r="C61" i="11"/>
  <c r="C62" i="11"/>
  <c r="C63" i="11"/>
  <c r="C64" i="11"/>
  <c r="C65" i="11"/>
  <c r="C66" i="11"/>
  <c r="C67" i="11"/>
  <c r="C68" i="11"/>
  <c r="C69" i="11"/>
  <c r="C70" i="11"/>
  <c r="C71" i="11"/>
  <c r="C72" i="11"/>
  <c r="C73" i="11"/>
  <c r="C74" i="11"/>
  <c r="C75" i="11"/>
  <c r="C76" i="11"/>
  <c r="C77" i="11"/>
  <c r="C78" i="11"/>
  <c r="C79" i="11"/>
  <c r="C80" i="11"/>
  <c r="C81" i="11"/>
  <c r="C82" i="11"/>
  <c r="C83" i="11"/>
  <c r="C84" i="11"/>
  <c r="C85" i="11"/>
  <c r="C86" i="11"/>
  <c r="C87" i="11"/>
  <c r="C88" i="11"/>
  <c r="C89" i="11"/>
  <c r="C90" i="11"/>
  <c r="C91" i="11"/>
  <c r="C92" i="11"/>
  <c r="C93" i="11"/>
  <c r="C94" i="11"/>
  <c r="C95" i="11"/>
  <c r="C96" i="11"/>
  <c r="C97" i="11"/>
  <c r="C98" i="11"/>
  <c r="C99" i="11"/>
  <c r="C100" i="11"/>
  <c r="C101" i="11"/>
  <c r="L6" i="11"/>
  <c r="M6" i="11"/>
  <c r="N6" i="11"/>
  <c r="O6" i="11"/>
  <c r="P6" i="11"/>
  <c r="L7" i="11"/>
  <c r="M7" i="11"/>
  <c r="N7" i="11"/>
  <c r="O7" i="11"/>
  <c r="P7" i="11"/>
  <c r="L8" i="11"/>
  <c r="M8" i="11"/>
  <c r="N8" i="11"/>
  <c r="O8" i="11"/>
  <c r="P8" i="11"/>
  <c r="L9" i="11"/>
  <c r="M9" i="11"/>
  <c r="N9" i="11"/>
  <c r="O9" i="11"/>
  <c r="P9" i="11"/>
  <c r="L10" i="11"/>
  <c r="M10" i="11"/>
  <c r="N10" i="11"/>
  <c r="O10" i="11"/>
  <c r="P10" i="11"/>
  <c r="L11" i="11"/>
  <c r="M11" i="11"/>
  <c r="N11" i="11"/>
  <c r="O11" i="11"/>
  <c r="P11" i="11"/>
  <c r="L12" i="11"/>
  <c r="M12" i="11"/>
  <c r="N12" i="11"/>
  <c r="O12" i="11"/>
  <c r="P12" i="11"/>
  <c r="L13" i="11"/>
  <c r="M13" i="11"/>
  <c r="N13" i="11"/>
  <c r="O13" i="11"/>
  <c r="P13" i="11"/>
  <c r="L14" i="11"/>
  <c r="M14" i="11"/>
  <c r="N14" i="11"/>
  <c r="O14" i="11"/>
  <c r="P14" i="11"/>
  <c r="L15" i="11"/>
  <c r="M15" i="11"/>
  <c r="N15" i="11"/>
  <c r="O15" i="11"/>
  <c r="P15" i="11"/>
  <c r="L16" i="11"/>
  <c r="M16" i="11"/>
  <c r="N16" i="11"/>
  <c r="O16" i="11"/>
  <c r="P16" i="11"/>
  <c r="L17" i="11"/>
  <c r="M17" i="11"/>
  <c r="N17" i="11"/>
  <c r="O17" i="11"/>
  <c r="P17" i="11"/>
  <c r="L18" i="11"/>
  <c r="M18" i="11"/>
  <c r="N18" i="11"/>
  <c r="O18" i="11"/>
  <c r="P18" i="11"/>
  <c r="L19" i="11"/>
  <c r="M19" i="11"/>
  <c r="N19" i="11"/>
  <c r="O19" i="11"/>
  <c r="P19" i="11"/>
  <c r="L20" i="11"/>
  <c r="M20" i="11"/>
  <c r="N20" i="11"/>
  <c r="O20" i="11"/>
  <c r="P20" i="11"/>
  <c r="L21" i="11"/>
  <c r="M21" i="11"/>
  <c r="N21" i="11"/>
  <c r="O21" i="11"/>
  <c r="P21" i="11"/>
  <c r="L22" i="11"/>
  <c r="M22" i="11"/>
  <c r="N22" i="11"/>
  <c r="O22" i="11"/>
  <c r="P22" i="11"/>
  <c r="L23" i="11"/>
  <c r="M23" i="11"/>
  <c r="N23" i="11"/>
  <c r="O23" i="11"/>
  <c r="P23" i="11"/>
  <c r="L24" i="11"/>
  <c r="M24" i="11"/>
  <c r="N24" i="11"/>
  <c r="O24" i="11"/>
  <c r="P24" i="11"/>
  <c r="L25" i="11"/>
  <c r="M25" i="11"/>
  <c r="N25" i="11"/>
  <c r="O25" i="11"/>
  <c r="P25" i="11"/>
  <c r="L26" i="11"/>
  <c r="M26" i="11"/>
  <c r="N26" i="11"/>
  <c r="O26" i="11"/>
  <c r="P26" i="11"/>
  <c r="L27" i="11"/>
  <c r="M27" i="11"/>
  <c r="N27" i="11"/>
  <c r="O27" i="11"/>
  <c r="P27" i="11"/>
  <c r="L28" i="11"/>
  <c r="M28" i="11"/>
  <c r="N28" i="11"/>
  <c r="O28" i="11"/>
  <c r="P28" i="11"/>
  <c r="L29" i="11"/>
  <c r="M29" i="11"/>
  <c r="N29" i="11"/>
  <c r="O29" i="11"/>
  <c r="P29" i="11"/>
  <c r="L30" i="11"/>
  <c r="M30" i="11"/>
  <c r="N30" i="11"/>
  <c r="O30" i="11"/>
  <c r="P30" i="11"/>
  <c r="L31" i="11"/>
  <c r="M31" i="11"/>
  <c r="N31" i="11"/>
  <c r="O31" i="11"/>
  <c r="P31" i="11"/>
  <c r="L32" i="11"/>
  <c r="M32" i="11"/>
  <c r="N32" i="11"/>
  <c r="O32" i="11"/>
  <c r="P32" i="11"/>
  <c r="L33" i="11"/>
  <c r="M33" i="11"/>
  <c r="N33" i="11"/>
  <c r="O33" i="11"/>
  <c r="P33" i="11"/>
  <c r="L34" i="11"/>
  <c r="M34" i="11"/>
  <c r="N34" i="11"/>
  <c r="O34" i="11"/>
  <c r="P34" i="11"/>
  <c r="L35" i="11"/>
  <c r="M35" i="11"/>
  <c r="N35" i="11"/>
  <c r="O35" i="11"/>
  <c r="P35" i="11"/>
  <c r="L36" i="11"/>
  <c r="M36" i="11"/>
  <c r="N36" i="11"/>
  <c r="O36" i="11"/>
  <c r="P36" i="11"/>
  <c r="L37" i="11"/>
  <c r="M37" i="11"/>
  <c r="N37" i="11"/>
  <c r="O37" i="11"/>
  <c r="P37" i="11"/>
  <c r="L38" i="11"/>
  <c r="M38" i="11"/>
  <c r="N38" i="11"/>
  <c r="O38" i="11"/>
  <c r="P38" i="11"/>
  <c r="L39" i="11"/>
  <c r="M39" i="11"/>
  <c r="N39" i="11"/>
  <c r="O39" i="11"/>
  <c r="P39" i="11"/>
  <c r="L40" i="11"/>
  <c r="M40" i="11"/>
  <c r="N40" i="11"/>
  <c r="O40" i="11"/>
  <c r="P40" i="11"/>
  <c r="L41" i="11"/>
  <c r="M41" i="11"/>
  <c r="N41" i="11"/>
  <c r="O41" i="11"/>
  <c r="P41" i="11"/>
  <c r="L42" i="11"/>
  <c r="M42" i="11"/>
  <c r="N42" i="11"/>
  <c r="O42" i="11"/>
  <c r="P42" i="11"/>
  <c r="L43" i="11"/>
  <c r="M43" i="11"/>
  <c r="N43" i="11"/>
  <c r="O43" i="11"/>
  <c r="P43" i="11"/>
  <c r="L44" i="11"/>
  <c r="M44" i="11"/>
  <c r="N44" i="11"/>
  <c r="O44" i="11"/>
  <c r="P44" i="11"/>
  <c r="L45" i="11"/>
  <c r="M45" i="11"/>
  <c r="N45" i="11"/>
  <c r="O45" i="11"/>
  <c r="P45" i="11"/>
  <c r="L46" i="11"/>
  <c r="M46" i="11"/>
  <c r="N46" i="11"/>
  <c r="O46" i="11"/>
  <c r="P46" i="11"/>
  <c r="L47" i="11"/>
  <c r="M47" i="11"/>
  <c r="N47" i="11"/>
  <c r="O47" i="11"/>
  <c r="P47" i="11"/>
  <c r="L48" i="11"/>
  <c r="M48" i="11"/>
  <c r="N48" i="11"/>
  <c r="O48" i="11"/>
  <c r="P48" i="11"/>
  <c r="L49" i="11"/>
  <c r="M49" i="11"/>
  <c r="N49" i="11"/>
  <c r="O49" i="11"/>
  <c r="P49" i="11"/>
  <c r="L50" i="11"/>
  <c r="M50" i="11"/>
  <c r="N50" i="11"/>
  <c r="O50" i="11"/>
  <c r="P50" i="11"/>
  <c r="L51" i="11"/>
  <c r="M51" i="11"/>
  <c r="N51" i="11"/>
  <c r="O51" i="11"/>
  <c r="P51" i="11"/>
  <c r="L52" i="11"/>
  <c r="M52" i="11"/>
  <c r="N52" i="11"/>
  <c r="O52" i="11"/>
  <c r="P52" i="11"/>
  <c r="L53" i="11"/>
  <c r="M53" i="11"/>
  <c r="N53" i="11"/>
  <c r="O53" i="11"/>
  <c r="P53" i="11"/>
  <c r="L54" i="11"/>
  <c r="M54" i="11"/>
  <c r="N54" i="11"/>
  <c r="O54" i="11"/>
  <c r="P54" i="11"/>
  <c r="L55" i="11"/>
  <c r="M55" i="11"/>
  <c r="N55" i="11"/>
  <c r="O55" i="11"/>
  <c r="P55" i="11"/>
  <c r="L56" i="11"/>
  <c r="M56" i="11"/>
  <c r="N56" i="11"/>
  <c r="O56" i="11"/>
  <c r="P56" i="11"/>
  <c r="L57" i="11"/>
  <c r="M57" i="11"/>
  <c r="N57" i="11"/>
  <c r="O57" i="11"/>
  <c r="P57" i="11"/>
  <c r="L58" i="11"/>
  <c r="M58" i="11"/>
  <c r="N58" i="11"/>
  <c r="O58" i="11"/>
  <c r="P58" i="11"/>
  <c r="L59" i="11"/>
  <c r="M59" i="11"/>
  <c r="N59" i="11"/>
  <c r="O59" i="11"/>
  <c r="P59" i="11"/>
  <c r="L60" i="11"/>
  <c r="M60" i="11"/>
  <c r="N60" i="11"/>
  <c r="O60" i="11"/>
  <c r="P60" i="11"/>
  <c r="L61" i="11"/>
  <c r="M61" i="11"/>
  <c r="N61" i="11"/>
  <c r="O61" i="11"/>
  <c r="P61" i="11"/>
  <c r="L62" i="11"/>
  <c r="M62" i="11"/>
  <c r="N62" i="11"/>
  <c r="O62" i="11"/>
  <c r="P62" i="11"/>
  <c r="L63" i="11"/>
  <c r="M63" i="11"/>
  <c r="N63" i="11"/>
  <c r="O63" i="11"/>
  <c r="P63" i="11"/>
  <c r="L64" i="11"/>
  <c r="M64" i="11"/>
  <c r="N64" i="11"/>
  <c r="O64" i="11"/>
  <c r="P64" i="11"/>
  <c r="L65" i="11"/>
  <c r="M65" i="11"/>
  <c r="N65" i="11"/>
  <c r="O65" i="11"/>
  <c r="P65" i="11"/>
  <c r="L66" i="11"/>
  <c r="M66" i="11"/>
  <c r="N66" i="11"/>
  <c r="O66" i="11"/>
  <c r="P66" i="11"/>
  <c r="L67" i="11"/>
  <c r="M67" i="11"/>
  <c r="N67" i="11"/>
  <c r="O67" i="11"/>
  <c r="P67" i="11"/>
  <c r="L68" i="11"/>
  <c r="M68" i="11"/>
  <c r="N68" i="11"/>
  <c r="O68" i="11"/>
  <c r="P68" i="11"/>
  <c r="L69" i="11"/>
  <c r="M69" i="11"/>
  <c r="N69" i="11"/>
  <c r="O69" i="11"/>
  <c r="P69" i="11"/>
  <c r="L70" i="11"/>
  <c r="M70" i="11"/>
  <c r="N70" i="11"/>
  <c r="O70" i="11"/>
  <c r="P70" i="11"/>
  <c r="L71" i="11"/>
  <c r="M71" i="11"/>
  <c r="N71" i="11"/>
  <c r="O71" i="11"/>
  <c r="P71" i="11"/>
  <c r="L72" i="11"/>
  <c r="M72" i="11"/>
  <c r="N72" i="11"/>
  <c r="O72" i="11"/>
  <c r="P72" i="11"/>
  <c r="L73" i="11"/>
  <c r="M73" i="11"/>
  <c r="N73" i="11"/>
  <c r="O73" i="11"/>
  <c r="P73" i="11"/>
  <c r="L74" i="11"/>
  <c r="M74" i="11"/>
  <c r="N74" i="11"/>
  <c r="O74" i="11"/>
  <c r="P74" i="11"/>
  <c r="L75" i="11"/>
  <c r="M75" i="11"/>
  <c r="N75" i="11"/>
  <c r="O75" i="11"/>
  <c r="P75" i="11"/>
  <c r="L76" i="11"/>
  <c r="M76" i="11"/>
  <c r="N76" i="11"/>
  <c r="O76" i="11"/>
  <c r="P76" i="11"/>
  <c r="L77" i="11"/>
  <c r="M77" i="11"/>
  <c r="N77" i="11"/>
  <c r="O77" i="11"/>
  <c r="P77" i="11"/>
  <c r="L78" i="11"/>
  <c r="M78" i="11"/>
  <c r="N78" i="11"/>
  <c r="O78" i="11"/>
  <c r="P78" i="11"/>
  <c r="L79" i="11"/>
  <c r="M79" i="11"/>
  <c r="N79" i="11"/>
  <c r="O79" i="11"/>
  <c r="P79" i="11"/>
  <c r="L80" i="11"/>
  <c r="M80" i="11"/>
  <c r="N80" i="11"/>
  <c r="O80" i="11"/>
  <c r="P80" i="11"/>
  <c r="L81" i="11"/>
  <c r="M81" i="11"/>
  <c r="N81" i="11"/>
  <c r="O81" i="11"/>
  <c r="P81" i="11"/>
  <c r="L82" i="11"/>
  <c r="M82" i="11"/>
  <c r="N82" i="11"/>
  <c r="O82" i="11"/>
  <c r="P82" i="11"/>
  <c r="L83" i="11"/>
  <c r="M83" i="11"/>
  <c r="N83" i="11"/>
  <c r="O83" i="11"/>
  <c r="P83" i="11"/>
  <c r="L84" i="11"/>
  <c r="M84" i="11"/>
  <c r="N84" i="11"/>
  <c r="O84" i="11"/>
  <c r="P84" i="11"/>
  <c r="L85" i="11"/>
  <c r="M85" i="11"/>
  <c r="N85" i="11"/>
  <c r="O85" i="11"/>
  <c r="P85" i="11"/>
  <c r="L86" i="11"/>
  <c r="M86" i="11"/>
  <c r="N86" i="11"/>
  <c r="O86" i="11"/>
  <c r="P86" i="11"/>
  <c r="L87" i="11"/>
  <c r="M87" i="11"/>
  <c r="N87" i="11"/>
  <c r="O87" i="11"/>
  <c r="P87" i="11"/>
  <c r="L88" i="11"/>
  <c r="M88" i="11"/>
  <c r="N88" i="11"/>
  <c r="O88" i="11"/>
  <c r="P88" i="11"/>
  <c r="L89" i="11"/>
  <c r="M89" i="11"/>
  <c r="N89" i="11"/>
  <c r="O89" i="11"/>
  <c r="P89" i="11"/>
  <c r="L90" i="11"/>
  <c r="M90" i="11"/>
  <c r="N90" i="11"/>
  <c r="O90" i="11"/>
  <c r="P90" i="11"/>
  <c r="L91" i="11"/>
  <c r="M91" i="11"/>
  <c r="N91" i="11"/>
  <c r="O91" i="11"/>
  <c r="P91" i="11"/>
  <c r="L92" i="11"/>
  <c r="M92" i="11"/>
  <c r="N92" i="11"/>
  <c r="O92" i="11"/>
  <c r="P92" i="11"/>
  <c r="L93" i="11"/>
  <c r="M93" i="11"/>
  <c r="N93" i="11"/>
  <c r="O93" i="11"/>
  <c r="P93" i="11"/>
  <c r="L94" i="11"/>
  <c r="M94" i="11"/>
  <c r="N94" i="11"/>
  <c r="O94" i="11"/>
  <c r="P94" i="11"/>
  <c r="L95" i="11"/>
  <c r="M95" i="11"/>
  <c r="N95" i="11"/>
  <c r="O95" i="11"/>
  <c r="P95" i="11"/>
  <c r="L96" i="11"/>
  <c r="M96" i="11"/>
  <c r="N96" i="11"/>
  <c r="O96" i="11"/>
  <c r="P96" i="11"/>
  <c r="L97" i="11"/>
  <c r="M97" i="11"/>
  <c r="N97" i="11"/>
  <c r="O97" i="11"/>
  <c r="P97" i="11"/>
  <c r="L98" i="11"/>
  <c r="M98" i="11"/>
  <c r="N98" i="11"/>
  <c r="O98" i="11"/>
  <c r="P98" i="11"/>
  <c r="L99" i="11"/>
  <c r="M99" i="11"/>
  <c r="N99" i="11"/>
  <c r="O99" i="11"/>
  <c r="P99" i="11"/>
  <c r="L100" i="11"/>
  <c r="M100" i="11"/>
  <c r="N100" i="11"/>
  <c r="O100" i="11"/>
  <c r="P100" i="11"/>
  <c r="L101" i="11"/>
  <c r="M101" i="11"/>
  <c r="N101" i="11"/>
  <c r="O101" i="11"/>
  <c r="P101" i="11"/>
  <c r="D6" i="11"/>
  <c r="E6" i="11"/>
  <c r="F6" i="11"/>
  <c r="H6" i="11"/>
  <c r="I6" i="11"/>
  <c r="D7" i="11"/>
  <c r="E7" i="11"/>
  <c r="F7" i="11"/>
  <c r="H7" i="11"/>
  <c r="I7" i="11"/>
  <c r="D8" i="11"/>
  <c r="E8" i="11"/>
  <c r="F8" i="11"/>
  <c r="H8" i="11"/>
  <c r="I8" i="11"/>
  <c r="D9" i="11"/>
  <c r="E9" i="11"/>
  <c r="F9" i="11"/>
  <c r="H9" i="11"/>
  <c r="I9" i="11"/>
  <c r="D10" i="11"/>
  <c r="E10" i="11"/>
  <c r="F10" i="11"/>
  <c r="H10" i="11"/>
  <c r="I10" i="11"/>
  <c r="D11" i="11"/>
  <c r="E11" i="11"/>
  <c r="F11" i="11"/>
  <c r="H11" i="11"/>
  <c r="I11" i="11"/>
  <c r="D12" i="11"/>
  <c r="E12" i="11"/>
  <c r="F12" i="11"/>
  <c r="H12" i="11"/>
  <c r="I12" i="11"/>
  <c r="D13" i="11"/>
  <c r="E13" i="11"/>
  <c r="F13" i="11"/>
  <c r="H13" i="11"/>
  <c r="I13" i="11"/>
  <c r="D14" i="11"/>
  <c r="E14" i="11"/>
  <c r="F14" i="11"/>
  <c r="H14" i="11"/>
  <c r="I14" i="11"/>
  <c r="D15" i="11"/>
  <c r="E15" i="11"/>
  <c r="F15" i="11"/>
  <c r="H15" i="11"/>
  <c r="I15" i="11"/>
  <c r="D16" i="11"/>
  <c r="E16" i="11"/>
  <c r="F16" i="11"/>
  <c r="H16" i="11"/>
  <c r="I16" i="11"/>
  <c r="I17" i="11"/>
  <c r="I18" i="11"/>
  <c r="I19" i="11"/>
  <c r="D20" i="11"/>
  <c r="E20" i="11"/>
  <c r="F20" i="11"/>
  <c r="H20" i="11"/>
  <c r="I20" i="11"/>
  <c r="D21" i="11"/>
  <c r="E21" i="11"/>
  <c r="F21" i="11"/>
  <c r="H21" i="11"/>
  <c r="I21" i="11"/>
  <c r="D22" i="11"/>
  <c r="E22" i="11"/>
  <c r="F22" i="11"/>
  <c r="H22" i="11"/>
  <c r="I22" i="11"/>
  <c r="D23" i="11"/>
  <c r="E23" i="11"/>
  <c r="F23" i="11"/>
  <c r="H23" i="11"/>
  <c r="I23" i="11"/>
  <c r="D24" i="11"/>
  <c r="E24" i="11"/>
  <c r="F24" i="11"/>
  <c r="H24" i="11"/>
  <c r="I24" i="11"/>
  <c r="I25" i="11"/>
  <c r="I26" i="11"/>
  <c r="I27" i="11"/>
  <c r="D28" i="11"/>
  <c r="E28" i="11"/>
  <c r="F28" i="11"/>
  <c r="H28" i="11"/>
  <c r="I28" i="11"/>
  <c r="D29" i="11"/>
  <c r="E29" i="11"/>
  <c r="F29" i="11"/>
  <c r="H29" i="11"/>
  <c r="I29" i="11"/>
  <c r="D30" i="11"/>
  <c r="E30" i="11"/>
  <c r="F30" i="11"/>
  <c r="H30" i="11"/>
  <c r="I30" i="11"/>
  <c r="D31" i="11"/>
  <c r="E31" i="11"/>
  <c r="F31" i="11"/>
  <c r="H31" i="11"/>
  <c r="I31" i="11"/>
  <c r="D32" i="11"/>
  <c r="E32" i="11"/>
  <c r="F32" i="11"/>
  <c r="H32" i="11"/>
  <c r="I32" i="11"/>
  <c r="D33" i="11"/>
  <c r="E33" i="11"/>
  <c r="F33" i="11"/>
  <c r="H33" i="11"/>
  <c r="I33" i="11"/>
  <c r="D34" i="11"/>
  <c r="E34" i="11"/>
  <c r="F34" i="11"/>
  <c r="H34" i="11"/>
  <c r="I34" i="11"/>
  <c r="D35" i="11"/>
  <c r="E35" i="11"/>
  <c r="F35" i="11"/>
  <c r="H35" i="11"/>
  <c r="I35" i="11"/>
  <c r="D36" i="11"/>
  <c r="E36" i="11"/>
  <c r="F36" i="11"/>
  <c r="H36" i="11"/>
  <c r="I36" i="11"/>
  <c r="D37" i="11"/>
  <c r="E37" i="11"/>
  <c r="F37" i="11"/>
  <c r="H37" i="11"/>
  <c r="I37" i="11"/>
  <c r="D38" i="11"/>
  <c r="E38" i="11"/>
  <c r="F38" i="11"/>
  <c r="H38" i="11"/>
  <c r="I38" i="11"/>
  <c r="D39" i="11"/>
  <c r="E39" i="11"/>
  <c r="F39" i="11"/>
  <c r="H39" i="11"/>
  <c r="I39" i="11"/>
  <c r="D40" i="11"/>
  <c r="E40" i="11"/>
  <c r="F40" i="11"/>
  <c r="H40" i="11"/>
  <c r="I40" i="11"/>
  <c r="D41" i="11"/>
  <c r="E41" i="11"/>
  <c r="F41" i="11"/>
  <c r="H41" i="11"/>
  <c r="I41" i="11"/>
  <c r="D42" i="11"/>
  <c r="E42" i="11"/>
  <c r="F42" i="11"/>
  <c r="H42" i="11"/>
  <c r="I42" i="11"/>
  <c r="D43" i="11"/>
  <c r="E43" i="11"/>
  <c r="F43" i="11"/>
  <c r="H43" i="11"/>
  <c r="I43" i="11"/>
  <c r="D44" i="11"/>
  <c r="E44" i="11"/>
  <c r="F44" i="11"/>
  <c r="H44" i="11"/>
  <c r="I44" i="11"/>
  <c r="D45" i="11"/>
  <c r="E45" i="11"/>
  <c r="F45" i="11"/>
  <c r="H45" i="11"/>
  <c r="I45" i="11"/>
  <c r="D46" i="11"/>
  <c r="E46" i="11"/>
  <c r="F46" i="11"/>
  <c r="H46" i="11"/>
  <c r="I46" i="11"/>
  <c r="D47" i="11"/>
  <c r="E47" i="11"/>
  <c r="F47" i="11"/>
  <c r="H47" i="11"/>
  <c r="I47" i="11"/>
  <c r="D48" i="11"/>
  <c r="E48" i="11"/>
  <c r="F48" i="11"/>
  <c r="H48" i="11"/>
  <c r="I48" i="11"/>
  <c r="D49" i="11"/>
  <c r="E49" i="11"/>
  <c r="F49" i="11"/>
  <c r="H49" i="11"/>
  <c r="I49" i="11"/>
  <c r="D50" i="11"/>
  <c r="E50" i="11"/>
  <c r="F50" i="11"/>
  <c r="H50" i="11"/>
  <c r="I50" i="11"/>
  <c r="D51" i="11"/>
  <c r="E51" i="11"/>
  <c r="F51" i="11"/>
  <c r="H51" i="11"/>
  <c r="I51" i="11"/>
  <c r="D52" i="11"/>
  <c r="E52" i="11"/>
  <c r="F52" i="11"/>
  <c r="H52" i="11"/>
  <c r="I52" i="11"/>
  <c r="D53" i="11"/>
  <c r="E53" i="11"/>
  <c r="F53" i="11"/>
  <c r="H53" i="11"/>
  <c r="I53" i="11"/>
  <c r="D54" i="11"/>
  <c r="E54" i="11"/>
  <c r="F54" i="11"/>
  <c r="H54" i="11"/>
  <c r="I54" i="11"/>
  <c r="D55" i="11"/>
  <c r="E55" i="11"/>
  <c r="F55" i="11"/>
  <c r="H55" i="11"/>
  <c r="I55" i="11"/>
  <c r="D56" i="11"/>
  <c r="E56" i="11"/>
  <c r="F56" i="11"/>
  <c r="H56" i="11"/>
  <c r="I56" i="11"/>
  <c r="D57" i="11"/>
  <c r="E57" i="11"/>
  <c r="F57" i="11"/>
  <c r="H57" i="11"/>
  <c r="I57" i="11"/>
  <c r="D58" i="11"/>
  <c r="E58" i="11"/>
  <c r="F58" i="11"/>
  <c r="H58" i="11"/>
  <c r="I58" i="11"/>
  <c r="I59" i="11"/>
  <c r="I60" i="11"/>
  <c r="D61" i="11"/>
  <c r="E61" i="11"/>
  <c r="F61" i="11"/>
  <c r="H61" i="11"/>
  <c r="I61" i="11"/>
  <c r="D62" i="11"/>
  <c r="E62" i="11"/>
  <c r="F62" i="11"/>
  <c r="H62" i="11"/>
  <c r="I62" i="11"/>
  <c r="D63" i="11"/>
  <c r="E63" i="11"/>
  <c r="F63" i="11"/>
  <c r="H63" i="11"/>
  <c r="I63" i="11"/>
  <c r="D64" i="11"/>
  <c r="E64" i="11"/>
  <c r="F64" i="11"/>
  <c r="H64" i="11"/>
  <c r="I64" i="11"/>
  <c r="D65" i="11"/>
  <c r="E65" i="11"/>
  <c r="F65" i="11"/>
  <c r="H65" i="11"/>
  <c r="I65" i="11"/>
  <c r="D66" i="11"/>
  <c r="E66" i="11"/>
  <c r="F66" i="11"/>
  <c r="H66" i="11"/>
  <c r="I66" i="11"/>
  <c r="D67" i="11"/>
  <c r="E67" i="11"/>
  <c r="F67" i="11"/>
  <c r="H67" i="11"/>
  <c r="I67" i="11"/>
  <c r="D68" i="11"/>
  <c r="E68" i="11"/>
  <c r="F68" i="11"/>
  <c r="H68" i="11"/>
  <c r="I68" i="11"/>
  <c r="D69" i="11"/>
  <c r="E69" i="11"/>
  <c r="F69" i="11"/>
  <c r="H69" i="11"/>
  <c r="I69" i="11"/>
  <c r="D70" i="11"/>
  <c r="E70" i="11"/>
  <c r="F70" i="11"/>
  <c r="H70" i="11"/>
  <c r="I70" i="11"/>
  <c r="D71" i="11"/>
  <c r="E71" i="11"/>
  <c r="F71" i="11"/>
  <c r="H71" i="11"/>
  <c r="I71" i="11"/>
  <c r="D72" i="11"/>
  <c r="E72" i="11"/>
  <c r="F72" i="11"/>
  <c r="H72" i="11"/>
  <c r="I72" i="11"/>
  <c r="D73" i="11"/>
  <c r="E73" i="11"/>
  <c r="F73" i="11"/>
  <c r="H73" i="11"/>
  <c r="I73" i="11"/>
  <c r="D74" i="11"/>
  <c r="E74" i="11"/>
  <c r="F74" i="11"/>
  <c r="H74" i="11"/>
  <c r="I74" i="11"/>
  <c r="D75" i="11"/>
  <c r="E75" i="11"/>
  <c r="F75" i="11"/>
  <c r="H75" i="11"/>
  <c r="I75" i="11"/>
  <c r="I76" i="11"/>
  <c r="D77" i="11"/>
  <c r="E77" i="11"/>
  <c r="F77" i="11"/>
  <c r="H77" i="11"/>
  <c r="I77" i="11"/>
  <c r="D78" i="11"/>
  <c r="E78" i="11"/>
  <c r="F78" i="11"/>
  <c r="H78" i="11"/>
  <c r="I78" i="11"/>
  <c r="D79" i="11"/>
  <c r="E79" i="11"/>
  <c r="F79" i="11"/>
  <c r="H79" i="11"/>
  <c r="I79" i="11"/>
  <c r="D80" i="11"/>
  <c r="E80" i="11"/>
  <c r="F80" i="11"/>
  <c r="H80" i="11"/>
  <c r="I80" i="11"/>
  <c r="D81" i="11"/>
  <c r="E81" i="11"/>
  <c r="F81" i="11"/>
  <c r="H81" i="11"/>
  <c r="I81" i="11"/>
  <c r="D82" i="11"/>
  <c r="E82" i="11"/>
  <c r="F82" i="11"/>
  <c r="H82" i="11"/>
  <c r="I82" i="11"/>
  <c r="D83" i="11"/>
  <c r="E83" i="11"/>
  <c r="F83" i="11"/>
  <c r="H83" i="11"/>
  <c r="I83" i="11"/>
  <c r="D84" i="11"/>
  <c r="E84" i="11"/>
  <c r="F84" i="11"/>
  <c r="H84" i="11"/>
  <c r="I84" i="11"/>
  <c r="D85" i="11"/>
  <c r="E85" i="11"/>
  <c r="F85" i="11"/>
  <c r="H85" i="11"/>
  <c r="I85" i="11"/>
  <c r="D86" i="11"/>
  <c r="E86" i="11"/>
  <c r="F86" i="11"/>
  <c r="H86" i="11"/>
  <c r="I86" i="11"/>
  <c r="D87" i="11"/>
  <c r="E87" i="11"/>
  <c r="F87" i="11"/>
  <c r="H87" i="11"/>
  <c r="I87" i="11"/>
  <c r="D88" i="11"/>
  <c r="E88" i="11"/>
  <c r="F88" i="11"/>
  <c r="H88" i="11"/>
  <c r="I88" i="11"/>
  <c r="D89" i="11"/>
  <c r="E89" i="11"/>
  <c r="F89" i="11"/>
  <c r="H89" i="11"/>
  <c r="I89" i="11"/>
  <c r="D90" i="11"/>
  <c r="E90" i="11"/>
  <c r="F90" i="11"/>
  <c r="H90" i="11"/>
  <c r="I90" i="11"/>
  <c r="D91" i="11"/>
  <c r="E91" i="11"/>
  <c r="F91" i="11"/>
  <c r="H91" i="11"/>
  <c r="I91" i="11"/>
  <c r="D92" i="11"/>
  <c r="E92" i="11"/>
  <c r="F92" i="11"/>
  <c r="H92" i="11"/>
  <c r="I92" i="11"/>
  <c r="D93" i="11"/>
  <c r="E93" i="11"/>
  <c r="F93" i="11"/>
  <c r="H93" i="11"/>
  <c r="I93" i="11"/>
  <c r="D94" i="11"/>
  <c r="E94" i="11"/>
  <c r="F94" i="11"/>
  <c r="H94" i="11"/>
  <c r="I94" i="11"/>
  <c r="D95" i="11"/>
  <c r="E95" i="11"/>
  <c r="F95" i="11"/>
  <c r="H95" i="11"/>
  <c r="I95" i="11"/>
  <c r="D96" i="11"/>
  <c r="E96" i="11"/>
  <c r="F96" i="11"/>
  <c r="H96" i="11"/>
  <c r="I96" i="11"/>
  <c r="D97" i="11"/>
  <c r="E97" i="11"/>
  <c r="F97" i="11"/>
  <c r="H97" i="11"/>
  <c r="I97" i="11"/>
  <c r="D98" i="11"/>
  <c r="E98" i="11"/>
  <c r="F98" i="11"/>
  <c r="H98" i="11"/>
  <c r="I98" i="11"/>
  <c r="D99" i="11"/>
  <c r="E99" i="11"/>
  <c r="F99" i="11"/>
  <c r="H99" i="11"/>
  <c r="I99" i="11"/>
  <c r="D100" i="11"/>
  <c r="E100" i="11"/>
  <c r="F100" i="11"/>
  <c r="H100" i="11"/>
  <c r="I100" i="11"/>
  <c r="D101" i="11"/>
  <c r="E101" i="11"/>
  <c r="F101" i="11"/>
  <c r="H101" i="11"/>
  <c r="I101" i="11"/>
  <c r="P5" i="11"/>
  <c r="O5" i="11"/>
  <c r="N5" i="11"/>
  <c r="M5" i="11"/>
  <c r="L5" i="11"/>
  <c r="I5" i="11"/>
  <c r="H5" i="11"/>
  <c r="F5" i="11"/>
  <c r="E5" i="11"/>
  <c r="D5" i="11"/>
  <c r="C5" i="11"/>
  <c r="C6" i="10"/>
  <c r="D6" i="10"/>
  <c r="E6" i="10"/>
  <c r="F6" i="10"/>
  <c r="H6" i="10"/>
  <c r="I6" i="10"/>
  <c r="C7" i="10"/>
  <c r="D7" i="10"/>
  <c r="E7" i="10"/>
  <c r="F7" i="10"/>
  <c r="H7" i="10"/>
  <c r="I7" i="10"/>
  <c r="C8" i="10"/>
  <c r="D8" i="10"/>
  <c r="E8" i="10"/>
  <c r="F8" i="10"/>
  <c r="H8" i="10"/>
  <c r="I8" i="10"/>
  <c r="C9" i="10"/>
  <c r="D9" i="10"/>
  <c r="E9" i="10"/>
  <c r="F9" i="10"/>
  <c r="H9" i="10"/>
  <c r="I9" i="10"/>
  <c r="C10" i="10"/>
  <c r="D10" i="10"/>
  <c r="E10" i="10"/>
  <c r="F10" i="10"/>
  <c r="H10" i="10"/>
  <c r="I10" i="10"/>
  <c r="C11" i="10"/>
  <c r="D11" i="10"/>
  <c r="E11" i="10"/>
  <c r="F11" i="10"/>
  <c r="H11" i="10"/>
  <c r="I11" i="10"/>
  <c r="C12" i="10"/>
  <c r="D12" i="10"/>
  <c r="E12" i="10"/>
  <c r="F12" i="10"/>
  <c r="H12" i="10"/>
  <c r="I12" i="10"/>
  <c r="C13" i="10"/>
  <c r="D13" i="10"/>
  <c r="E13" i="10"/>
  <c r="F13" i="10"/>
  <c r="H13" i="10"/>
  <c r="I13" i="10"/>
  <c r="C14" i="10"/>
  <c r="D14" i="10"/>
  <c r="E14" i="10"/>
  <c r="F14" i="10"/>
  <c r="H14" i="10"/>
  <c r="I14" i="10"/>
  <c r="C15" i="10"/>
  <c r="D15" i="10"/>
  <c r="E15" i="10"/>
  <c r="F15" i="10"/>
  <c r="H15" i="10"/>
  <c r="I15" i="10"/>
  <c r="C16" i="10"/>
  <c r="D16" i="10"/>
  <c r="E16" i="10"/>
  <c r="F16" i="10"/>
  <c r="H16" i="10"/>
  <c r="I16" i="10"/>
  <c r="C17" i="10"/>
  <c r="D17" i="10"/>
  <c r="E17" i="10"/>
  <c r="F17" i="10"/>
  <c r="H17" i="10"/>
  <c r="I17" i="10"/>
  <c r="C18" i="10"/>
  <c r="D18" i="10"/>
  <c r="E18" i="10"/>
  <c r="F18" i="10"/>
  <c r="H18" i="10"/>
  <c r="I18" i="10"/>
  <c r="C19" i="10"/>
  <c r="D19" i="10"/>
  <c r="E19" i="10"/>
  <c r="F19" i="10"/>
  <c r="H19" i="10"/>
  <c r="I19" i="10"/>
  <c r="C20" i="10"/>
  <c r="D20" i="10"/>
  <c r="E20" i="10"/>
  <c r="F20" i="10"/>
  <c r="H20" i="10"/>
  <c r="I20" i="10"/>
  <c r="C21" i="10"/>
  <c r="D21" i="10"/>
  <c r="E21" i="10"/>
  <c r="F21" i="10"/>
  <c r="H21" i="10"/>
  <c r="I21" i="10"/>
  <c r="C22" i="10"/>
  <c r="D22" i="10"/>
  <c r="E22" i="10"/>
  <c r="F22" i="10"/>
  <c r="H22" i="10"/>
  <c r="I22" i="10"/>
  <c r="C23" i="10"/>
  <c r="D23" i="10"/>
  <c r="E23" i="10"/>
  <c r="F23" i="10"/>
  <c r="H23" i="10"/>
  <c r="I23" i="10"/>
  <c r="C24" i="10"/>
  <c r="D24" i="10"/>
  <c r="E24" i="10"/>
  <c r="F24" i="10"/>
  <c r="H24" i="10"/>
  <c r="I24" i="10"/>
  <c r="C25" i="10"/>
  <c r="D25" i="10"/>
  <c r="E25" i="10"/>
  <c r="F25" i="10"/>
  <c r="H25" i="10"/>
  <c r="I25" i="10"/>
  <c r="C26" i="10"/>
  <c r="D26" i="10"/>
  <c r="E26" i="10"/>
  <c r="F26" i="10"/>
  <c r="H26" i="10"/>
  <c r="I26" i="10"/>
  <c r="C27" i="10"/>
  <c r="D27" i="10"/>
  <c r="E27" i="10"/>
  <c r="F27" i="10"/>
  <c r="H27" i="10"/>
  <c r="I27" i="10"/>
  <c r="C28" i="10"/>
  <c r="D28" i="10"/>
  <c r="E28" i="10"/>
  <c r="F28" i="10"/>
  <c r="H28" i="10"/>
  <c r="I28" i="10"/>
  <c r="C29" i="10"/>
  <c r="D29" i="10"/>
  <c r="E29" i="10"/>
  <c r="F29" i="10"/>
  <c r="H29" i="10"/>
  <c r="I29" i="10"/>
  <c r="C30" i="10"/>
  <c r="D30" i="10"/>
  <c r="E30" i="10"/>
  <c r="F30" i="10"/>
  <c r="H30" i="10"/>
  <c r="I30" i="10"/>
  <c r="C31" i="10"/>
  <c r="D31" i="10"/>
  <c r="E31" i="10"/>
  <c r="F31" i="10"/>
  <c r="H31" i="10"/>
  <c r="I31" i="10"/>
  <c r="C32" i="10"/>
  <c r="D32" i="10"/>
  <c r="E32" i="10"/>
  <c r="F32" i="10"/>
  <c r="H32" i="10"/>
  <c r="I32" i="10"/>
  <c r="C33" i="10"/>
  <c r="D33" i="10"/>
  <c r="E33" i="10"/>
  <c r="F33" i="10"/>
  <c r="H33" i="10"/>
  <c r="I33" i="10"/>
  <c r="C34" i="10"/>
  <c r="D34" i="10"/>
  <c r="E34" i="10"/>
  <c r="F34" i="10"/>
  <c r="H34" i="10"/>
  <c r="I34" i="10"/>
  <c r="C35" i="10"/>
  <c r="D35" i="10"/>
  <c r="E35" i="10"/>
  <c r="F35" i="10"/>
  <c r="H35" i="10"/>
  <c r="I35" i="10"/>
  <c r="C36" i="10"/>
  <c r="D36" i="10"/>
  <c r="E36" i="10"/>
  <c r="F36" i="10"/>
  <c r="H36" i="10"/>
  <c r="I36" i="10"/>
  <c r="C37" i="10"/>
  <c r="D37" i="10"/>
  <c r="E37" i="10"/>
  <c r="F37" i="10"/>
  <c r="H37" i="10"/>
  <c r="I37" i="10"/>
  <c r="C38" i="10"/>
  <c r="D38" i="10"/>
  <c r="E38" i="10"/>
  <c r="F38" i="10"/>
  <c r="H38" i="10"/>
  <c r="I38" i="10"/>
  <c r="C39" i="10"/>
  <c r="D39" i="10"/>
  <c r="E39" i="10"/>
  <c r="F39" i="10"/>
  <c r="H39" i="10"/>
  <c r="I39" i="10"/>
  <c r="C40" i="10"/>
  <c r="D40" i="10"/>
  <c r="E40" i="10"/>
  <c r="F40" i="10"/>
  <c r="H40" i="10"/>
  <c r="I40" i="10"/>
  <c r="C41" i="10"/>
  <c r="D41" i="10"/>
  <c r="E41" i="10"/>
  <c r="F41" i="10"/>
  <c r="H41" i="10"/>
  <c r="I41" i="10"/>
  <c r="C42" i="10"/>
  <c r="D42" i="10"/>
  <c r="E42" i="10"/>
  <c r="F42" i="10"/>
  <c r="H42" i="10"/>
  <c r="I42" i="10"/>
  <c r="C43" i="10"/>
  <c r="D43" i="10"/>
  <c r="E43" i="10"/>
  <c r="F43" i="10"/>
  <c r="H43" i="10"/>
  <c r="I43" i="10"/>
  <c r="C44" i="10"/>
  <c r="D44" i="10"/>
  <c r="E44" i="10"/>
  <c r="F44" i="10"/>
  <c r="H44" i="10"/>
  <c r="I44" i="10"/>
  <c r="C45" i="10"/>
  <c r="D45" i="10"/>
  <c r="E45" i="10"/>
  <c r="F45" i="10"/>
  <c r="H45" i="10"/>
  <c r="I45" i="10"/>
  <c r="C46" i="10"/>
  <c r="D46" i="10"/>
  <c r="E46" i="10"/>
  <c r="F46" i="10"/>
  <c r="H46" i="10"/>
  <c r="I46" i="10"/>
  <c r="C47" i="10"/>
  <c r="D47" i="10"/>
  <c r="E47" i="10"/>
  <c r="F47" i="10"/>
  <c r="H47" i="10"/>
  <c r="I47" i="10"/>
  <c r="C48" i="10"/>
  <c r="D48" i="10"/>
  <c r="E48" i="10"/>
  <c r="F48" i="10"/>
  <c r="H48" i="10"/>
  <c r="I48" i="10"/>
  <c r="C49" i="10"/>
  <c r="D49" i="10"/>
  <c r="E49" i="10"/>
  <c r="F49" i="10"/>
  <c r="H49" i="10"/>
  <c r="I49" i="10"/>
  <c r="C50" i="10"/>
  <c r="D50" i="10"/>
  <c r="E50" i="10"/>
  <c r="F50" i="10"/>
  <c r="H50" i="10"/>
  <c r="I50" i="10"/>
  <c r="C51" i="10"/>
  <c r="D51" i="10"/>
  <c r="E51" i="10"/>
  <c r="F51" i="10"/>
  <c r="H51" i="10"/>
  <c r="I51" i="10"/>
  <c r="C52" i="10"/>
  <c r="D52" i="10"/>
  <c r="E52" i="10"/>
  <c r="F52" i="10"/>
  <c r="H52" i="10"/>
  <c r="I52" i="10"/>
  <c r="C53" i="10"/>
  <c r="D53" i="10"/>
  <c r="E53" i="10"/>
  <c r="F53" i="10"/>
  <c r="H53" i="10"/>
  <c r="I53" i="10"/>
  <c r="C54" i="10"/>
  <c r="D54" i="10"/>
  <c r="E54" i="10"/>
  <c r="F54" i="10"/>
  <c r="H54" i="10"/>
  <c r="I54" i="10"/>
  <c r="C55" i="10"/>
  <c r="D55" i="10"/>
  <c r="E55" i="10"/>
  <c r="F55" i="10"/>
  <c r="H55" i="10"/>
  <c r="I55" i="10"/>
  <c r="C56" i="10"/>
  <c r="D56" i="10"/>
  <c r="E56" i="10"/>
  <c r="F56" i="10"/>
  <c r="H56" i="10"/>
  <c r="I56" i="10"/>
  <c r="C57" i="10"/>
  <c r="D57" i="10"/>
  <c r="E57" i="10"/>
  <c r="F57" i="10"/>
  <c r="H57" i="10"/>
  <c r="I57" i="10"/>
  <c r="C58" i="10"/>
  <c r="D58" i="10"/>
  <c r="E58" i="10"/>
  <c r="F58" i="10"/>
  <c r="H58" i="10"/>
  <c r="I58" i="10"/>
  <c r="C59" i="10"/>
  <c r="D59" i="10"/>
  <c r="E59" i="10"/>
  <c r="F59" i="10"/>
  <c r="H59" i="10"/>
  <c r="I59" i="10"/>
  <c r="C60" i="10"/>
  <c r="D60" i="10"/>
  <c r="E60" i="10"/>
  <c r="F60" i="10"/>
  <c r="H60" i="10"/>
  <c r="I60" i="10"/>
  <c r="C61" i="10"/>
  <c r="D61" i="10"/>
  <c r="E61" i="10"/>
  <c r="F61" i="10"/>
  <c r="H61" i="10"/>
  <c r="I61" i="10"/>
  <c r="C62" i="10"/>
  <c r="D62" i="10"/>
  <c r="E62" i="10"/>
  <c r="F62" i="10"/>
  <c r="H62" i="10"/>
  <c r="I62" i="10"/>
  <c r="C63" i="10"/>
  <c r="D63" i="10"/>
  <c r="E63" i="10"/>
  <c r="F63" i="10"/>
  <c r="H63" i="10"/>
  <c r="I63" i="10"/>
  <c r="C64" i="10"/>
  <c r="D64" i="10"/>
  <c r="E64" i="10"/>
  <c r="F64" i="10"/>
  <c r="H64" i="10"/>
  <c r="I64" i="10"/>
  <c r="C65" i="10"/>
  <c r="D65" i="10"/>
  <c r="E65" i="10"/>
  <c r="F65" i="10"/>
  <c r="H65" i="10"/>
  <c r="I65" i="10"/>
  <c r="C66" i="10"/>
  <c r="D66" i="10"/>
  <c r="E66" i="10"/>
  <c r="F66" i="10"/>
  <c r="H66" i="10"/>
  <c r="I66" i="10"/>
  <c r="C67" i="10"/>
  <c r="D67" i="10"/>
  <c r="E67" i="10"/>
  <c r="F67" i="10"/>
  <c r="H67" i="10"/>
  <c r="I67" i="10"/>
  <c r="C68" i="10"/>
  <c r="D68" i="10"/>
  <c r="E68" i="10"/>
  <c r="F68" i="10"/>
  <c r="H68" i="10"/>
  <c r="I68" i="10"/>
  <c r="C69" i="10"/>
  <c r="D69" i="10"/>
  <c r="E69" i="10"/>
  <c r="F69" i="10"/>
  <c r="H69" i="10"/>
  <c r="I69" i="10"/>
  <c r="C70" i="10"/>
  <c r="D70" i="10"/>
  <c r="E70" i="10"/>
  <c r="F70" i="10"/>
  <c r="H70" i="10"/>
  <c r="I70" i="10"/>
  <c r="L6" i="10"/>
  <c r="M6" i="10"/>
  <c r="N6" i="10"/>
  <c r="O6" i="10"/>
  <c r="P6" i="10"/>
  <c r="L7" i="10"/>
  <c r="M7" i="10"/>
  <c r="N7" i="10"/>
  <c r="O7" i="10"/>
  <c r="P7" i="10"/>
  <c r="L8" i="10"/>
  <c r="M8" i="10"/>
  <c r="N8" i="10"/>
  <c r="O8" i="10"/>
  <c r="P8" i="10"/>
  <c r="L9" i="10"/>
  <c r="M9" i="10"/>
  <c r="N9" i="10"/>
  <c r="O9" i="10"/>
  <c r="P9" i="10"/>
  <c r="L10" i="10"/>
  <c r="M10" i="10"/>
  <c r="N10" i="10"/>
  <c r="O10" i="10"/>
  <c r="P10" i="10"/>
  <c r="L11" i="10"/>
  <c r="M11" i="10"/>
  <c r="N11" i="10"/>
  <c r="O11" i="10"/>
  <c r="P11" i="10"/>
  <c r="L12" i="10"/>
  <c r="M12" i="10"/>
  <c r="N12" i="10"/>
  <c r="O12" i="10"/>
  <c r="P12" i="10"/>
  <c r="L13" i="10"/>
  <c r="M13" i="10"/>
  <c r="N13" i="10"/>
  <c r="O13" i="10"/>
  <c r="P13" i="10"/>
  <c r="L14" i="10"/>
  <c r="M14" i="10"/>
  <c r="N14" i="10"/>
  <c r="O14" i="10"/>
  <c r="P14" i="10"/>
  <c r="L15" i="10"/>
  <c r="M15" i="10"/>
  <c r="N15" i="10"/>
  <c r="O15" i="10"/>
  <c r="P15" i="10"/>
  <c r="L16" i="10"/>
  <c r="M16" i="10"/>
  <c r="N16" i="10"/>
  <c r="O16" i="10"/>
  <c r="P16" i="10"/>
  <c r="L17" i="10"/>
  <c r="M17" i="10"/>
  <c r="N17" i="10"/>
  <c r="O17" i="10"/>
  <c r="P17" i="10"/>
  <c r="L18" i="10"/>
  <c r="M18" i="10"/>
  <c r="N18" i="10"/>
  <c r="O18" i="10"/>
  <c r="P18" i="10"/>
  <c r="L19" i="10"/>
  <c r="M19" i="10"/>
  <c r="N19" i="10"/>
  <c r="O19" i="10"/>
  <c r="P19" i="10"/>
  <c r="L20" i="10"/>
  <c r="M20" i="10"/>
  <c r="N20" i="10"/>
  <c r="O20" i="10"/>
  <c r="P20" i="10"/>
  <c r="L21" i="10"/>
  <c r="M21" i="10"/>
  <c r="N21" i="10"/>
  <c r="O21" i="10"/>
  <c r="P21" i="10"/>
  <c r="L22" i="10"/>
  <c r="M22" i="10"/>
  <c r="N22" i="10"/>
  <c r="O22" i="10"/>
  <c r="P22" i="10"/>
  <c r="L23" i="10"/>
  <c r="M23" i="10"/>
  <c r="N23" i="10"/>
  <c r="O23" i="10"/>
  <c r="P23" i="10"/>
  <c r="L24" i="10"/>
  <c r="M24" i="10"/>
  <c r="N24" i="10"/>
  <c r="O24" i="10"/>
  <c r="P24" i="10"/>
  <c r="L25" i="10"/>
  <c r="M25" i="10"/>
  <c r="N25" i="10"/>
  <c r="O25" i="10"/>
  <c r="P25" i="10"/>
  <c r="L26" i="10"/>
  <c r="M26" i="10"/>
  <c r="N26" i="10"/>
  <c r="O26" i="10"/>
  <c r="P26" i="10"/>
  <c r="L27" i="10"/>
  <c r="M27" i="10"/>
  <c r="N27" i="10"/>
  <c r="O27" i="10"/>
  <c r="P27" i="10"/>
  <c r="L28" i="10"/>
  <c r="M28" i="10"/>
  <c r="N28" i="10"/>
  <c r="O28" i="10"/>
  <c r="P28" i="10"/>
  <c r="L29" i="10"/>
  <c r="M29" i="10"/>
  <c r="N29" i="10"/>
  <c r="O29" i="10"/>
  <c r="P29" i="10"/>
  <c r="L30" i="10"/>
  <c r="M30" i="10"/>
  <c r="N30" i="10"/>
  <c r="O30" i="10"/>
  <c r="P30" i="10"/>
  <c r="L31" i="10"/>
  <c r="M31" i="10"/>
  <c r="N31" i="10"/>
  <c r="O31" i="10"/>
  <c r="P31" i="10"/>
  <c r="L32" i="10"/>
  <c r="M32" i="10"/>
  <c r="N32" i="10"/>
  <c r="O32" i="10"/>
  <c r="P32" i="10"/>
  <c r="L33" i="10"/>
  <c r="M33" i="10"/>
  <c r="N33" i="10"/>
  <c r="O33" i="10"/>
  <c r="P33" i="10"/>
  <c r="L34" i="10"/>
  <c r="M34" i="10"/>
  <c r="N34" i="10"/>
  <c r="O34" i="10"/>
  <c r="P34" i="10"/>
  <c r="L35" i="10"/>
  <c r="M35" i="10"/>
  <c r="N35" i="10"/>
  <c r="O35" i="10"/>
  <c r="P35" i="10"/>
  <c r="L36" i="10"/>
  <c r="M36" i="10"/>
  <c r="N36" i="10"/>
  <c r="O36" i="10"/>
  <c r="P36" i="10"/>
  <c r="L37" i="10"/>
  <c r="M37" i="10"/>
  <c r="N37" i="10"/>
  <c r="O37" i="10"/>
  <c r="P37" i="10"/>
  <c r="L38" i="10"/>
  <c r="M38" i="10"/>
  <c r="N38" i="10"/>
  <c r="O38" i="10"/>
  <c r="P38" i="10"/>
  <c r="L39" i="10"/>
  <c r="M39" i="10"/>
  <c r="N39" i="10"/>
  <c r="O39" i="10"/>
  <c r="P39" i="10"/>
  <c r="L40" i="10"/>
  <c r="M40" i="10"/>
  <c r="N40" i="10"/>
  <c r="O40" i="10"/>
  <c r="P40" i="10"/>
  <c r="L41" i="10"/>
  <c r="M41" i="10"/>
  <c r="N41" i="10"/>
  <c r="O41" i="10"/>
  <c r="P41" i="10"/>
  <c r="L42" i="10"/>
  <c r="M42" i="10"/>
  <c r="N42" i="10"/>
  <c r="O42" i="10"/>
  <c r="P42" i="10"/>
  <c r="L43" i="10"/>
  <c r="M43" i="10"/>
  <c r="N43" i="10"/>
  <c r="O43" i="10"/>
  <c r="P43" i="10"/>
  <c r="L44" i="10"/>
  <c r="M44" i="10"/>
  <c r="N44" i="10"/>
  <c r="O44" i="10"/>
  <c r="P44" i="10"/>
  <c r="L45" i="10"/>
  <c r="M45" i="10"/>
  <c r="N45" i="10"/>
  <c r="O45" i="10"/>
  <c r="P45" i="10"/>
  <c r="L46" i="10"/>
  <c r="M46" i="10"/>
  <c r="N46" i="10"/>
  <c r="O46" i="10"/>
  <c r="P46" i="10"/>
  <c r="L47" i="10"/>
  <c r="M47" i="10"/>
  <c r="N47" i="10"/>
  <c r="O47" i="10"/>
  <c r="P47" i="10"/>
  <c r="L48" i="10"/>
  <c r="M48" i="10"/>
  <c r="N48" i="10"/>
  <c r="O48" i="10"/>
  <c r="P48" i="10"/>
  <c r="L49" i="10"/>
  <c r="M49" i="10"/>
  <c r="N49" i="10"/>
  <c r="O49" i="10"/>
  <c r="P49" i="10"/>
  <c r="L50" i="10"/>
  <c r="M50" i="10"/>
  <c r="N50" i="10"/>
  <c r="O50" i="10"/>
  <c r="P50" i="10"/>
  <c r="L51" i="10"/>
  <c r="M51" i="10"/>
  <c r="N51" i="10"/>
  <c r="O51" i="10"/>
  <c r="P51" i="10"/>
  <c r="L52" i="10"/>
  <c r="M52" i="10"/>
  <c r="N52" i="10"/>
  <c r="O52" i="10"/>
  <c r="P52" i="10"/>
  <c r="L53" i="10"/>
  <c r="M53" i="10"/>
  <c r="N53" i="10"/>
  <c r="O53" i="10"/>
  <c r="P53" i="10"/>
  <c r="L54" i="10"/>
  <c r="M54" i="10"/>
  <c r="N54" i="10"/>
  <c r="O54" i="10"/>
  <c r="P54" i="10"/>
  <c r="L55" i="10"/>
  <c r="M55" i="10"/>
  <c r="N55" i="10"/>
  <c r="O55" i="10"/>
  <c r="P55" i="10"/>
  <c r="L56" i="10"/>
  <c r="M56" i="10"/>
  <c r="N56" i="10"/>
  <c r="O56" i="10"/>
  <c r="P56" i="10"/>
  <c r="L57" i="10"/>
  <c r="M57" i="10"/>
  <c r="N57" i="10"/>
  <c r="O57" i="10"/>
  <c r="P57" i="10"/>
  <c r="L58" i="10"/>
  <c r="M58" i="10"/>
  <c r="N58" i="10"/>
  <c r="O58" i="10"/>
  <c r="P58" i="10"/>
  <c r="L59" i="10"/>
  <c r="M59" i="10"/>
  <c r="N59" i="10"/>
  <c r="O59" i="10"/>
  <c r="P59" i="10"/>
  <c r="L60" i="10"/>
  <c r="M60" i="10"/>
  <c r="N60" i="10"/>
  <c r="O60" i="10"/>
  <c r="P60" i="10"/>
  <c r="L61" i="10"/>
  <c r="M61" i="10"/>
  <c r="N61" i="10"/>
  <c r="O61" i="10"/>
  <c r="P61" i="10"/>
  <c r="L62" i="10"/>
  <c r="M62" i="10"/>
  <c r="N62" i="10"/>
  <c r="O62" i="10"/>
  <c r="P62" i="10"/>
  <c r="L63" i="10"/>
  <c r="M63" i="10"/>
  <c r="N63" i="10"/>
  <c r="O63" i="10"/>
  <c r="P63" i="10"/>
  <c r="L64" i="10"/>
  <c r="M64" i="10"/>
  <c r="N64" i="10"/>
  <c r="O64" i="10"/>
  <c r="P64" i="10"/>
  <c r="L65" i="10"/>
  <c r="M65" i="10"/>
  <c r="N65" i="10"/>
  <c r="O65" i="10"/>
  <c r="P65" i="10"/>
  <c r="L66" i="10"/>
  <c r="M66" i="10"/>
  <c r="N66" i="10"/>
  <c r="O66" i="10"/>
  <c r="P66" i="10"/>
  <c r="L67" i="10"/>
  <c r="M67" i="10"/>
  <c r="N67" i="10"/>
  <c r="O67" i="10"/>
  <c r="P67" i="10"/>
  <c r="L68" i="10"/>
  <c r="M68" i="10"/>
  <c r="N68" i="10"/>
  <c r="O68" i="10"/>
  <c r="P68" i="10"/>
  <c r="L69" i="10"/>
  <c r="M69" i="10"/>
  <c r="N69" i="10"/>
  <c r="O69" i="10"/>
  <c r="P69" i="10"/>
  <c r="L70" i="10"/>
  <c r="M70" i="10"/>
  <c r="N70" i="10"/>
  <c r="O70" i="10"/>
  <c r="P70" i="10"/>
  <c r="L5" i="10"/>
  <c r="P5" i="10"/>
  <c r="O5" i="10"/>
  <c r="N5" i="10"/>
  <c r="M5" i="10"/>
  <c r="P69" i="8"/>
  <c r="O69" i="8"/>
  <c r="N69" i="8"/>
  <c r="M69" i="8"/>
  <c r="L69" i="8"/>
  <c r="P68" i="8"/>
  <c r="O68" i="8"/>
  <c r="N68" i="8"/>
  <c r="M68" i="8"/>
  <c r="L68" i="8"/>
  <c r="P67" i="8"/>
  <c r="O67" i="8"/>
  <c r="N67" i="8"/>
  <c r="M67" i="8"/>
  <c r="L67" i="8"/>
  <c r="P66" i="8"/>
  <c r="O66" i="8"/>
  <c r="N66" i="8"/>
  <c r="M66" i="8"/>
  <c r="L66" i="8"/>
  <c r="P65" i="8"/>
  <c r="O65" i="8"/>
  <c r="N65" i="8"/>
  <c r="M65" i="8"/>
  <c r="L65" i="8"/>
  <c r="P64" i="8"/>
  <c r="O64" i="8"/>
  <c r="N64" i="8"/>
  <c r="M64" i="8"/>
  <c r="L64" i="8"/>
  <c r="P63" i="8"/>
  <c r="O63" i="8"/>
  <c r="N63" i="8"/>
  <c r="M63" i="8"/>
  <c r="L63" i="8"/>
  <c r="P62" i="8"/>
  <c r="O62" i="8"/>
  <c r="N62" i="8"/>
  <c r="M62" i="8"/>
  <c r="L62" i="8"/>
  <c r="P61" i="8"/>
  <c r="O61" i="8"/>
  <c r="N61" i="8"/>
  <c r="M61" i="8"/>
  <c r="L61" i="8"/>
  <c r="P60" i="8"/>
  <c r="O60" i="8"/>
  <c r="N60" i="8"/>
  <c r="M60" i="8"/>
  <c r="L60" i="8"/>
  <c r="P59" i="8"/>
  <c r="O59" i="8"/>
  <c r="N59" i="8"/>
  <c r="M59" i="8"/>
  <c r="L59" i="8"/>
  <c r="P58" i="8"/>
  <c r="O58" i="8"/>
  <c r="N58" i="8"/>
  <c r="M58" i="8"/>
  <c r="L58" i="8"/>
  <c r="P57" i="8"/>
  <c r="O57" i="8"/>
  <c r="N57" i="8"/>
  <c r="M57" i="8"/>
  <c r="L57" i="8"/>
  <c r="P56" i="8"/>
  <c r="O56" i="8"/>
  <c r="N56" i="8"/>
  <c r="M56" i="8"/>
  <c r="L56" i="8"/>
  <c r="P55" i="8"/>
  <c r="O55" i="8"/>
  <c r="N55" i="8"/>
  <c r="M55" i="8"/>
  <c r="L55" i="8"/>
  <c r="P54" i="8"/>
  <c r="O54" i="8"/>
  <c r="N54" i="8"/>
  <c r="M54" i="8"/>
  <c r="L54" i="8"/>
  <c r="P53" i="8"/>
  <c r="O53" i="8"/>
  <c r="N53" i="8"/>
  <c r="M53" i="8"/>
  <c r="L53" i="8"/>
  <c r="P52" i="8"/>
  <c r="O52" i="8"/>
  <c r="N52" i="8"/>
  <c r="M52" i="8"/>
  <c r="L52" i="8"/>
  <c r="P51" i="8"/>
  <c r="O51" i="8"/>
  <c r="N51" i="8"/>
  <c r="M51" i="8"/>
  <c r="L51" i="8"/>
  <c r="P50" i="8"/>
  <c r="O50" i="8"/>
  <c r="N50" i="8"/>
  <c r="M50" i="8"/>
  <c r="L50" i="8"/>
  <c r="P49" i="8"/>
  <c r="O49" i="8"/>
  <c r="N49" i="8"/>
  <c r="M49" i="8"/>
  <c r="L49" i="8"/>
  <c r="P48" i="8"/>
  <c r="O48" i="8"/>
  <c r="N48" i="8"/>
  <c r="M48" i="8"/>
  <c r="L48" i="8"/>
  <c r="P47" i="8"/>
  <c r="O47" i="8"/>
  <c r="N47" i="8"/>
  <c r="M47" i="8"/>
  <c r="L47" i="8"/>
  <c r="P46" i="8"/>
  <c r="O46" i="8"/>
  <c r="N46" i="8"/>
  <c r="M46" i="8"/>
  <c r="L46" i="8"/>
  <c r="P45" i="8"/>
  <c r="O45" i="8"/>
  <c r="N45" i="8"/>
  <c r="M45" i="8"/>
  <c r="L45" i="8"/>
  <c r="P44" i="8"/>
  <c r="O44" i="8"/>
  <c r="N44" i="8"/>
  <c r="M44" i="8"/>
  <c r="L44" i="8"/>
  <c r="P43" i="8"/>
  <c r="O43" i="8"/>
  <c r="N43" i="8"/>
  <c r="M43" i="8"/>
  <c r="L43" i="8"/>
  <c r="P42" i="8"/>
  <c r="O42" i="8"/>
  <c r="N42" i="8"/>
  <c r="M42" i="8"/>
  <c r="L42" i="8"/>
  <c r="P41" i="8"/>
  <c r="O41" i="8"/>
  <c r="N41" i="8"/>
  <c r="M41" i="8"/>
  <c r="L41" i="8"/>
  <c r="P40" i="8"/>
  <c r="O40" i="8"/>
  <c r="N40" i="8"/>
  <c r="M40" i="8"/>
  <c r="L40" i="8"/>
  <c r="P39" i="8"/>
  <c r="O39" i="8"/>
  <c r="N39" i="8"/>
  <c r="M39" i="8"/>
  <c r="L39" i="8"/>
  <c r="P38" i="8"/>
  <c r="O38" i="8"/>
  <c r="N38" i="8"/>
  <c r="M38" i="8"/>
  <c r="L38" i="8"/>
  <c r="P37" i="8"/>
  <c r="O37" i="8"/>
  <c r="N37" i="8"/>
  <c r="M37" i="8"/>
  <c r="L37" i="8"/>
  <c r="P36" i="8"/>
  <c r="O36" i="8"/>
  <c r="N36" i="8"/>
  <c r="M36" i="8"/>
  <c r="L36" i="8"/>
  <c r="P35" i="8"/>
  <c r="O35" i="8"/>
  <c r="N35" i="8"/>
  <c r="M35" i="8"/>
  <c r="L35" i="8"/>
  <c r="P34" i="8"/>
  <c r="O34" i="8"/>
  <c r="N34" i="8"/>
  <c r="M34" i="8"/>
  <c r="L34" i="8"/>
  <c r="P33" i="8"/>
  <c r="O33" i="8"/>
  <c r="N33" i="8"/>
  <c r="M33" i="8"/>
  <c r="L33" i="8"/>
  <c r="P32" i="8"/>
  <c r="O32" i="8"/>
  <c r="N32" i="8"/>
  <c r="M32" i="8"/>
  <c r="L32" i="8"/>
  <c r="P31" i="8"/>
  <c r="O31" i="8"/>
  <c r="N31" i="8"/>
  <c r="M31" i="8"/>
  <c r="L31" i="8"/>
  <c r="P30" i="8"/>
  <c r="O30" i="8"/>
  <c r="N30" i="8"/>
  <c r="M30" i="8"/>
  <c r="L30" i="8"/>
  <c r="P29" i="8"/>
  <c r="O29" i="8"/>
  <c r="N29" i="8"/>
  <c r="M29" i="8"/>
  <c r="L29" i="8"/>
  <c r="P28" i="8"/>
  <c r="O28" i="8"/>
  <c r="N28" i="8"/>
  <c r="M28" i="8"/>
  <c r="L28" i="8"/>
  <c r="P27" i="8"/>
  <c r="O27" i="8"/>
  <c r="N27" i="8"/>
  <c r="M27" i="8"/>
  <c r="L27" i="8"/>
  <c r="P26" i="8"/>
  <c r="O26" i="8"/>
  <c r="N26" i="8"/>
  <c r="M26" i="8"/>
  <c r="L26" i="8"/>
  <c r="P25" i="8"/>
  <c r="O25" i="8"/>
  <c r="N25" i="8"/>
  <c r="M25" i="8"/>
  <c r="L25" i="8"/>
  <c r="P24" i="8"/>
  <c r="O24" i="8"/>
  <c r="N24" i="8"/>
  <c r="M24" i="8"/>
  <c r="L24" i="8"/>
  <c r="P23" i="8"/>
  <c r="O23" i="8"/>
  <c r="N23" i="8"/>
  <c r="M23" i="8"/>
  <c r="L23" i="8"/>
  <c r="P22" i="8"/>
  <c r="O22" i="8"/>
  <c r="N22" i="8"/>
  <c r="M22" i="8"/>
  <c r="L22" i="8"/>
  <c r="P21" i="8"/>
  <c r="O21" i="8"/>
  <c r="N21" i="8"/>
  <c r="M21" i="8"/>
  <c r="L21" i="8"/>
  <c r="P20" i="8"/>
  <c r="O20" i="8"/>
  <c r="N20" i="8"/>
  <c r="M20" i="8"/>
  <c r="L20" i="8"/>
  <c r="P19" i="8"/>
  <c r="O19" i="8"/>
  <c r="N19" i="8"/>
  <c r="M19" i="8"/>
  <c r="L19" i="8"/>
  <c r="P18" i="8"/>
  <c r="O18" i="8"/>
  <c r="N18" i="8"/>
  <c r="M18" i="8"/>
  <c r="L18" i="8"/>
  <c r="P17" i="8"/>
  <c r="O17" i="8"/>
  <c r="N17" i="8"/>
  <c r="M17" i="8"/>
  <c r="L17" i="8"/>
  <c r="P16" i="8"/>
  <c r="O16" i="8"/>
  <c r="N16" i="8"/>
  <c r="M16" i="8"/>
  <c r="L16" i="8"/>
  <c r="P15" i="8"/>
  <c r="O15" i="8"/>
  <c r="N15" i="8"/>
  <c r="M15" i="8"/>
  <c r="L15" i="8"/>
  <c r="P14" i="8"/>
  <c r="O14" i="8"/>
  <c r="N14" i="8"/>
  <c r="M14" i="8"/>
  <c r="L14" i="8"/>
  <c r="P13" i="8"/>
  <c r="O13" i="8"/>
  <c r="N13" i="8"/>
  <c r="M13" i="8"/>
  <c r="L13" i="8"/>
  <c r="P12" i="8"/>
  <c r="O12" i="8"/>
  <c r="N12" i="8"/>
  <c r="M12" i="8"/>
  <c r="L12" i="8"/>
  <c r="P11" i="8"/>
  <c r="O11" i="8"/>
  <c r="N11" i="8"/>
  <c r="M11" i="8"/>
  <c r="L11" i="8"/>
  <c r="P10" i="8"/>
  <c r="O10" i="8"/>
  <c r="N10" i="8"/>
  <c r="M10" i="8"/>
  <c r="L10" i="8"/>
  <c r="P9" i="8"/>
  <c r="O9" i="8"/>
  <c r="N9" i="8"/>
  <c r="M9" i="8"/>
  <c r="L9" i="8"/>
  <c r="P8" i="8"/>
  <c r="O8" i="8"/>
  <c r="N8" i="8"/>
  <c r="M8" i="8"/>
  <c r="L8" i="8"/>
  <c r="P7" i="8"/>
  <c r="O7" i="8"/>
  <c r="N7" i="8"/>
  <c r="M7" i="8"/>
  <c r="L7" i="8"/>
  <c r="P6" i="8"/>
  <c r="O6" i="8"/>
  <c r="N6" i="8"/>
  <c r="M6" i="8"/>
  <c r="L6" i="8"/>
  <c r="L5" i="8"/>
  <c r="I5" i="10"/>
  <c r="H5" i="10"/>
  <c r="F5" i="10"/>
  <c r="E5" i="10"/>
  <c r="D5" i="10"/>
  <c r="C5" i="10"/>
  <c r="C21" i="8"/>
  <c r="D21" i="8"/>
  <c r="E21" i="8"/>
  <c r="F21" i="8"/>
  <c r="H21" i="8"/>
  <c r="I21" i="8"/>
  <c r="C22" i="8"/>
  <c r="D22" i="8"/>
  <c r="E22" i="8"/>
  <c r="F22" i="8"/>
  <c r="H22" i="8"/>
  <c r="I22" i="8"/>
  <c r="C23" i="8"/>
  <c r="D23" i="8"/>
  <c r="E23" i="8"/>
  <c r="F23" i="8"/>
  <c r="H23" i="8"/>
  <c r="I23" i="8"/>
  <c r="C24" i="8"/>
  <c r="D24" i="8"/>
  <c r="E24" i="8"/>
  <c r="F24" i="8"/>
  <c r="H24" i="8"/>
  <c r="I24" i="8"/>
  <c r="C25" i="8"/>
  <c r="D25" i="8"/>
  <c r="E25" i="8"/>
  <c r="F25" i="8"/>
  <c r="H25" i="8"/>
  <c r="I25" i="8"/>
  <c r="C26" i="8"/>
  <c r="D26" i="8"/>
  <c r="E26" i="8"/>
  <c r="F26" i="8"/>
  <c r="H26" i="8"/>
  <c r="I26" i="8"/>
  <c r="C27" i="8"/>
  <c r="D27" i="8"/>
  <c r="E27" i="8"/>
  <c r="F27" i="8"/>
  <c r="H27" i="8"/>
  <c r="I27" i="8"/>
  <c r="C28" i="8"/>
  <c r="D28" i="8"/>
  <c r="E28" i="8"/>
  <c r="F28" i="8"/>
  <c r="H28" i="8"/>
  <c r="I28" i="8"/>
  <c r="C29" i="8"/>
  <c r="D29" i="8"/>
  <c r="E29" i="8"/>
  <c r="F29" i="8"/>
  <c r="H29" i="8"/>
  <c r="I29" i="8"/>
  <c r="C30" i="8"/>
  <c r="D30" i="8"/>
  <c r="E30" i="8"/>
  <c r="F30" i="8"/>
  <c r="H30" i="8"/>
  <c r="I30" i="8"/>
  <c r="C31" i="8"/>
  <c r="D31" i="8"/>
  <c r="E31" i="8"/>
  <c r="F31" i="8"/>
  <c r="H31" i="8"/>
  <c r="I31" i="8"/>
  <c r="C32" i="8"/>
  <c r="D32" i="8"/>
  <c r="E32" i="8"/>
  <c r="F32" i="8"/>
  <c r="H32" i="8"/>
  <c r="I32" i="8"/>
  <c r="C33" i="8"/>
  <c r="D33" i="8"/>
  <c r="E33" i="8"/>
  <c r="F33" i="8"/>
  <c r="H33" i="8"/>
  <c r="I33" i="8"/>
  <c r="C34" i="8"/>
  <c r="D34" i="8"/>
  <c r="E34" i="8"/>
  <c r="F34" i="8"/>
  <c r="H34" i="8"/>
  <c r="I34" i="8"/>
  <c r="C35" i="8"/>
  <c r="D35" i="8"/>
  <c r="E35" i="8"/>
  <c r="F35" i="8"/>
  <c r="H35" i="8"/>
  <c r="I35" i="8"/>
  <c r="C36" i="8"/>
  <c r="D36" i="8"/>
  <c r="E36" i="8"/>
  <c r="F36" i="8"/>
  <c r="H36" i="8"/>
  <c r="I36" i="8"/>
  <c r="C37" i="8"/>
  <c r="D37" i="8"/>
  <c r="E37" i="8"/>
  <c r="F37" i="8"/>
  <c r="H37" i="8"/>
  <c r="I37" i="8"/>
  <c r="C38" i="8"/>
  <c r="D38" i="8"/>
  <c r="E38" i="8"/>
  <c r="F38" i="8"/>
  <c r="H38" i="8"/>
  <c r="I38" i="8"/>
  <c r="C39" i="8"/>
  <c r="D39" i="8"/>
  <c r="E39" i="8"/>
  <c r="F39" i="8"/>
  <c r="H39" i="8"/>
  <c r="I39" i="8"/>
  <c r="C40" i="8"/>
  <c r="D40" i="8"/>
  <c r="E40" i="8"/>
  <c r="F40" i="8"/>
  <c r="H40" i="8"/>
  <c r="I40" i="8"/>
  <c r="C41" i="8"/>
  <c r="D41" i="8"/>
  <c r="E41" i="8"/>
  <c r="F41" i="8"/>
  <c r="H41" i="8"/>
  <c r="I41" i="8"/>
  <c r="C42" i="8"/>
  <c r="D42" i="8"/>
  <c r="E42" i="8"/>
  <c r="F42" i="8"/>
  <c r="H42" i="8"/>
  <c r="I42" i="8"/>
  <c r="C43" i="8"/>
  <c r="D43" i="8"/>
  <c r="E43" i="8"/>
  <c r="F43" i="8"/>
  <c r="H43" i="8"/>
  <c r="I43" i="8"/>
  <c r="C44" i="8"/>
  <c r="D44" i="8"/>
  <c r="E44" i="8"/>
  <c r="F44" i="8"/>
  <c r="H44" i="8"/>
  <c r="I44" i="8"/>
  <c r="C45" i="8"/>
  <c r="D45" i="8"/>
  <c r="E45" i="8"/>
  <c r="F45" i="8"/>
  <c r="H45" i="8"/>
  <c r="I45" i="8"/>
  <c r="C46" i="8"/>
  <c r="D46" i="8"/>
  <c r="E46" i="8"/>
  <c r="F46" i="8"/>
  <c r="H46" i="8"/>
  <c r="I46" i="8"/>
  <c r="C47" i="8"/>
  <c r="D47" i="8"/>
  <c r="E47" i="8"/>
  <c r="F47" i="8"/>
  <c r="H47" i="8"/>
  <c r="I47" i="8"/>
  <c r="C48" i="8"/>
  <c r="D48" i="8"/>
  <c r="E48" i="8"/>
  <c r="F48" i="8"/>
  <c r="H48" i="8"/>
  <c r="I48" i="8"/>
  <c r="C49" i="8"/>
  <c r="D49" i="8"/>
  <c r="E49" i="8"/>
  <c r="F49" i="8"/>
  <c r="H49" i="8"/>
  <c r="I49" i="8"/>
  <c r="C50" i="8"/>
  <c r="D50" i="8"/>
  <c r="E50" i="8"/>
  <c r="F50" i="8"/>
  <c r="H50" i="8"/>
  <c r="I50" i="8"/>
  <c r="C51" i="8"/>
  <c r="D51" i="8"/>
  <c r="E51" i="8"/>
  <c r="F51" i="8"/>
  <c r="H51" i="8"/>
  <c r="I51" i="8"/>
  <c r="C52" i="8"/>
  <c r="D52" i="8"/>
  <c r="E52" i="8"/>
  <c r="F52" i="8"/>
  <c r="H52" i="8"/>
  <c r="I52" i="8"/>
  <c r="C53" i="8"/>
  <c r="D53" i="8"/>
  <c r="E53" i="8"/>
  <c r="F53" i="8"/>
  <c r="H53" i="8"/>
  <c r="I53" i="8"/>
  <c r="C54" i="8"/>
  <c r="D54" i="8"/>
  <c r="E54" i="8"/>
  <c r="F54" i="8"/>
  <c r="H54" i="8"/>
  <c r="I54" i="8"/>
  <c r="C55" i="8"/>
  <c r="D55" i="8"/>
  <c r="E55" i="8"/>
  <c r="F55" i="8"/>
  <c r="H55" i="8"/>
  <c r="I55" i="8"/>
  <c r="C56" i="8"/>
  <c r="D56" i="8"/>
  <c r="E56" i="8"/>
  <c r="F56" i="8"/>
  <c r="H56" i="8"/>
  <c r="I56" i="8"/>
  <c r="C57" i="8"/>
  <c r="D57" i="8"/>
  <c r="E57" i="8"/>
  <c r="F57" i="8"/>
  <c r="H57" i="8"/>
  <c r="I57" i="8"/>
  <c r="C58" i="8"/>
  <c r="D58" i="8"/>
  <c r="E58" i="8"/>
  <c r="F58" i="8"/>
  <c r="H58" i="8"/>
  <c r="I58" i="8"/>
  <c r="C59" i="8"/>
  <c r="D59" i="8"/>
  <c r="E59" i="8"/>
  <c r="F59" i="8"/>
  <c r="H59" i="8"/>
  <c r="I59" i="8"/>
  <c r="C60" i="8"/>
  <c r="D60" i="8"/>
  <c r="E60" i="8"/>
  <c r="F60" i="8"/>
  <c r="H60" i="8"/>
  <c r="I60" i="8"/>
  <c r="C61" i="8"/>
  <c r="D61" i="8"/>
  <c r="E61" i="8"/>
  <c r="F61" i="8"/>
  <c r="H61" i="8"/>
  <c r="I61" i="8"/>
  <c r="C62" i="8"/>
  <c r="D62" i="8"/>
  <c r="E62" i="8"/>
  <c r="F62" i="8"/>
  <c r="H62" i="8"/>
  <c r="I62" i="8"/>
  <c r="C63" i="8"/>
  <c r="D63" i="8"/>
  <c r="E63" i="8"/>
  <c r="F63" i="8"/>
  <c r="H63" i="8"/>
  <c r="I63" i="8"/>
  <c r="C64" i="8"/>
  <c r="D64" i="8"/>
  <c r="E64" i="8"/>
  <c r="F64" i="8"/>
  <c r="H64" i="8"/>
  <c r="I64" i="8"/>
  <c r="C65" i="8"/>
  <c r="D65" i="8"/>
  <c r="E65" i="8"/>
  <c r="F65" i="8"/>
  <c r="H65" i="8"/>
  <c r="I65" i="8"/>
  <c r="C66" i="8"/>
  <c r="D66" i="8"/>
  <c r="E66" i="8"/>
  <c r="F66" i="8"/>
  <c r="H66" i="8"/>
  <c r="I66" i="8"/>
  <c r="C67" i="8"/>
  <c r="D67" i="8"/>
  <c r="E67" i="8"/>
  <c r="F67" i="8"/>
  <c r="H67" i="8"/>
  <c r="I67" i="8"/>
  <c r="C68" i="8"/>
  <c r="D68" i="8"/>
  <c r="E68" i="8"/>
  <c r="F68" i="8"/>
  <c r="H68" i="8"/>
  <c r="I68" i="8"/>
  <c r="C69" i="8"/>
  <c r="D69" i="8"/>
  <c r="E69" i="8"/>
  <c r="F69" i="8"/>
  <c r="H69" i="8"/>
  <c r="I69" i="8"/>
  <c r="C16" i="8"/>
  <c r="D16" i="8"/>
  <c r="E16" i="8"/>
  <c r="F16" i="8"/>
  <c r="H16" i="8"/>
  <c r="I16" i="8"/>
  <c r="C17" i="8"/>
  <c r="D17" i="8"/>
  <c r="E17" i="8"/>
  <c r="F17" i="8"/>
  <c r="H17" i="8"/>
  <c r="I17" i="8"/>
  <c r="C18" i="8"/>
  <c r="D18" i="8"/>
  <c r="E18" i="8"/>
  <c r="F18" i="8"/>
  <c r="H18" i="8"/>
  <c r="I18" i="8"/>
  <c r="C19" i="8"/>
  <c r="D19" i="8"/>
  <c r="E19" i="8"/>
  <c r="F19" i="8"/>
  <c r="H19" i="8"/>
  <c r="I19" i="8"/>
  <c r="C20" i="8"/>
  <c r="D20" i="8"/>
  <c r="E20" i="8"/>
  <c r="F20" i="8"/>
  <c r="H20" i="8"/>
  <c r="I20" i="8"/>
  <c r="C13" i="8"/>
  <c r="D13" i="8"/>
  <c r="E13" i="8"/>
  <c r="F13" i="8"/>
  <c r="H13" i="8"/>
  <c r="I13" i="8"/>
  <c r="C14" i="8"/>
  <c r="D14" i="8"/>
  <c r="E14" i="8"/>
  <c r="F14" i="8"/>
  <c r="H14" i="8"/>
  <c r="I14" i="8"/>
  <c r="C15" i="8"/>
  <c r="D15" i="8"/>
  <c r="E15" i="8"/>
  <c r="F15" i="8"/>
  <c r="H15" i="8"/>
  <c r="I15" i="8"/>
  <c r="C12" i="8"/>
  <c r="D12" i="8"/>
  <c r="E12" i="8"/>
  <c r="F12" i="8"/>
  <c r="H12" i="8"/>
  <c r="I12" i="8"/>
  <c r="C11" i="8"/>
  <c r="D11" i="8"/>
  <c r="E11" i="8"/>
  <c r="F11" i="8"/>
  <c r="H11" i="8"/>
  <c r="I11" i="8"/>
  <c r="C10" i="8"/>
  <c r="D10" i="8"/>
  <c r="E10" i="8"/>
  <c r="F10" i="8"/>
  <c r="H10" i="8"/>
  <c r="I10" i="8"/>
  <c r="C9" i="8"/>
  <c r="D9" i="8"/>
  <c r="E9" i="8"/>
  <c r="F9" i="8"/>
  <c r="H9" i="8"/>
  <c r="I9" i="8"/>
  <c r="C8" i="8"/>
  <c r="D8" i="8"/>
  <c r="E8" i="8"/>
  <c r="F8" i="8"/>
  <c r="H8" i="8"/>
  <c r="I8" i="8"/>
  <c r="C7" i="8"/>
  <c r="D7" i="8"/>
  <c r="E7" i="8"/>
  <c r="F7" i="8"/>
  <c r="H7" i="8"/>
  <c r="I7" i="8"/>
  <c r="C6" i="8"/>
  <c r="D6" i="8"/>
  <c r="E6" i="8"/>
  <c r="F6" i="8"/>
  <c r="H6" i="8"/>
  <c r="I6" i="8"/>
  <c r="O5" i="8"/>
  <c r="N5" i="8"/>
  <c r="M5" i="8"/>
  <c r="C5" i="8"/>
  <c r="P5" i="8"/>
  <c r="I5" i="8"/>
  <c r="H5" i="8"/>
  <c r="F5" i="8"/>
  <c r="E5" i="8"/>
  <c r="D5"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tc={2A882960-D910-48DD-8F1C-28729AD88B6E}</author>
    <author>tc={088A4C10-CCD3-4411-B657-FFCA0A78B272}</author>
  </authors>
  <commentList>
    <comment ref="J33" authorId="0" shapeId="0" xr:uid="{2A882960-D910-48DD-8F1C-28729AD88B6E}">
      <text>
        <t>[Threaded comment]
Your version of Excel allows you to read this threaded comment; however, any edits to it will get removed if the file is opened in a newer version of Excel. Learn more: https://go.microsoft.com/fwlink/?linkid=870924
Comment:
    Changed comment.</t>
      </text>
    </comment>
    <comment ref="B69" authorId="1" shapeId="0" xr:uid="{088A4C10-CCD3-4411-B657-FFCA0A78B272}">
      <text>
        <t>[Threaded comment]
Your version of Excel allows you to read this threaded comment; however, any edits to it will get removed if the file is opened in a newer version of Excel. Learn more: https://go.microsoft.com/fwlink/?linkid=870924
Comment:
    Could not find in KNX5100C.</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tc={957AC92C-7DA8-445C-838F-CB0C16EE7BBB}</author>
    <author>tc={82F9BDE7-FEA3-4231-9FF4-FDE7D1B9EE93}</author>
  </authors>
  <commentList>
    <comment ref="J58" authorId="0" shapeId="0" xr:uid="{957AC92C-7DA8-445C-838F-CB0C16EE7BBB}">
      <text>
        <t>[Threaded comment]
Your version of Excel allows you to read this threaded comment; however, any edits to it will get removed if the file is opened in a newer version of Excel. Learn more: https://go.microsoft.com/fwlink/?linkid=870924
Comment:
    Remove "Reserved for future release"?</t>
      </text>
    </comment>
    <comment ref="J59" authorId="1" shapeId="0" xr:uid="{82F9BDE7-FEA3-4231-9FF4-FDE7D1B9EE93}">
      <text>
        <t>[Threaded comment]
Your version of Excel allows you to read this threaded comment; however, any edits to it will get removed if the file is opened in a newer version of Excel. Learn more: https://go.microsoft.com/fwlink/?linkid=870924
Comment:
    Remove "Reserved for future release"?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Yonggui Li</author>
  </authors>
  <commentList>
    <comment ref="F662" authorId="0" shapeId="0" xr:uid="{2DD769A1-FDE7-4B12-88D9-34B4DAD54873}">
      <text>
        <r>
          <rPr>
            <b/>
            <sz val="9"/>
            <color indexed="81"/>
            <rFont val="Tahoma"/>
            <family val="2"/>
          </rPr>
          <t>Yonggui Li:</t>
        </r>
        <r>
          <rPr>
            <sz val="9"/>
            <color indexed="81"/>
            <rFont val="Tahoma"/>
            <family val="2"/>
          </rPr>
          <t xml:space="preserve">
Waiting delta's update</t>
        </r>
      </text>
    </comment>
  </commentList>
</comments>
</file>

<file path=xl/sharedStrings.xml><?xml version="1.0" encoding="utf-8"?>
<sst xmlns="http://schemas.openxmlformats.org/spreadsheetml/2006/main" count="10718" uniqueCount="4415">
  <si>
    <t>Summary of Changes</t>
  </si>
  <si>
    <t>Date</t>
  </si>
  <si>
    <t>Changes</t>
  </si>
  <si>
    <t>September 2020</t>
  </si>
  <si>
    <t>First release as an Excel spreadsheet</t>
  </si>
  <si>
    <t>November 2020</t>
  </si>
  <si>
    <t>Added P1.022 to 'Motion' group.</t>
  </si>
  <si>
    <r>
      <t xml:space="preserve">Deleted </t>
    </r>
    <r>
      <rPr>
        <sz val="11"/>
        <color theme="1"/>
        <rFont val="DengXian"/>
        <charset val="134"/>
      </rPr>
      <t>▲</t>
    </r>
    <r>
      <rPr>
        <sz val="11"/>
        <color theme="1"/>
        <rFont val="Calibri"/>
        <family val="2"/>
        <scheme val="minor"/>
      </rPr>
      <t>Set when servo off of P1.045.</t>
    </r>
  </si>
  <si>
    <t>Changed the name of ID113(P0.054) from SystemVariableMonitorFilterTime to SystemVariableMonitorLowerLimit and changed the comments.</t>
  </si>
  <si>
    <t>Added ID 685 ZPhaseSourceOfHoming to 'General' group.</t>
  </si>
  <si>
    <t>Added ID 686 FullClosedLoopMonitoringConfiguration to 'General' group.</t>
  </si>
  <si>
    <t>Changed the type and min/max value of ID183 P1.103, ID131 P1.019.</t>
  </si>
  <si>
    <t>Changed the type and min/max value of ID331 P5.039, ID131 P1.110</t>
  </si>
  <si>
    <t>Changed ID 675 (P1.032) max value to 0x0030, min value to 0x0010, change Y=3 comments.</t>
  </si>
  <si>
    <t>Changed the unit from 0.01mH to 0.00001H of PM.036.</t>
  </si>
  <si>
    <t>Deleted P1.084.</t>
  </si>
  <si>
    <t>Added new parameter 69…79,81, 98, and 99.</t>
  </si>
  <si>
    <t>Changed max value of ID 60…65 (P0.035…P0.039) from 684 to 687.</t>
  </si>
  <si>
    <t>Changed type of PN.044 from UINT to DINT, min/max/default value and unit.</t>
  </si>
  <si>
    <t>Changed the default of P2.065 from 0 to 0x1000.</t>
  </si>
  <si>
    <t>Updated the comments for PN.044 and PN.045.</t>
  </si>
  <si>
    <t>Changed the default value of P1.001 to 0x0000.</t>
  </si>
  <si>
    <t>Changed the default value of DI/DO ID195…ID207, ID220…225 to 0x1000.</t>
  </si>
  <si>
    <t>Changed the max/default of ID240 (P2.066) to 0x31, 0x21.</t>
  </si>
  <si>
    <t>Changed the default of P1.053 to 0.</t>
  </si>
  <si>
    <t>June 2021</t>
  </si>
  <si>
    <t>Added and edited parameter and ranges for rotary motors</t>
  </si>
  <si>
    <t>Added and edited parameter and ranges for linear motors</t>
  </si>
  <si>
    <t>Edited min max vlaues of muliple parameters to support different motors</t>
  </si>
  <si>
    <r>
      <rPr>
        <b/>
        <sz val="8"/>
        <color theme="1"/>
        <rFont val="Calibri"/>
        <family val="2"/>
        <scheme val="minor"/>
      </rPr>
      <t xml:space="preserve">Kinetix 5100 Servo Drive Parameters </t>
    </r>
    <r>
      <rPr>
        <sz val="8"/>
        <color theme="1"/>
        <rFont val="Calibri"/>
        <family val="2"/>
        <scheme val="minor"/>
      </rPr>
      <t xml:space="preserve">
For more information see:</t>
    </r>
  </si>
  <si>
    <t>Kinetix 5100 Servo Drive User Manual, 
publication 2198-UM004</t>
  </si>
  <si>
    <t>ID</t>
  </si>
  <si>
    <t>Name</t>
  </si>
  <si>
    <t>Control Mode</t>
  </si>
  <si>
    <t>Min.</t>
  </si>
  <si>
    <t>Max.</t>
  </si>
  <si>
    <t>Default Value</t>
  </si>
  <si>
    <t>Precision</t>
  </si>
  <si>
    <t>Units</t>
  </si>
  <si>
    <t>Data Type</t>
  </si>
  <si>
    <t>Comments</t>
  </si>
  <si>
    <t>Groups</t>
  </si>
  <si>
    <t>Read-only</t>
  </si>
  <si>
    <t>Set When Servo Off</t>
  </si>
  <si>
    <t>Valid After Power Cycle</t>
  </si>
  <si>
    <t>Volatile Parameter</t>
  </si>
  <si>
    <t>Parameter Number</t>
  </si>
  <si>
    <r>
      <t xml:space="preserve">Motor Type
0 = Rotary Permanent Magnet
</t>
    </r>
    <r>
      <rPr>
        <sz val="8"/>
        <rFont val="Calibri"/>
        <family val="2"/>
        <scheme val="minor"/>
      </rPr>
      <t>1 = Reserved</t>
    </r>
    <r>
      <rPr>
        <sz val="8"/>
        <color theme="1"/>
        <rFont val="Calibri"/>
        <family val="2"/>
        <scheme val="minor"/>
      </rPr>
      <t xml:space="preserve">
2 = Linear Motor.
3 = Induction Machine</t>
    </r>
  </si>
  <si>
    <t>1-Motor
11-System</t>
  </si>
  <si>
    <t>Motor Catalog Number [0]-[15]</t>
  </si>
  <si>
    <t>Motor Manufacturer's Name [0]-[31]</t>
  </si>
  <si>
    <t>1-Motor</t>
  </si>
  <si>
    <t>Motor Rated Continuous Current
The Min value must not be less than DriveRatedContinuousCurrent/8. e.g. The Rated Continuous Current of 2198-E1004-ERS is 2.60 A, so the min value is 33 (0.325 A).</t>
  </si>
  <si>
    <t>Motor Rated Base Voltage</t>
  </si>
  <si>
    <t>Motor Rated Output Power at Rated Frequency</t>
  </si>
  <si>
    <t>Motor Rated Winding Temperature</t>
  </si>
  <si>
    <t>Maximum allowed motor speed</t>
  </si>
  <si>
    <t>Number of poles in the motor</t>
  </si>
  <si>
    <t>Permanent Magnet Motor Torque Constant</t>
  </si>
  <si>
    <t>Rotary Motor Inertia</t>
  </si>
  <si>
    <t>Motor Rated Speed at Rated Frequency</t>
  </si>
  <si>
    <t>Motor Serial Number from nameplate [0]-[9]</t>
  </si>
  <si>
    <t>Encoder Type
Y: Hall element setting
0 = Digital AqB without UVW
1 = Digital AqB with UVW</t>
  </si>
  <si>
    <t>Encoder Resolution</t>
  </si>
  <si>
    <t>Phase Sequence
X: Encoder feedback polarity
0=Encoder feedback direction is the same as the UVW current direction
1=Encoder feedback direction is opposite to the UVW current direction
Y: Hall feedback polarity
0=Hall feedback direction is the same as the UVW current direction
1=Hall feedback direction is opposite to the UVW current direction
Z: Motor polarity
0=CW
1=CCW</t>
  </si>
  <si>
    <t>Commutation Offset
See Select a Motor and Configure Feedback in KNX5100C Software in the user manual.</t>
  </si>
  <si>
    <t>Hall Hysteresis Width</t>
  </si>
  <si>
    <t>Electrical Angle Correction
Bit4:
0 = Disable
1 = Enable</t>
  </si>
  <si>
    <t>Motor Temperature Sensor Type
Reserved for future release.</t>
  </si>
  <si>
    <t>Motor Temperature Sensor Resistance
Reserved for future release.</t>
  </si>
  <si>
    <t>Motor Rated Peak Current
The Min value must not be less than DriveRatedContinuousCurrent/8. For example, the Rated Continuous Current of 2198-E1004-ERS is 2.60 A, so the min value is 33 (0.33 A).</t>
  </si>
  <si>
    <t>Permanent Magnet Motor Resistance</t>
  </si>
  <si>
    <t>Permanent Magnet Motor Inductance</t>
  </si>
  <si>
    <t>Permanent Magnet Motor Bemf Voltage Constant</t>
  </si>
  <si>
    <t xml:space="preserve">Linear Motor Pole Pitch
</t>
  </si>
  <si>
    <t xml:space="preserve">Permanent Magnet Motor Force Constant
</t>
  </si>
  <si>
    <t xml:space="preserve">Induction Motor Rated Frequency
</t>
  </si>
  <si>
    <t xml:space="preserve">Induction Motor Rotor Resistance
</t>
  </si>
  <si>
    <t xml:space="preserve">Induction Motor Leakage Inductance
</t>
  </si>
  <si>
    <t xml:space="preserve">Induction Motor Mutual Inductance
</t>
  </si>
  <si>
    <t xml:space="preserve">Induction Motor Flux Current
</t>
  </si>
  <si>
    <t>Motor Data Source
0 = Motor NV
1 = Catalog Number
2 = Nameplate Datasheet
See Select a Motor and Configure Feedback in KNX5100C Software in the user manual.</t>
  </si>
  <si>
    <t>Motor Overload Limit
0 = Disable
1…100 for Surface Permanent Magnet Synchronous Motor
1…200 for third party motors</t>
  </si>
  <si>
    <t xml:space="preserve">Linear Motor Mass
</t>
  </si>
  <si>
    <t xml:space="preserve">Encoder Lines / Meter
</t>
  </si>
  <si>
    <t>Motor Thermostat
0 = Disable
1 = Enable</t>
  </si>
  <si>
    <t>Motor Winding To Encoder Resistance</t>
  </si>
  <si>
    <t>Motor Winding To Encoder Capacitance</t>
  </si>
  <si>
    <t>Motor Winding To Ambient Resistance</t>
  </si>
  <si>
    <t>Motor Winding To Ambient Capacitance</t>
  </si>
  <si>
    <t>Commutation Alignment (Startup) 
Determine the commutation alignment during startup.
0 = Motor Offset
1 = Self Sensing
2 = Drive Offset
See Select a Motor and Configure Feedback in KNX5100C Software in the user manual.</t>
  </si>
  <si>
    <t>Flux Saturation 1/8 Peak Current</t>
  </si>
  <si>
    <t>Flux Saturation 1/4 Peak Current</t>
  </si>
  <si>
    <t>Flux Saturation 3/8 Peak Current</t>
  </si>
  <si>
    <t>Flux Saturation 1/2 Peak Current</t>
  </si>
  <si>
    <t>Flux Saturation 5/8 Peak Current</t>
  </si>
  <si>
    <t>Flux Saturation 3/4 Peak Current</t>
  </si>
  <si>
    <t>Flux Saturation 7/8 Peak Current</t>
  </si>
  <si>
    <t>Flux Saturation Peak Current</t>
  </si>
  <si>
    <t>Motor Date Code
Month (bit 31-24)
Day (bit 23-16)
Year (bit 15-0)</t>
  </si>
  <si>
    <t>Permanent Magnet Motor Rated Torque</t>
  </si>
  <si>
    <t>Permanent Magnet Motor Rated Force
Reserved for future release.</t>
  </si>
  <si>
    <t>Maximum Continuous Torque Limit</t>
  </si>
  <si>
    <t>Output Current for Webpage Display</t>
  </si>
  <si>
    <t>Motor Capacity</t>
  </si>
  <si>
    <t>Total Inertia
when PN.045 is 0, PN.044 cannot be changed, LoadInertiaRatio ID 144 (P1.037) can be changed.
When PN.045 is 1, PN.044 can be changed, LoadInertiaRatio ID 144 (P1.037) cannot be changed.
When PN.045 is changed from 0 to 1, PN.044 will be changed automatically based on P1.037. When PN.045 is changed from 1 to 0, P1.037 will be changed automatically based on PN.044</t>
  </si>
  <si>
    <t>Use Load Ratio
Reserved for future release.
when PN.045 is 0, PN.044 cannot be changed, LoadInertiaRatio ID 144 P1.037 can be changed.
When PN.045 is 1, PN.044 can be changed, LoadInertiaRatio ID 144 P1.037 cannot be changed.
When PN.045 is changed from 0 to 1, PN.044 will be changed automatically based on P1.037. When PN.045 is changed from 1 to 0, P1.037 will be changed automatically based on PN.044</t>
  </si>
  <si>
    <t>Encoder Communication Protocol
0x0000 = No Encoder/AqB
0x0003 = Nikon
0x3209 = Hiperface SKS
0x3709 = Hiperface SKM
0x2209 = Hiperface SRS
0x2709 = Hiperface SRM</t>
  </si>
  <si>
    <t>Induction Motor Stator Resistance</t>
  </si>
  <si>
    <t>Linear Motor Rated Velocity</t>
    <phoneticPr fontId="0" type="noConversion"/>
  </si>
  <si>
    <t>Linear Motor Max Velocity</t>
    <phoneticPr fontId="0" type="noConversion"/>
  </si>
  <si>
    <t>Linear Motor Voltage Constant</t>
    <phoneticPr fontId="0" type="noConversion"/>
  </si>
  <si>
    <t>Encoder Serial Number</t>
    <phoneticPr fontId="0" type="noConversion"/>
  </si>
  <si>
    <t>Motor Overload Derate Hz</t>
    <phoneticPr fontId="0" type="noConversion"/>
  </si>
  <si>
    <t>Data Type
Determines the data type of position, speed, acceleration reference, feedback and all related values. 
0 = DINT</t>
  </si>
  <si>
    <t>2-Drive</t>
  </si>
  <si>
    <t>Position Data Unit
Determines the data unit of position reference and feedback and all related attributes. 
0 = PUU</t>
  </si>
  <si>
    <t>Speed Data Unit
Determines the data unit of speed reference and feedback and all related attributes. 
1 = 0.1RPM</t>
  </si>
  <si>
    <t>Acceleration Data Unit
Determines the data unit of acceleration (deceleration) reference and feedback and all related attributes. 
1 = 0.1RPM/s</t>
  </si>
  <si>
    <t>Torque Data Unit
Determines the data unit of torque reference and feedback and all related attributes. 
1 = 0.1%</t>
  </si>
  <si>
    <t>Torque Ramp Time Unit
Determines the data unit of torque slope.
0 = millisecond</t>
  </si>
  <si>
    <t>Operating Mode
Determines the drive operating mode when  ID25 (Start Motion) has a zero-to-one transition. 
0 = Mode not specified
1 = Position mode
2 = Speed mode
3 = Home mode
4 = Torque mode 
5 = Gear mode
6 = Index mode</t>
  </si>
  <si>
    <t>Servo On
A zero-to-one transition will activate the drive.</t>
  </si>
  <si>
    <t>Servo Off
A zero-to-one transition will de-activate the drive.</t>
  </si>
  <si>
    <t>Stop Motion
A zero-to-one transition will stop the drive.</t>
  </si>
  <si>
    <t>Fault Reset
A zero-to-one transition will try to clear a fault on the drive.</t>
  </si>
  <si>
    <t>Start Motion
A zero-to-one transition means the motion command has been issued from the external controller.</t>
  </si>
  <si>
    <t>Speed Reference</t>
  </si>
  <si>
    <t>Acceleration Reference
Determines the command speed, and its range is based on Speed Data Unit.</t>
  </si>
  <si>
    <t>Deceleration Reference
Determines the command acceleration, and its range is based on Acceleration Data Unit.</t>
  </si>
  <si>
    <t>Homing Method
Defines the homing method.
See ID 29 (Homing Method) on Detailed Definitions tab</t>
  </si>
  <si>
    <t>Position Reference
Determines the command position, and its range is based on Position Data Unit.</t>
  </si>
  <si>
    <t>Home Return Speed
Determines the command creep speed, and its range is based on Speed Data Unit.</t>
  </si>
  <si>
    <t>Non-Cyclic Move Type
Defines the position command selection.
0 = absolute positioning
1 = relative positioning
2 = incremental positioning
3 = high-speed position capturing</t>
  </si>
  <si>
    <t>Torque Reference
Determines the command torque, and its range is based on Torque Data Unit.</t>
  </si>
  <si>
    <t>Torque RampTime
Determines the command torque slope, and its range is based on Torque Slope Unit.</t>
  </si>
  <si>
    <t>Position Command Overlap
Determines whether overlapping of the next movement is allowed.
0 = Overlap of next movement is not allowed
1 = Overlap of next movement is allowed</t>
  </si>
  <si>
    <t>Position Command Override
Determines whether this movement can interrupt previous movement.
0 = Interrupt is not allowed
1 = Interrupt is allowed</t>
  </si>
  <si>
    <t>Travel Mode
Selects the move type.
2 = Non-Cyclic Move Type
10 = Cyclic Move Type</t>
  </si>
  <si>
    <t>Cyclic MoveType
Determines the direction of movement.
0 = Rotary Positive
1 = Rotary Negative
2 = Rotary shortest path</t>
  </si>
  <si>
    <t>Captured Position Select
Selects the first capture or the second capture.
0 = First capture (trigger by DI9)
1 = Second capture (trigger by DI10)</t>
  </si>
  <si>
    <t>Starting Index
Defines the first index that the drive should execute.</t>
  </si>
  <si>
    <t>Network mode
0 = local input
1 = network</t>
  </si>
  <si>
    <t>Operating Mode State
Indicates which operating mode the drive remains in. 
0 = mode not specified
1 = Position mode
2 = Speed mode
3 = Home mode
4 = Torque mode 
5 = Gear mode
6 = Index mode</t>
  </si>
  <si>
    <t>At Reference
Drive whether the drive is at actual reference (position, speed, torque) based on mode.
0=Drive not actual at reference (position, speed, torque) based on mode
1=Drive actual at reference (position, speed, torque) based on mode</t>
  </si>
  <si>
    <t>Ready
0=Drive is not ready
1=Drive is ready</t>
  </si>
  <si>
    <t>Active
Indicates whether the drive is ready for a servo on action.
0 – Drive has not has successfully received the Servo On command
1 – Drive has  successfully received the Servo On command</t>
  </si>
  <si>
    <t>Warning Present
Indicates whether the drive is in a warning state.
0=Drive is not in warning state
1=Drive is in warning state</t>
  </si>
  <si>
    <t>Fault
Indicates whether the drive is in a faulted state.
0=Drive is not in faulted state
1=Drive is in faulted state</t>
  </si>
  <si>
    <t>Stopped
Indicates whether the drive is stopped.
0=Drive is not stopped
1=Drive is stopped</t>
  </si>
  <si>
    <t>Fault Code
Displays the fault code. 
See View Status and Faults in the user manual.
0=Reserved
1=Over current
2=Over voltage
3=Under voltage</t>
  </si>
  <si>
    <t>Warning Code
Displays warning code.
See View Status and Faults in the user manual.
0…12 Reserved
13=Emergency Stop
14=Reverse Limit Error
15=Forward Limit Error</t>
  </si>
  <si>
    <t>Actual Position
Indicates the actual position of the drive.</t>
  </si>
  <si>
    <t>Actual Speed
Indicates the actual speed of the drive.</t>
  </si>
  <si>
    <t>Actual Torque
Indicates the actual torque of the drive.</t>
  </si>
  <si>
    <t>Active Index
Indicates the currently executing index.</t>
  </si>
  <si>
    <t xml:space="preserve">Homed Status
Indicates whether the home action is completed.
0=Home is not completed
1=Home is completed
</t>
  </si>
  <si>
    <t>Command In Progress
Indicates whether the motion command is in progress.
0=No motion command is in progress
1=Motion command is in progress</t>
  </si>
  <si>
    <t>Motor Category
Defines the type of motor connected to the drive.
0=No motor connected
1=Rotary motor connected
2=Linear motor connected</t>
  </si>
  <si>
    <t xml:space="preserve">Uncertain
indicates whether the data may be inaccurate
0=no question about data validity
1=data validity is questionable
</t>
  </si>
  <si>
    <t>Sets the master position reference
0 - Reserved
1 – Auxiliary encoder
2 – Pulse Command (I/O terminal)
3 – Reserved 
4 – Virtual Pulse from Timeline (1K Hz)</t>
  </si>
  <si>
    <t>Sets CAM stop mode
0 – stop immediately
1 – decelerate and stop</t>
  </si>
  <si>
    <t>Selects the method used to execute the cam profile.
0 = Immediate – The slave axis is immediately locked to the master axis and the position camming process begins.
1 = Reserved
2 = Forward only – the cam profile starts when the master position crosses the Master Lock Position in the forward direction.
3 = Reverse only – the cam profile starts when the master position crosses the Master Lock Position in the reverse direction.
4 = Shorteset Path – the cam profile starts when the master position crosses the Master Lock Position in the shortest path.</t>
  </si>
  <si>
    <t>Determines if the cam profile is executed only one time or repeatedly:
0 = Once – cam motion of slave axis is executed one time according to the value of CamMasterUnlockCounts, and then the Process Complete bit is set. 
1 = Continuous – Once started the cam profile is executed indefinitely. This feature is useful in rotary applications where it is necessary that the cam position run continuously in a rotary or reciprocating fashion.</t>
  </si>
  <si>
    <t>Scales the total distance covered by the slave axis through the cam profile.</t>
  </si>
  <si>
    <t>This determines the starting location in the cam profile.</t>
  </si>
  <si>
    <t>This determines the leading counts (master axis) before the cam profile is executed.</t>
  </si>
  <si>
    <t>This determines the unlock counts (master axis) when the cam profile is executed.
Valid only when CamExecutionMode = 0 (Once)</t>
  </si>
  <si>
    <t>This determines the cyclic leading counts (master axis) during the cam profile is executed. 
Valid only when CamExecutionMode = 1 (Continous)</t>
  </si>
  <si>
    <t>Integer value representing slave counts used in specifying a Fractional gear ratio.</t>
  </si>
  <si>
    <t>Integer value representing master counts used in specifying a Fractional gear ratio.</t>
  </si>
  <si>
    <t>This determines the master location where the slave axis locks to the mater axis.
Valid only when CamExecutionSchedule = 2, 3, 4</t>
  </si>
  <si>
    <t>Drive Connection Status</t>
  </si>
  <si>
    <t>Drive Configuration Signature</t>
  </si>
  <si>
    <t>Hardware Revision
high byte = Major version
low byte = Minor version</t>
  </si>
  <si>
    <t>Drive Name [0]-[31]</t>
  </si>
  <si>
    <t>Drive Serial Number</t>
  </si>
  <si>
    <t>Inverter Temperature</t>
  </si>
  <si>
    <t>Product Code
1 = 2198-E1004-ERS
2 = 2198-E1007-ERS
3 = 2198-E1015-ERS
4 = 2198-E1020-ERS
5 = 2198-E2030-ERS
6 = 2198-E2055-ERS
7 = 2198-E2075-ERS
9 = 2198-E2150-ERS
10 = 2198-E4004-ERS
11 = 2198-E4007-ERS
12 = 2198-E4015-ERS
13 = 2198-E4020-ERS
14 = 2198-E4030-ERS
15 = 2198-E4055-ERS
16 = 2198-E4075-ERS
17 = 2198-E4150-ERS</t>
  </si>
  <si>
    <t>Firmware Revision</t>
  </si>
  <si>
    <t>Firmware Sub-minor Revision</t>
  </si>
  <si>
    <t>DSP Firmware Version
High byte = Major version
Low byte = Minor version</t>
  </si>
  <si>
    <t>3-General</t>
  </si>
  <si>
    <t>Analog Output Monitor Selection
The operation status of motor can be displayed as analog voltage, such as speed and current. This servo drive provides 2 output channels, MON1 (Y) and MON2 (X). This signal is based on the power ground. 
The max output voltage (Max.Volt) can be configured to either 8 V or 10 V by ID266(P2.112).bit0.
See Analog Monitoring in the user manual.
Y (MON1) and  X (MON2)
0=Motor speed (±Max.Volt V/Max. speed)
1=Motor torque (±Max.Volt V/Max. torque)
2=Pulse command frequency (+Max.Volt V/4.5Mpps)
3=Speed command (±Max.Volt V/Max. speed command)
4=Torque command (±Max.Volt V/Max. torque command)
5=VBUS voltage (±Max.Volt V/450 V)
6=ID181(P1.101) mV
7=ID182(P1.102) mV
UZ Reserved</t>
  </si>
  <si>
    <t>Encoder Data Update Configuration
See Reading the Absolute Position with Communication in the user manual.
X: Command processing
0=Not applicable
1=Update the encoder data of ID109…ID111 (P0.050…P0.052)
2=Update ID109…ID111 (P0.050…P0.052) and clear the position error. When the command takes effect, the motor's current position will be set as the terminal point of the position command.</t>
  </si>
  <si>
    <t>System Variable Monitor Filter Time
See Description of System Variable Monitoring in the user manual.
X: First filter time, see ID113 (P0.054) and ID114 (P0.055)
Y, Z, U: Reserved
Note: 0 = 1 ms, 1 = 2 ms, 2 = 3 ms, … , F = 16 ms.</t>
  </si>
  <si>
    <t>System Variable Monitor Lower Limit
Set a Digital_output_x_configuration to [0x2C], then the Digital_output_x is on/off when the ID663 (P0.009) monitoring item value is within/outside the range set by ID113 (P0.054) and ID114 (P0.055), and after the filter time set by ID112 (P0.053.X).</t>
  </si>
  <si>
    <t>System Variable Monitor Upper Limit
Set a Digital_output_x_configuration to [0x2C], then the Digital_output_x is on/off when the ID663 (P0.009) monitoring item value is within/outside the range set by  ID113 (P0.054) and ID114 (P0.055), and after the filter time set by ID112 (P0.053.X).</t>
  </si>
  <si>
    <t>External Pulse Input Type
Defines the Command Source (X), Logic Type (Z), and Filter Width (UY) of the external pulse.
See PT Mode (Position Command with Terminal Block Input) in user manual.
See ID116 on the Detailed Definitions Tab</t>
  </si>
  <si>
    <t>3-General
13-Pulse Setting</t>
  </si>
  <si>
    <t>Control Mode
Sets the operating mode(YX), direction control (Z), and Digital I/O setting control (U). 
See Select Operation Mode and Direction Control in the user manual.
YX: Operating mode
00=PT=Position mode (terminal block input)
01=PR=Position mode (register input)
02=S=Speed mode
03=T=Torque mode
04=Sz=Speed mode (no analog input)
05=Tz=Torque mode (no analog input)
06=PT-S=PT and S dual mode
07=PT-T=PT-T dual mode
08=PR-S=PR and S dual mode
09=PR-T=PR and T dual mode
0A=S-T=S and T dual mode
0B=Reserved
0C=IO mode
0D=PT-PR=PT and PR dual mode
0E=PT-PR-S=PT and PR and S multi-mode
0F=PT-PR-T=PT and PR and T multi-mode
Z: Direction control
0=Forward
1=Reverse
U: Digital I/O setting control
0=Distributed I/O setting [ID187…ID207 (P2.002…P2.022)] retained after mode change 
1=Distributed I/O setting [ID187…ID207 (P2.002…P2.022)] reset after mode change</t>
  </si>
  <si>
    <t>3-General
11-System
12-BRK_RegResistor</t>
  </si>
  <si>
    <t>Speed and Torque Limit Action
Enables or Disables the speed (X) or torque (Y) limit functions.
See Apply Speed Limit and Apply Torque Limit in the user manual. 
X: Speed limit
0=Disable
1=Enable (in T/Tz mode only)
Y: Torque limit
0=Disable
1=Enable
U, Z: Reserved</t>
  </si>
  <si>
    <t>3-General
16-Limit</t>
  </si>
  <si>
    <t>Encoder Output Polarity
Sets the polarity of the monitor analog output (X) and encoder pulse output (Y).
X: Polarity of monitor analog output
0=MON1(+), MON2(+)
1=MON1(+), MON2(-)
2=MON1(-), MON2(+)
3=MON1(-), MON2(-)
Y: Polarity of encoder pulse output
0=forward
1=reverse
U, Z: Reserved</t>
  </si>
  <si>
    <t>Analog Output 1 Scale
See Analog Monitoring in the user manual.</t>
  </si>
  <si>
    <t>Analog Output 2 Scale
See Analog Monitoring in the user manual.</t>
  </si>
  <si>
    <t>Preset Speed Command/Limit 1
Example: Internal speed command setting 120=12 rpm
Internal speed limit setting: positive and negative values are identical. 
See Selection of Speed Command in the user manual.</t>
  </si>
  <si>
    <t>Preset Speed Command/Limit 2
Example: Internal speed command setting 120=12 rpm
Internal speed limit setting: positive and negative values are identical. 
See Selection of Speed Command in the user manual.</t>
  </si>
  <si>
    <t>Preset Speed Command/Limit 3
Example: Internal speed command setting 120=12 rpm
Internal speed limit setting: positive and negative values are identical. 
See Selection of Speed Command in the user manual.</t>
  </si>
  <si>
    <t>Preset Torque Command/Limit 1
Example: Internal torque command: 30 = 30%
Internal torque limit: Positive and negative values are identical.
See Selection of Speed Command in the user manual.</t>
  </si>
  <si>
    <t>Preset Torque Command/Limit 2
Example: Internal torque command: 30 = 30%
Internal torque limit: Positive and negative values are identical.
See Selection of Speed Command in the user manual.</t>
  </si>
  <si>
    <t>Preset Torque Command/Limit 3
Example: Internal torque command: 30 = 30%
Internal torque limit: Positive and negative values are identical.
See Selection of Speed Command in the user manual.</t>
  </si>
  <si>
    <t>Low-frequency Vibration Suppression Mode Setting
When the value is set to 1, the drive is in automatic mode for vibration suppression. When vibration cannot be detected or the vibration frequency is stable, the parameter is reset to 0 and the frequency for vibration suppression is automatically saved to ID135 (P1.025).
0=Disable auto low frequency vibration detection function
1=Disable function automatically after vibration suppression</t>
  </si>
  <si>
    <t>Low-frequency Vibration Detection Level
When auto suppression is enabled [ID139 (P1.029 = 1)], it automatically searches the vibration frequency. The lower the value is, the more sensitive the detection will be, but it may also easily misjudge noise or regard other low-frequency vibration as frequency to be suppressed. If the value is high, it is less likely to misjudge, but if the vibration frequency of the mechanism is small, it may not detect the frequency of low-frequency vibration.</t>
  </si>
  <si>
    <t>Zero Speed Window
Sets the range of outputting zero-speed signal (ZSPD). When the forward / reverse speed of the motor is slower than the setting value, the zero-speed signal is set up and the digital output is enabled.
Panel or Software: 0…200 
Communication(parameter object): 0…2000</t>
  </si>
  <si>
    <t>3-General
12-BRK_RegResistor</t>
  </si>
  <si>
    <t>Up to Speed Limit
When the target speed is reached, DO (TSPD) is enabled. When the forward / reverse speed of the motor is faster than the setting value, the target speed is reached and the digital output is enabled.</t>
  </si>
  <si>
    <t>Analog To Speed Scale
Maximum rotation speed of the analog speed command.
See Scaling the Analog Command (Speed Mode) in the user manual.</t>
  </si>
  <si>
    <t>Analog To Torque Scale 
Maximum output of the analog torque command.
See Scaling of Analog Command (Torque Mode) in the user manual.</t>
  </si>
  <si>
    <t>Magnetic Brake On Delay
Sets the delay time from servo on status to magnetic brake signal DO:BRKR (0x08) activation.
See Motor Brake Circuit in the user manual.</t>
  </si>
  <si>
    <t>Magnetic Brake Off Delay
Set the delay time from servo off status to magnetic brake signal DO:BRKR (0x08)  deactivation.
See  Motor Brake Circuit in the user manual.</t>
  </si>
  <si>
    <t xml:space="preserve">Gear Ratio Follower Counts N1
Do not change the setting value in servo on state.
See Electronic Gear (E-Gear) Ratio in the user manual. </t>
  </si>
  <si>
    <t>3-General
14-Gear Ratio</t>
  </si>
  <si>
    <t xml:space="preserve">Gear Ratio Master Counts M
Do not change the setting value in servo on state.
See Electronic Gear (E-Gear) Ratio in the user manual. </t>
  </si>
  <si>
    <t>Encoder Output Resolution
The number of single-phase pulse outputs per revolution; the max. output frequency of the hardware is 19.8 MHz.</t>
  </si>
  <si>
    <t>Speed Window
When the error between speed command and motor feedback speed is less than this parameter, and after the speed window time ID156 (P1.049), the digital output DO.SP_OK (0x19) is ON.
See DO.SP_OK (Digital Output: speed reached output) in the user manual.</t>
  </si>
  <si>
    <t>Up Speed Action
This setting indicates whether output status holds (X) and enables or disables (Y) fault E 380 (Position Offset Alarm for DO.MC_OK)
See DO.MC_OK (Digital Output: servo procedure completed) in the user manual.
X: DO output hold option
0=Output status will not hold
1=Output status will hold
Y: Position Offset Alarm
0=E 380 disabled
1=E 380 enabled</t>
  </si>
  <si>
    <t>Speed Window Time
See speed window parameter ID155 (P1.048).</t>
  </si>
  <si>
    <t>Shunt Resistor Value
Settable Range:
400W…750W: 30…750
1.5kW: 20…750
2kW…7.5kW: 10…750
15kW: 5…750</t>
  </si>
  <si>
    <t>Shunt Resistor Power</t>
  </si>
  <si>
    <t>In Position Window
In position (PT) mode, when the deviation pulse number is smaller than the In Position Size value, DO.TPOS is on.
In position register (PR) mode, when the deviation between the target position and the actual motor position is smaller than the In Position Size value, DO.TPOS is on. 
Rotary motor example: If ID159 (P1.054) = 167772 and the deviation is less than 167772 pulses, which equals 0.01 turns
(167772/16777216 = 0.01), then DO.TPOS is on.</t>
  </si>
  <si>
    <t>Maximum Speed
Sets the maximum speed of the servo motor.</t>
  </si>
  <si>
    <t>Overload Warning User Threshold
Determines whether the early warning for overload (DO:OWL) is enabled.
See Description of Digital Output Functions in the user manual.
0…100= If the servo motor continuously outputs a load higher than this value, DO:OWL occurs.
&gt;100= DO:OWL warning is disabled.</t>
  </si>
  <si>
    <t xml:space="preserve">Crash Protection Torque Threshold
Sets the protection level as a percentage of rated torque. Setting the value to 0 disables this function. </t>
  </si>
  <si>
    <t>Crash Protection Filtering Time
If the motor reaches or exceeds the Crash Fault Torque Threshold for longer than the Crash Fault Filtering Time, E 030 (Motor Crash Error) occurs.
This function is only suitable for non-contactable applications, such as electric discharge machines. Set up ID144 (P1.037) LoadInertiaRatio properly.</t>
  </si>
  <si>
    <t>Friction Compensation
Sets the level of friction compensation as a percentage of rated torque. Setting the value to 0 disables this function.</t>
  </si>
  <si>
    <t>Friction Compensation Smooth Time Constant
Defines a smoothing constant for friction compensation.</t>
  </si>
  <si>
    <t>Analog To Position Command Startup Configuration
X: Analog to Position Command Setting
0: Disable
1: Enable
Y: Initial Position Setting
0: Current position is 0V position, motor will move to command position specified by analog input
1: Current position is the command position, motor will not move before the analog input changes</t>
  </si>
  <si>
    <t>Analog To Position Command Max Rotation Number
Rotation number when the input voltage of analog to position command from 0V to max. (10V). For example, when rotation number is 3 Rev, if the input voltage is 10V, the motor moves +3 rotations. If the input voltage is 5V, the motor moves 1.5 rotations. If the input voltage is -10V, the motor moves -3 rotations.</t>
  </si>
  <si>
    <t>Auxiliary Feedback Resolution
A/B pulses corresponded to full-closed loop when motor runs a cycle (after quadruple frequency).</t>
  </si>
  <si>
    <t>Error Limit between Motor and Auxiliary Feedback
If the deviation between the A/B counter of auxiliary feedback and the feedback position of the encoder is greater than this value, fault E 040 (Excessive Deviation of Full Closed-loop Position Control) occurs.</t>
  </si>
  <si>
    <t>Full-closed Loop Control Configuration
X: Full-closed loop control switch
0=Disable full-closed loop/gantry function switch
1=Enable full-closed loop function
Y:Selection of OA/OB/OZ output source
0=Motor encoder
1=Encoder of linear scale
2=I/O pulse command
Z: Direction selection of auxiliary feedback
0=Positive direction when A phase leads B phase of auxiliary feedback
1=Positive direction when B phase leads A phase of auxiliary feedback
U: Auxiliary feedback filter function
0=Bypass
1=6.66M
2=1.66M
3=833K
4=416K
5...F=Reserved</t>
  </si>
  <si>
    <t>Max Encoder Output Speed
Input the actual max. speed value of the motor as the reference value for activating the smooth function.
When the value is set to 0, the smooth function is disabled.</t>
  </si>
  <si>
    <t>Abnormal Analog Input Time Limit
The compared level for this parameter is the
original analog input voltage which has not been added by an offset value via ID292 (P4.022) UserAnalogToVelocityOffset.
Setting the value to 0 disables this function.</t>
  </si>
  <si>
    <r>
      <t xml:space="preserve">Encoder Output Denominator
</t>
    </r>
    <r>
      <rPr>
        <sz val="8"/>
        <rFont val="Calibri"/>
        <family val="2"/>
        <scheme val="minor"/>
      </rPr>
      <t>See High Speed Position Compare Function (CMP) in the user manual.</t>
    </r>
  </si>
  <si>
    <t>Power Loss Diagnostic Time
When the disconnection detection protection (UVW) function [ID239 (P2.065) bit 9 = 1] is enabled, this value can determine the response time of the detection mode. Set this value to 0 to apply the servo's default response time.
When not set to 0, the setting should be between 100…800 to set the detection response time.
If speeding up the response time is needed, setting this parameter can help.
When the servo is on and has not started running,  set this parameter to detect a disconnection.</t>
  </si>
  <si>
    <t xml:space="preserve">Preset Analog Output Value 1
When [YX] of ID103 (P0.003) AOMonitorSelection is set to 6, then the analog monitor output voltage be the value of this parameter setting. </t>
  </si>
  <si>
    <t xml:space="preserve">Preset Analog Output Value 2
When [YX] of ID103 (P0.003) AOMonitorSelection is set to 7, then the analog monitor output voltage be the value of this parameter setting. </t>
  </si>
  <si>
    <t>Force Function
30,35=Save Compare, Capture, and E-Cam Data to EEPROM
30,39=Factory reset
271=ID 244 (P2.071) is writable in absolute system</t>
  </si>
  <si>
    <t xml:space="preserve">Auxiliary Function
Enables auxiliary functions. Set the value to 0 in normal operation.
0=disable the functions.
1=Switch servo on state
2…4=Reserved
5=Do not retain parameter settings after power-off.
6=Enable command simulation. The DI.SON signal does not work but DO.SRDY is on. Commands are accepted but the motor will not operate. 
7=High-speed oscilloscope
8=Back up all parameters to EEPROM and the values remain after cycling power.
-1, -5, -6, -7=Disable functions 1, 5, 6, or 7, respectively
-2…-4, -8=Reserved </t>
  </si>
  <si>
    <t>Velocity Error Tolerance
In speed mode, this parameter sets the error threshold between the command speed and feedback speed.
If the error is greater than this set value, fault E 007 (Excessive deviation of speed command) occurs.</t>
  </si>
  <si>
    <t>Position Error Tolerance
In position mode, this parameter sets the error threshold between the command position and feedback position.
If the error is greater than this set value, E 009 (Excessive Deviation of Position Command) occurs.</t>
  </si>
  <si>
    <r>
      <t>Resonance Suppression Configuration
Enables or disables (X) auto resonance suppression for each of the 5 notch filters. When disabled, the existing resonance suppression parameter values are fixed. If auto resonance suppression is enabled, you can use auto resonance suppression or manually set the resonance suppression for notch filters 1…4 via (Y) and notch filter 5 via (Z). 
See Mechanical Resonance Suppression in the user manual.</t>
    </r>
    <r>
      <rPr>
        <sz val="10"/>
        <rFont val="Calibri"/>
        <family val="2"/>
        <scheme val="minor"/>
      </rPr>
      <t xml:space="preserve">
</t>
    </r>
  </si>
  <si>
    <t>Resonance Diagnostic Level
The smaller the parameter value is, the more sensitive the drive is to resonance.</t>
  </si>
  <si>
    <t>Pulse Clear Mode
Set digital input (DI) as CCLR to enable the Pulse Clear function. If this DI is on, the accumulated position error is reset to 0.
0=CCLR is rising-edge triggered.
1=CCLR is action-level triggered</t>
  </si>
  <si>
    <t xml:space="preserve">Gear Ratio Follower Counts N2
Sets the second numerator of the E-Gear ratio.
See Electronic Gear (E-Gear) Ratio in the user manual. </t>
  </si>
  <si>
    <t xml:space="preserve">Gear Ratio Follower Counts N3
Sets the second numerator of the E-Gear ratio.
See Electronic Gear (E-Gear) Ratio in the user manual. </t>
  </si>
  <si>
    <t xml:space="preserve">Gear Ratio Follower Counts N4
Sets the second numerator of the E-Gear ratio.
See Electronic Gear (E-Gear) Ratio in the user manual. </t>
  </si>
  <si>
    <t>Special Function Configuration 1
Enables special functions. 
See ID239 on the Detailed Definitions tab</t>
  </si>
  <si>
    <t>Special Function Configuration 2
Bit 0 – 1, Bit 3, Bit 6 – 8, Bit 10 – 15: reserved
Bit 2: Cancel the low-voltage error latch function.
0=Enable the low-voltage error latch function; the error is not cleared automatically.
1=Disable the low-voltage error latch function; the error is cleared automatically. 
Bit 4: Disable A 044 detection (servo function overload warning).
0=Enable A 044 detection.
1=Disable A 044 detection.
Bit 5: Enable E 041 (disconnection detection of auxiliary feedback)
0=Disable E 041 detection.
1=Enable E 041 detection.
Bit 9: Set E 003 as a Major Recoverable Fault or a Minor Recoverable Fault.
0=Set E 003 as Major Recoverable Fault (have to do the fault reset manually after voltage recovery).
1=Set E 003 as Minor Recoverable Fault (fault is reset automatically after voltage recovery).</t>
  </si>
  <si>
    <r>
      <t xml:space="preserve">Absolute System Setting
X: Operating mode setting
0=Incremental type. An absolute type motor can be operated as an incremental type
1=Absolute type. This setting is only applicable to an absolute type motor. If it is used on an incremental type motor, </t>
    </r>
    <r>
      <rPr>
        <sz val="8"/>
        <rFont val="Calibri"/>
        <family val="2"/>
        <scheme val="minor"/>
      </rPr>
      <t>E 069</t>
    </r>
    <r>
      <rPr>
        <sz val="8"/>
        <color theme="1"/>
        <rFont val="Calibri"/>
        <family val="2"/>
        <scheme val="minor"/>
      </rPr>
      <t xml:space="preserve"> occurs.
Z:  Index coordinates function when an overflow occurs
0=Index coordinates are lost when an overflow occurs.
1=Index coordinates are not affected by overflow, but absolute coordinates are not retained.</t>
    </r>
  </si>
  <si>
    <t>3-General
11-System</t>
  </si>
  <si>
    <t>Data Read Unit Selection
Bit 0: DI/DO data unit setting
0=PUU (Position of User Unit)
1=Pulse
Bit 1: Communication data unit setting
0=PUU
1=Pulse
Bit 2: Overflow warning setting
0=Overflow warning, including A 289 (PUU)
1=No overflow warning
Bit 3 - Bit15: reserved</t>
  </si>
  <si>
    <t>Position Error Tolerance Time
Position error time is the time during the position error (the deviation of the difference between position command and feedback) exceeds the tolerance error specific by ID219(P2.035).
E 009 (excessive deviation of position command) will be caused when the position error time greater than the time specific by this parameter.</t>
  </si>
  <si>
    <t>STO Feedback Configuration
See STO-related Fault Codes in the user manual.
Y: Latch setting
0=FDBK is not latched, FDBK status will not remain when the alarm has been cleared
1=FDBK is latched, FDBK status will remain even when the alarm has been cleared</t>
  </si>
  <si>
    <t>Special Function Configuration 3
Bit4: Dynamic brake options
0=Disable new dynamic brake
1=Enable new dynamic brake, and force use of the DC Bus voltage to determine the timing of regenerative energy loss
Bit5: Cancel E 016 IGBT overheat alarm
0=Enable E 016 IGBT overheat alarm
1=Disable  E016 IGBT overheat alarm
Other bits: Reserved</t>
  </si>
  <si>
    <t>Torque Threshold to Switch from PI to P
When the torque command exceeds this value, the speed controller gain is switched from PI to P to reduce response overshoot.</t>
  </si>
  <si>
    <t>Special Function Configuration 4
Bit3: Auto gain adjustment mode
0=Reserved
1=Cycle adjustment
Bit2: Reserved
Bit1: A 089 configuration
0=Disable A 089
1=Enable A 089
Bit0: Maximum voltage of analog output monitoring
0=±8 V
1=±10 V</t>
  </si>
  <si>
    <t>Jog Operation 
Set the speed for Jog.
There are 3 methods to Jog:
1. Via the panel display
See Jog the Motor without Load in the user manual.
2. Via digital input (DI) control
Using the JOGU and JOGD digital inputs to jog the motor in the positive or negative direction. See Description of Digital Input Functions in the user manual.
3. Via Communication
See Jog the Motor without Load in the user manual.
Set ID215 (P2.030) to 5 when writing via communication, to avoid continually writing the parameters into EEPROM.</t>
  </si>
  <si>
    <t>Hardware Calibration Function Execution
Manufacturing parameter, cannot be set after shipping.</t>
  </si>
  <si>
    <t>Preset Analog to Speed Offset
Manufacturing preset parameter, cannot be set after shipping.</t>
  </si>
  <si>
    <t>Factory Set Analog Torque Offset
Manufacturing preset parameter, cannot be set after shipping.</t>
  </si>
  <si>
    <t>V1 Phase Current Sensing Offset
Manufacturing preset parameter, cannot be set after shipping.</t>
  </si>
  <si>
    <t>W1 Phase Current Sensing Offset
Manufacturing preset parameter, cannot be set after shipping.</t>
  </si>
  <si>
    <t>IGBT NTC Offset
Manufacturing preset parameter, cannot be set after shipping.</t>
  </si>
  <si>
    <t>Analog Output 1 Offset
Manufacturing preset parameter, cannot be set after shipping.</t>
  </si>
  <si>
    <t>Analog Output 2 Offset
Manufacturing preset parameter, cannot be set after shipping.</t>
  </si>
  <si>
    <t>User-defined  Analog to Torque Offset
Manually adjust the offset.</t>
  </si>
  <si>
    <t>User-defined Analog to Torque Offset
Manually adjust the offset.</t>
  </si>
  <si>
    <t>DSP Firmware Subversion</t>
  </si>
  <si>
    <t xml:space="preserve">Motor Automatic Identification
Set to 1 or 2, then servo-on to enable the identification. Set back to 0 automatically when the identification is done.
1: Motor Parameter Automatic Identification
When ID 628(PN.000) is 2 (Motor data source is from Nameplate Datasheet)
2: Motor Commutation Automatic Identification, obtains ID601 (PM.006), ID602 (PM.007), ID603 (PM.008)
When ID637 (PN.009) is 2 (Commutation alignment is Drive Offset). </t>
  </si>
  <si>
    <t>Motor Parameter Confirmation
0: Motor Parameter Identification is not done.
1: Motor Parameter Identification is done.</t>
  </si>
  <si>
    <t>Reserved for future release.</t>
  </si>
  <si>
    <t>Motor Stop Mode
X: Reserved
Y: Options for using the dynamic brake when ServoOff or fault occurs
0 - use dynamic brake
1 - motor runs freely
2 - use dynamic brake first, then let the motor run freely once the speed is slower than the value of ID145 (P1.038)
3 - Enable vertical load control
UZ: Reserved</t>
  </si>
  <si>
    <t xml:space="preserve">Homing Collision Torque Limit Offset
See ID177 (P1.087) for details. </t>
  </si>
  <si>
    <t>Analog To Velocity Scale 2
Maximum rotation speed of the analog speed command.
See Scaling the Analog Command (Speed Mode) in the user manual.</t>
  </si>
  <si>
    <t>Filter Switching Time of Analog To Velocity Scale 1 and 2
Set to 0 to disable the filter.</t>
  </si>
  <si>
    <t>Special Function Configuration 5
Reserved for future release.</t>
  </si>
  <si>
    <t>Special Function Configuration 6
Reserved for future release.</t>
  </si>
  <si>
    <t>X: Full Closed Loop Z phase source of Homing:
0 = Aux encoder; 1 = MFB encoder.
Y: Non Full Closed Loop Z phase source of Homing:
0 = MFB encoder; 1 = Aux encoder.</t>
  </si>
  <si>
    <t>X: Source of feedback position for System Variable 00h monitoring:
0 = MFB; 1 = AUX; 2 = MFB under Non Full Closed Loop mode and AUX under Full Closed Loop mode.
Y: Source of Z phase for System Variable 1Bh monitoring:
0 = MFB; 1 = AUX; 2 = MFB under Non Full Closed Loop mode and AUX under Full Closed Loop mode.</t>
  </si>
  <si>
    <t xml:space="preserve">Parameter Monitor 1 Value
ID60 (P0.035) can be used to specify the mapping parameter instance ID number. The content of the parameter that is specified by P0.035 will be shown in ID55 (P0.025).
</t>
  </si>
  <si>
    <t>4-Status Monitor</t>
  </si>
  <si>
    <t>Parameter Monitor 2 Value
ID61 (P0.036) can be used to specify the mapping parameter instance ID number. The content of the parameter that is specified by P0.036 will be shown in ID56 (P0.026).</t>
  </si>
  <si>
    <t>Parameter Monitor 3 Value
ID62 (P0.037) can be used to specify the mapping parameter instance ID number. The content of the parameter that is specified by P0.037 will be shown in ID57 (P0.027).</t>
  </si>
  <si>
    <t>Parameter Monitor 4 Value
ID63 (P0.038) can be used to specify the mapping parameter instance ID number. The content of the parameter that is specified by P0.038 will be shown in ID58 (P0.028).</t>
  </si>
  <si>
    <t>Parameter Monitor 5 Value
ID64 (P0.039) can be used to specify the mapping parameter instance ID number. The content of the parameter that is specified by P0.039 will be shown in ID59 (P0.029).</t>
  </si>
  <si>
    <t>Parameter Monitor 1 Selection
Select mapping parameter instance ID number corresponding to Parameter Monitor 1 Value. 
See Description of Parameter Monitoring in the user manual.</t>
  </si>
  <si>
    <t>Parameter Monitor 2 Selection
Select mapping parameter instance ID number corresponding to Parameter Monitor 2 Value. 
See Description of Parameter Monitoring in the user manual.</t>
  </si>
  <si>
    <t>Parameter Monitor 3 Selection
Select mapping parameter instance ID number corresponding to Parameter Monitor 3 Value. 
See Description of Parameter Monitoring in the user manual.</t>
  </si>
  <si>
    <t>Parameter Monitor 4 Selection
Select mapping parameter instance ID number corresponding to Parameter Monitor 4 Value. 
See Description of Parameter Monitoring in the user manual.</t>
  </si>
  <si>
    <t>Parameter Monitor 5 Selection
Select mapping parameter instance ID number corresponding to Parameter Monitor 5 Value. 
See Description of Parameter Monitoring in the user manual.</t>
  </si>
  <si>
    <t>LED Monitor Selection
Reserved for future release</t>
  </si>
  <si>
    <t>Servo Output Status
Bit 0=SRDY (servo ready)
Bit 1=SON (servo on)
Bit 2=ZSPD (zero speed)
Bit 3=TSPD (target speed reached)
Bit 4=TPOS (target position reached)
Bit 5=TQL (torque limit activated)
Bit 6=ALRM (servo alarm)
Bit 7=BRKR (magnetic brake control output)
Bit 8=HOME (homing completed)
Bit 9=OLW (overload warning)
Bit 10=WARN (servo warning)
Bit 11=At Home
Bits12…15=Reserved</t>
  </si>
  <si>
    <t>Absolute Position (Multi-turn)
When ID243 (P2.070) [Bit 1] is 1 (read the pulse number), this parameter displays the number of turns of the encoder (absolute position). When ID243 (P2.070) [Bit 1] is 0 (read the PUU number), this parameter becomes invalid and displays 0.</t>
  </si>
  <si>
    <t>Absolute Position (Single-turn)
When ID243 (P2.070) [Bit 1] is 1 (read the pulse number), this parameter displays the pulse number of the encoder’s absolute position within a single turn. When ID243 (P2.070) [Bit 1] is 0 (read the PUU number), this parameter displays the motor’s absolute position in PUU.</t>
  </si>
  <si>
    <t>Encoder Temperature</t>
  </si>
  <si>
    <t xml:space="preserve">System Variable Monitor 1 Value
The value to be monitored can be set by ID668 (P0.017).
Set ID102 (P0.002) to 23 to display the value of this parameter on the panel display.
See Description of System Variable Monitoring in the user manual. </t>
  </si>
  <si>
    <t xml:space="preserve">System Variable Monitor 2 Value
The value to be monitored can be set by ID669 (P0.018).
Set ID102 (P0.002) to 24 to display the value of this parameter on the panel display.
See Description of System Variable Monitoring in the user manual. </t>
  </si>
  <si>
    <t xml:space="preserve">System Variable Monitor 3 Value
The value to be monitored can be set by ID670 (P0.019).
Set ID102 (P0.002) to 25 to display the value of this parameter on the panel display.
See Description of System Variable Monitoring in the user manual. </t>
  </si>
  <si>
    <t>System Variable Monitor 4 Value
The value to be monitored can be set by ID671 (P0.020).
Set ID102 (P0.002) to 26 to display the value of this parameter on the panel display.
See Description of System Variable Monitoring in the user manual.</t>
  </si>
  <si>
    <t>System Variable Monitor 5 Value
The value to be monitored can be set by ID672 (P0.021).
Set ID102 (P0.002) to 27 to display the value of this parameter on the panel display.
See Description of System Variable Monitoring in the user manual.</t>
  </si>
  <si>
    <t>System Variable Monitor 1 Selection
Selects the content displayed by the System Variable Monitor 1 Value
See Description of System Variable Monitoring in the user manual.</t>
  </si>
  <si>
    <t>System Variable Monitor 2 Selection
Selects the content displayed by the System Variable Monitor 2 Value
See Description of System Variable Monitoring in the user manual.</t>
  </si>
  <si>
    <t>System Variable Monitor 3 Selection
Selects the content displayed by the System Variable Monitor 3 Value
See Description of System Variable Monitoring in the user manual.</t>
  </si>
  <si>
    <t>System Variable Monitor 4 Selection
Selects the content displayed by the System Variable Monitor 4 Value
See Description of System Variable Monitoring in the user manual.</t>
  </si>
  <si>
    <t>System Variable Monitor 5 Selection
Selects the content displayed by the System Variable Monitor 5 Value
See Description of System Variable Monitoring in the user manual.</t>
  </si>
  <si>
    <t>r</t>
  </si>
  <si>
    <t>5-Control
15-Filter</t>
  </si>
  <si>
    <t>Torque Command Low Pass Filter Time Constant
Setting this parameter to 0 disables this function.</t>
  </si>
  <si>
    <t>Position Command Low Pass Filter Time Constant
Setting this parameter to 0 disables this function.</t>
  </si>
  <si>
    <t>5-Control
15-Filter
20-Tuning</t>
  </si>
  <si>
    <t xml:space="preserve">Low-frequency Vibration Suppression 1 Frequency
Sets the value of the first low-frequency vibration suppression frequency. When ID136 (P1.026) is set to 0, this function is disabled. </t>
  </si>
  <si>
    <t>5-Control</t>
  </si>
  <si>
    <t>Low-frequency Vibration Suppression 1 Gain
Setting this parameter to 0 disables the first low-frequency vibration suppression filter. 
When setting the gain of the first low-frequency vibration suppression, increasing the setting value can improve the position response,
but if the value is set too high, the motor may not operate smoothly. The recommended value is 1.</t>
  </si>
  <si>
    <t xml:space="preserve">Low-frequency Vibration Suppression 2 Frequency
Sets the value of the second low-frequency vibration suppression frequency. When ID138 (P1.028) is set to 0, this function is disabled. </t>
  </si>
  <si>
    <t>Low-frequency Vibration Suppression 2 Gain
Setting this parameter to 0 disables the second low-frequency vibration suppression filter. 
When setting the gain of the second low-frequency vibration suppression, increasing the setting value can improve the position response, but if the value is set too high, the motor may not operate smoothly. The recommended value is 1.</t>
  </si>
  <si>
    <t>Acceleration Time Constant of S-Curve Velocity Profile
See S-curve Filter (Speed Mode) in the user manual.</t>
  </si>
  <si>
    <t>Deceleration Time Constant of S-curve Velocity Profile
See S-curve Filter (Speed Mode) in the user manual.</t>
  </si>
  <si>
    <t>Smoothing Time of S-curve
See S-curve Filter (Position Mode) and S-curve Filter (Speed Mode) in the user manual.</t>
  </si>
  <si>
    <t>Load Inertia Ratio
Ratio of the external mechanical load / rotor inertia of the servo motor</t>
  </si>
  <si>
    <t>5-Control
18-Velocity Loop
20-Tuning</t>
  </si>
  <si>
    <t>Velocity Command Moving Filter Time Constant
Setting this parameter to 0 disables this filter. The moving filter can smooth the command at the beginning and end of the step command.
See Low Pass Filter for Speed Command in the user manual.</t>
  </si>
  <si>
    <r>
      <t xml:space="preserve">Analog Position Command Smooth Time Constant
</t>
    </r>
    <r>
      <rPr>
        <sz val="8"/>
        <rFont val="Calibri"/>
        <family val="2"/>
        <scheme val="minor"/>
      </rPr>
      <t>Special smooth time constant for analog position command. Only valid for analog position command.</t>
    </r>
  </si>
  <si>
    <t>Position Command Moving Filter Time Constant
Setting this parameter to 0 disables this filter. The moving filter can smooth the command at the beginning and end of the step command, but it will delay the command.</t>
  </si>
  <si>
    <t>Full/Half-closed Loop Control Low Pass Filter Time Constant
Set the value to 0 to disable the low-pass filter (bypass) function.
When the stiffness of mechanical system between full- and half-closed loops is insufficient, users can set up the proper time constant to enhance the stability of the system. That is, temporarily creating the half-closed loop effect, and after stabilizing, full-closed loop effect is created. When the stiffness is sufficient, set to bypass.
Increasing the value of this parameter increases the stiffness.</t>
  </si>
  <si>
    <t>Position Proportional Gain
When the value of position control gain is increased, the position response can be enhanced and the position error can be reduced. However, if the value is set too big, it may easily cause vibration and noise.</t>
  </si>
  <si>
    <t>5-Control
17-Position Loop
20-Tuning</t>
  </si>
  <si>
    <t>Position Proportional Gain Changing Rate
Switch the changing rate of position control gain according to the gain switching condition.</t>
  </si>
  <si>
    <t>Velocity Feedforward Gain
If the position control command is changed smoothly, increasing the gain value can reduce the position following error. If it is not changed smoothly, decreasing the gain value can reduce mechanical vibration.
This parameter is disabled when the two dimensional control function is on [ID253 (P2.094) Bit 12 = 1]</t>
  </si>
  <si>
    <t>5-Control
17-Position Loop</t>
  </si>
  <si>
    <t>Velocity Feedforward Low Pass Filter Time Constant
If the position control command is changed smoothly, decreasing the smooth constant value can reduce the position following error. If not changed smoothly, increasing the smooth constant value can reduce mechanical vibration.</t>
  </si>
  <si>
    <t>Speed Proportional Gain
Increase the value of speed control gain can enhance the speed response. However, if the value is set too big, it may cause vibration and noise.</t>
  </si>
  <si>
    <t>Speed Proportional Gain Changing Rate
Switch the changing rate of speed control gain according to the gain switching condition.</t>
  </si>
  <si>
    <t>Speed Integral Gain
Increasing the value of integral speed control can enhance speed response and reduce the deviation of speed control. However, if the value is set too big, it may cause vibration and noise.</t>
  </si>
  <si>
    <t>Acceleration Feedforward Gain
If the speed control command is changed smoothly, increasing the gain value can reduce the speed following error. If not changed smoothly, decreasing the gain value can reduce mechanical vibration.</t>
  </si>
  <si>
    <t>5-Control
18-Velocity Loop</t>
  </si>
  <si>
    <t xml:space="preserve">Notch Filter 1 Frequency
The first setting value of resonance frequency. If ID209 (P2.024) is set to 0, this function is disabled.
</t>
  </si>
  <si>
    <t>Notch Filter 1 Depth
This is the first resonance suppression (Notch filter) attenuation rate. For example, if the value of attenuation rate is set to 5, the attenuation rate is -5 dB.
0=Notch filter function disabled</t>
  </si>
  <si>
    <t>Resonance Suppression Low Pass Filter Time Constant
Set the time constant for the low-pass filter for resonance suppression. Set this parameter to 0 to disable the low-pass filter.</t>
  </si>
  <si>
    <t>5-Control
19-Current Loop
20-Tuning</t>
  </si>
  <si>
    <t>Anti-interference Gain
Increasing this parameter can increase the damping of the speed loop. Setting the value of ID211 (P2.026) to equal ID191 (P2.006) is recommended. See the following for setting ID211 (P2.026):
1. In Speed mode, increase the value of this parameter to reduce speed overshoot.
2. In Position mode, decrease the value of this parameter to reduce position overshoot.</t>
  </si>
  <si>
    <r>
      <t>Gain Switching Selection
See Gain Adjustment of the Position Loop and Gain Adjustment of Speed Loop in the user manual.
X:Gain switching condition
0=Disable gain switching function
1=Signal of gain switching (GAINUP) is ON
2=In position control mode, position error is greater than the value of ID214 (P2.029)
3=Frequency of position command is greater than the value of ID214 (P2.029)
4=Rotation speed of servo motor is faster than the value of ID214 (P2.029)
5=Signal of gain switching (GAINUP) is OFF
6=In position control mode, position error is smaller than the value of ID214 (P2.029)
7=Frequency of position command is smaller than the value of ID214 (P2.029)
8=Rotation speed of servo motor is slower than the value of ID214 (P2.029)
Y: Gain switching
Before switching
0= ID185 (P2.000) x 100% and ID189 (P2.004) x 100% (Position mode)
0=ID189 (P2.004) x 100% (Speed mode)
1=ID191 (P2.006) x 0% and ID211 (P2.026) x 0% (Position mode and Speed mode)
After switching
0=ID185 (P2.000) x ID186 (P2.001) and ID189 (P2.004) x ID190 (P2.005) (Position mode)
0=ID189 (P2.004) x P2 - 005 (Speed mode)
1=ID191 (P2.006)  x 100% and ID211 (P2.026) x 100% (Position mode and Speed mode)</t>
    </r>
    <r>
      <rPr>
        <sz val="10"/>
        <rFont val="Calibri"/>
        <family val="2"/>
        <scheme val="minor"/>
      </rPr>
      <t xml:space="preserve">
</t>
    </r>
    <r>
      <rPr>
        <sz val="8"/>
        <rFont val="Calibri"/>
        <family val="2"/>
        <scheme val="minor"/>
      </rPr>
      <t>UZ: Reserved</t>
    </r>
  </si>
  <si>
    <t>Gain Switching Time Constant
For switching the smooth gain. Set this parameter to 0 to disable this function.</t>
  </si>
  <si>
    <t>Gain Switching Value Threshold
The setting of gain switching (pulse error, kpps, rpm) is determined by the selection of gain switching condition ID212 (P2.027).</t>
  </si>
  <si>
    <t xml:space="preserve">System Gain Response Level
In gain adjustment mode ID217 (P2.032), you can adjust the servo frequency via this parameter. When this parameter value is increased, the servo frequency is increased.
See the chapter on Tuning in the user manual. </t>
  </si>
  <si>
    <t>5-Control
20-Tuning</t>
  </si>
  <si>
    <t>Gain Adjustment Mode
The servo drive provides three gain adjustment modes for fine tuning. You only need to increase or decrease the system gain response level ID216 (P2.031) to tune the machine.
See the chapter on Tuning in the user manual.
0=Manual
1=Tuning mode 1
2=Tuning mode 2
3=Tuning mode 3
4=Tuning mode 4 (reset to default gain value)</t>
  </si>
  <si>
    <t>Notch Filter 2 Frequency
The second setting value of resonance frequency. If ID227 (P2.044) is set to 0, this function is disabled.</t>
  </si>
  <si>
    <t>Notch Filter 2 Depth
The second resonance suppression (notch filter) attenuation rate. When this parameter is set to 0, the notch filter function is disabled. If the value of attenuation rate is set to 5, the attenuation rate is -5 dB.</t>
  </si>
  <si>
    <t>Notch Filter 3 Frequency
The third setting value of resonance frequency. If ID229 (P2.046) is set to 0, this function is disabled.</t>
  </si>
  <si>
    <t>Notch Filter 3 Depth
The third resonance suppression (notch filter) attenuation rate. When this parameter is set to 0, the notch filter function is disabled. If the value of attenuation rate is set to 5, the attenuation rate is -5 dB.</t>
  </si>
  <si>
    <t>Speed Feedback Low Pass Filter Time Constant
Increasing the value of this parameter can reduce the jitter of the speed, but if the value is set too high, it may cause the phase margin of the speed loop to be too small, resulting in system instability.</t>
  </si>
  <si>
    <t>Position Integral Gain
Increasing the value of position control integral can reduce the position steady-state error, but if the value is set too big, it may easily cause position overshoot and noise.</t>
  </si>
  <si>
    <t>Notch Filter 1 Width
The first setting value of resonance width. If ID209 (P2.024)  is set to 0, this function is disabled.
See Resonance Suppression (Notch Filter) in the user manual.</t>
  </si>
  <si>
    <t>Notch Filter 2 Width
The second setting value of resonance width. If ID227 (P2.044)  is set to 0, this function is disabled.
See Resonance Suppression (Notch Filter) in the user manual.</t>
  </si>
  <si>
    <t>Notch Filter 3 Width
The third setting value of resonance width. If ID211 (P2.026)  is set to 0, this function is disabled.
See Resonance Suppression (Notch Filter) in the user manual.</t>
  </si>
  <si>
    <t>Notch Filter 4 Frequency
The fourth setting value of resonance frequency. If ID258 (P2.099) is set to 0, this function is disabled.
See Resonance Suppression (Notch Filter) in the user manual.</t>
  </si>
  <si>
    <t>Notch Filter 4 Depth
The fourth resonance suppression (Notch filter) attenuation rate. When this parameter is set to 0, the notch filter function is disabled. For example, If the value of attenuation rate is set to 5, then it would be -5 dB.</t>
  </si>
  <si>
    <t>Notch Filter 4 Width
The fourth setting value of resonance width. If ID258 (P2.099)  is set to 0, this function is disabled.
See Resonance Suppression (Notch Filter) in the user manual.</t>
  </si>
  <si>
    <t>Notch Filter 5 Frequency
The fifth setting value of resonance frequency. If ID261 (P2.102) is set to 0, this function is disabled.
See Resonance Suppression (Notch Filter) in the user manual.</t>
  </si>
  <si>
    <t>Notch Filter 5 Depth
The fifth resonance suppression (Notch filter) attenuation rate. When this parameter is set to 0, the notch filter function is disabled. For example, If the value of attenuation rate is set to 5, then it would be -5 dB.</t>
  </si>
  <si>
    <t>Notch Filter 5 Width
The fifth setting value of resonance width. If ID261 (P2.102) is set to 0, this function is disabled.
See Resonance Suppression (Notch Filter) in the user manual.</t>
  </si>
  <si>
    <t>Auto Tuning Bandwidth Configuration
This parameter is used to adjust the bandwidth when auto-tuning.
The larger the value is, the higher the bandwidth is after auto-tuning. However, the bandwidth margin may be lower, which may cause machine jitter. The smaller the value is, the lower the bandwidth is after auto-tuning, but the response is slower.
See Autotuning in the user manual.</t>
  </si>
  <si>
    <t>Auto Tuning Overshoot Configuration
This parameter is used to adjust the maximum allowable overshoot when auto-tuning.
The larger the value is, the greater the maximum overshoot allowed by 
auto-tuning is, and the response is faster. The smaller the value is, the smaller the maximum overshoot allowed by auto-tuning is, and the response is slower.
See Autotuning in the user manual.</t>
  </si>
  <si>
    <t>Current Loop Proportional Gain
Increase the value to improve current responsiveness and reduce current control error. However, if the setting is too large, vibration and noise are likely to occur. 
We recommend that you do not adjust this parameter.</t>
  </si>
  <si>
    <t>Current Loop Integral Gain
Increase the value to improve current responsiveness and reduce current control error. However, if the setting is too large, vibration and noise are likely to occur. 
We recommend that you do not adjust this parameter.</t>
  </si>
  <si>
    <t>Overload Rising Gain
The overload protect counter increases when overload occurs (torque over 100%), and decreases when there is no overload.
Below is the overload(torque) and the responding running time to trigger E 006.
0%=-12s * ID608 (PM.020)
20%=-12.3s * ID608 (PM.020)
40%=-13.6s * ID608 (PM.020)
60%=-16.3s * ID608 (PM.020)
80%=-22.6s * ID608 (PM.020)
100%=N/A
120%=26.38s * ID607 (PM.019)
140%=35.2s * ID607 (PM.019)
160%=17.6s * ID607 (PM.019)
180%=11.2s * ID607 (PM.019)
200%=8.0s * ID607 (PM.019)
220%=6.1s * ID607 (PM.019)
240%=4.8s * ID607 (PM.019)
260%=3.9s * ID607 (PM.019)
280%=3.3s * ID607 (PM.019)
300%=2.8s * ID607 (PM.019)
320%=2.5s * ID607 (PM.019)
340%=2.2s * ID607 (PM.019)
360%=2.0s * ID607 (PM.019)
380%=1.8s * ID607 (PM.019)
400%=1.6s * ID607 (PM.019)
420%=1.4s * ID607 (PM.019)
440%=1.3s * ID607 (PM.019)
460%=1.2s * ID607 (PM.019)
480%=1.1s * ID607 (PM.019)
500%=1.0s * ID607 (PM.019)</t>
  </si>
  <si>
    <t>Overload Falling Gain
See ID607 (PM.019)</t>
  </si>
  <si>
    <t xml:space="preserve">Induction Motor Flux Proportional Gain
</t>
  </si>
  <si>
    <t xml:space="preserve">Induction Motor Flux Integral Gain
</t>
  </si>
  <si>
    <t>Position Loop Izone
The region, in counts, around the commanded position where integral gain is active. If the position error is greater than Ki Zone, the integrator is reset.</t>
  </si>
  <si>
    <t>Full Closed Loop Position Error Auto Reset Threshold
The full closed loop position error is reset automatically when the number of turns reaches this value.
This function is disabled when ID676 (P1.084) is set to 0.</t>
  </si>
  <si>
    <t>Analog input dead-band for analog to torque</t>
  </si>
  <si>
    <t>Analog input dead-band for analog to velocity/position</t>
  </si>
  <si>
    <t>Induction motor position/speed mode switch function</t>
  </si>
  <si>
    <t xml:space="preserve">
5-Control</t>
  </si>
  <si>
    <t>Induction motor position/speed mode switch fvelocity (low level)</t>
  </si>
  <si>
    <t>Induction motor position/speed mode switch function (high level)</t>
  </si>
  <si>
    <t>Digital Input Debouncing Time
When the environmental interference is big, increasing the setting value can enhance the control stability. However, if the value is set too high, it will impact the response time.</t>
  </si>
  <si>
    <t>6-IO</t>
  </si>
  <si>
    <t>Digital Input 1 Configuration
Selects the DI function (YX) and function of the NO or NC contact (Z). When parameters are modified, re-start the servo drive so that it can function normally.  You can configure ID268 (P3.006) to change the source for the digital signal, either through an external terminal block or communication parameter ID281 (P4.007).
See Description of Digital Input Functions in the user manual.
YX: Input function
See Description of Digital Input Functions in the user manual.
Z: Input contact NO or NC
0=normally closed (NC contact)
1=normally open (NO contact)
U: reserved</t>
  </si>
  <si>
    <t>Digital Input 2 Configuration
Selects the DI function (YX) and function of the NO or NC contact (Z). When parameters are modified, re-start the servo drive so that it can function normally. You can configure ID268 (P3.006) to change the source for the digital signal, either through an external terminal block or communication parameter ID281 (P4.007).
See Description of Digital Input Functions in the user manual.
YX: Input function
See Description of Digital Input Functions in the user manual.
Z: Input contact NO or NC
0=normally closed (NC contact)
1=normally open (NO contact)
U: reserved</t>
  </si>
  <si>
    <t>Digital Input 3 Configuration
Selects the DI function (YX) and function of the NO or NC contact (Z). When parameters are modified, re-start the servo drive so that it can function normally. User can configure P3.006 to change the source for the digital signal, either through an external terminal block or communication parameter P4.007.
See Description of Digital Input Functions in the user manual.
YX: Input function
See Description of Digital Input Functions in the user manual.
Z: Input contact NO or NC
0=normally closed (NC contact)
1=normally open (NO contact)
U: reserved</t>
  </si>
  <si>
    <t>Digital Input 4 Configuration
Selects the DI function (YX) and function of the NO or NC contact (Z). When parameters are modified, re-start the servo drive so that it can function normally. You can configure ID268 (P3.006) to change the source for the digital signal, either through an external terminal block or communication parameter ID281 (P4.007).
See Description of Digital Input Functions in the user manual.
YX: Input function
See Description of Digital Input Functions in the user manual.
Z: Input contact NO or NC
0=normally closed (NC contact)
1=normally open (NO contact)
U: reserved</t>
  </si>
  <si>
    <t>Digital Input 5 Configuration
Selects the DI function (YX) and function of the NO or NC contact (Z). When parameters are modified, re-start the servo drive so that it can function normally. You can configure ID268 (P3.006) to change the source for the digital signal, either through an external terminal block or communication parameter ID281 (P4.007).
See Description of Digital Input Functions in the user manual.
YX: Input function
See Description of Digital Input Functions in the user manual.
Z: Input contact NO or NC
0=normally closed (NC contact)
1=normally open (NO contact)
U: reserved</t>
  </si>
  <si>
    <t>Digital Input 6 Configuration
Selects the DI function (YX) and function of the NO or NC contact (Z). When parameters are modified, re-start the servo drive so that it can function normally. You can configure ID268 (P3.006) to change the source for the digital signal, either through an external terminal block or communication parameter ID281 (P4.007).
See Description of Digital Input Functions in the user manual.
YX: Input function
See Description of Digital Input Functions in the user manual.
Z: Input contact NO or NC
0=normally closed (NC contact)
1=normally open (NO contact)
U: reserved</t>
  </si>
  <si>
    <t>Digital Input 7 Configuration
Selects the DI function (YX) and function of the NO or NC contact (Z). When parameters are modified, re-start the servo drive so that it can function normally. You can configure ID268 (P3.006) to change the source for the digital signal, either through an external terminal block or communication parameter ID281 (P4.007).
See Description of Digital Input Functions in the user manual.
YX: Input function
See Description of Digital Input Functions in the user manual.
Z: Input contact NO or NC
0=normally closed (NC contact)
1=normally open (NO contact)
U: reserved</t>
  </si>
  <si>
    <t>Digital Input 8 Configuration
Selects the DI function (YX) and function of the NO or NC contact (Z). When parameters are modified, re-start the servo drive so that it can function normally. You can configure ID268 (P3.006) to change the source for the digital signal, either through an external terminal block or communication parameter ID281 (P4.007).
See Description of Digital Input Functions in the user manual.
YX: Input function
See Description of Digital Input Functions in the user manual.
Z: Input contact NO or NC
0=normally closed (NC contact)
1=normally open (NO contact)
U: reserved</t>
  </si>
  <si>
    <t>Digital Output 1 Configuration
Selects the DO function (YX) and function of the NO or NC contact (Z). When parameters are modified, re-start the servo drive so that it can function normally.
See Description of Digital Output Function in the user manual.
YX: Output function
See Description of Digital Output Functions in the user manual.
Z: Input contact NO or NC
0=normally closed (NC contact)
1=normally open (NO contact)
U: reserved</t>
  </si>
  <si>
    <t>Digital Output 2 Configuration
Selects the DO function (YX) and function of the NO or NC contact (Z). When parameters are modified, re-start the servo drive so that it can function normally.
See Description of Digital Output Function in the user manual.
YX: Output function
See Description of Digital Output Functions in the user manual.
Z: Input contact NO or NC
0=normally closed (NC contact)
1=normally open (NO contact)
U: reserved</t>
  </si>
  <si>
    <t>Digital Output 3 Configuration
Selects the DO function (YX) and function of the NO or NC contact (Z). When parameters are modified, re-start the servo drive so that it can function normally.
See Description of Digital Output Function in the user manual.
YX: Output function
See Description of Digital Output Functions in the user manual.
Z: Input contact NO or NC
0=normally closed (NC contact)
1=normally open (NO contact)
U: reserved</t>
  </si>
  <si>
    <t>Digital Output 4 Configuration
Selects the DO function (YX) and function of the NO or NC contact (Z). When parameters are modified, re-start the servo drive so that it can function normally.
See Description of Digital Output Function in the user manual.
YX: Output function
See Description of Digital Output Functions in the user manual.
Z: Input contact NO or NC
0=normally closed (NC contact)
1=normally open (NO contact)
U: reserved</t>
  </si>
  <si>
    <t>Digital Output 5 Configuration
Selects the DO function (YX) and function of the NO or NC contact (Z). When parameters are modified, re-start the servo drive so that it can function normally.
See Description of Digital Output Function in the user manual.
YX: Output function
See Description of Digital Output Functions in the user manual.
Z: Input contact NO or NC
0=normally closed (NC contact)
1=normally open (NO contact)
U: reserved</t>
  </si>
  <si>
    <t>Digital Input 9 Configuration
Selects the DI function (YX) and function of the NO or NC contact (Z). When parameters are modified, re-start the servo drive so that it can function normally. User can configure P3.006 to change the source for the digital signal, either through an external terminal block or communication parameter P4.007.
See Description of Digital Input Functions in the user manual.
YX: Input function
See Description of Digital Input Functions in the user manual.
Z: Input contact NO or NC
0=normally closed (NC contact)
1=normally open (NO contact)
U: reserved</t>
  </si>
  <si>
    <t>Digital Input 10 Configuration
Selects the DI function (YX) and function of the NO or NC contact (Z). When parameters are modified, re-start the servo drive so that it can function normally. User can configure P3.006 to change the source for the digital signal, either through an external terminal block or communication parameter P4.007.
See Description of Digital Input Functions in the user manual.
YX: Input function
See Description of Digital Input Functions in the user manual.
Z: Input contact NO or NC
0=normally closed (NC contact)
1=normally open (NO contact)
U: reserved</t>
  </si>
  <si>
    <t>Virtual Digital Input 11 Configuration
Selects the DI function (YX) and function of the NO or NC contact (Z). A virtual digital input is suitable for applications of communication triggering or when DI points are insufficient. User can set the DI that will be in immediate use at powerup as a normally closed contact for a virtual digital input, such as servo on.
See Description of Digital Input Functions in the user manual.
YX: Input function
See Description of Digital Input Functions in the user manual.
Z: Input contact NO or NC
0=normally closed (NO contact)
1=normally open (NC contact)
U: reserved</t>
  </si>
  <si>
    <t>Virtual Digital Input 12 Configuration
Selects the DI function (YX) and function of the NO or NC contact (Z). A virtual digital input is suitable for applications of communication triggering or when DI points are insufficient. User can set the DI that will be in immediate use at powerup as a normally closed contact for a virtual digital input, such as servo on.
See Description of Digital Input Functions in the user manual.
YX: Input function
See Description of Digital Input Functions in the user manual.
Z: Input contact NO or NC
0=normally closed (NO contact)
1=normally open (NC contact)
U: reserved</t>
  </si>
  <si>
    <t>Virtual Digital Input 13 Configuration
Selects the DI function (YX) and function of the NO or NC contact (Z). A virtual digital input is suitable for applications of communication triggering or when DI points are insufficient. User can set the DI that will be in immediate use at powerup as a normally closed contact for a virtual digital input, such as servo on.
See Description of Digital Input Functions in the user manual.
YX: Input function
See Description of Digital Input Functions in the user manual.
Z: Input contact NO or NC
0=normally closed (NO contact)
1=normally open (NC contact)
U: reserved</t>
  </si>
  <si>
    <t>Digital Output 6 Configuration
Selects the DO function (YX) and function of the NO or NC contact (Z). When parameters are modified, re-start the servo drive so that it can function normally.
See Description of Digital Output Function in the user manual.
YX: Output function
See Description of Digital Output Functions in the user manual.
Z: Input contact NO or NC
0=normally closed (NC contact)
1=normally open (NO contact)
U: reserved</t>
  </si>
  <si>
    <t>Digital Input Control Source
Each bit of this parameter determines one input source of DI signal.
Bit0…Bit9 correspond to DI1 …DI10
Bit10…Bit12 correspond to VDI11 …VDI13
0=DI status is controlled by the external hardware
1=DI status is controlled by ID281 (P4.007) DIOverride</t>
  </si>
  <si>
    <t>Digital Output Override
If ID203 (P2.018) is set to 0x0130, then the output of DO#1 is the bit 0 status of ID280 (P4.006), and so forth. The DO Code (0x30…0x3F) can be set via communication DO, and then written into ID280 (P4.006).
Bit 00: Corresponds to DO code = 0x30
Bit 01: Corresponds to DO code = 0x31
Bit 02: Corresponds to DO code = 0x32
Bit 03: Corresponds to DO code = 0x33
Bit 04: Corresponds to DO code = 0x34
Bit 05: Corresponds to DO code = 0x35
Bit 06: Corresponds to DO code = 0x36
Bit 07: Corresponds to DO code = 0x37
Bit 08: Corresponds to DO code = 0x38
Bit 09: Corresponds to DO code = 0x39
Bit 10: Corresponds to DO code = 0x3A
Bit 11: Corresponds to DO code = 0x3B
Bit 12: Corresponds to DO code = 0x3C
Bit 13: Corresponds to DO code = 0x3D
Bit 14: Corresponds to DO code = 0x3E
Bit 15: Corresponds to DO code = 0x3F</t>
  </si>
  <si>
    <t>Digital Input Override
The source of DI input signal can be external terminal (DI1…DI5) or software SDI1 …SDI5 (corresponding to Bit 0…4 of this parameter, which is determined by ID268 (P3.006). If the corresponding bit of P3.006
is 1, the source is software SDI [ID281 (P4.007)]; if the corresponding bit is 0, then the source is hardware DI.
Read parameters: Shows the DI status after combining external DI and software DI.
Write parameters: Writes the software SDI status.</t>
  </si>
  <si>
    <t>Drive Keypad Input Status
Use this communication parameter to read and check if the five keys, MODE, UP, DOWN, SHIFT, and SET can function normally.</t>
  </si>
  <si>
    <t>Digital Output Status</t>
  </si>
  <si>
    <r>
      <rPr>
        <b/>
        <sz val="8"/>
        <color theme="1"/>
        <rFont val="Calibri"/>
        <family val="2"/>
      </rPr>
      <t xml:space="preserve">Kinetix 5100 Servo Drive Parameters </t>
    </r>
    <r>
      <rPr>
        <sz val="8"/>
        <color theme="1"/>
        <rFont val="Calibri"/>
        <family val="2"/>
      </rPr>
      <t xml:space="preserve">
For more information see:</t>
    </r>
  </si>
  <si>
    <t>USB Communication Time Out
0=Disabled
1…20=Enable communication timeout immediately</t>
  </si>
  <si>
    <t>7-Communication</t>
  </si>
  <si>
    <t xml:space="preserve">USB Communication Response Delay Time
Delay time of the communication response from the servo drive to the controller.
</t>
  </si>
  <si>
    <t>IP Address</t>
  </si>
  <si>
    <t>7-Communication
11-System</t>
  </si>
  <si>
    <t>Subnet Mask</t>
  </si>
  <si>
    <t>Default Gateway</t>
  </si>
  <si>
    <t>DHCP Enable
0=Disable
1= Enable</t>
  </si>
  <si>
    <t>Enable Communication Ports
Byte 0: Port status (0 – disabled; 1 -  Enabled)
-  Bit 0: EIP Port 1
-  Bit 1: EIP Port 2
-  Bit 2: USB Port
Byte 1: Configure selection (return 0 if read)
-  Bit 6-7:  Port Selection (01-Port 1; 10-Port 2; 11–USB port)
-  Bit 0: Action (0 – disable; 1 – enable)
1. Write 0xC100 to enable USB port, 0xC000 to disable USB port.
2. Write 0x4100 to enable EIP port1, 0x4000 to disable EIP port1.
3. Write 0x8100 to enable EIP port2, 0x8000 to disable EIP port2.</t>
  </si>
  <si>
    <t>Fault/Warning Code
0X0000=Fault Reset (same operation as DI.ARST)
0x0001…0xFFFF=Displays fault/warning code</t>
  </si>
  <si>
    <t>8-Diagnosis</t>
  </si>
  <si>
    <r>
      <rPr>
        <sz val="8"/>
        <rFont val="Calibri"/>
        <family val="2"/>
        <scheme val="minor"/>
      </rPr>
      <t>Power On Time</t>
    </r>
    <r>
      <rPr>
        <sz val="8"/>
        <color rgb="FFFF0000"/>
        <rFont val="Calibri"/>
        <family val="2"/>
        <scheme val="minor"/>
      </rPr>
      <t xml:space="preserve">
</t>
    </r>
    <r>
      <rPr>
        <sz val="8"/>
        <rFont val="Calibri"/>
        <family val="2"/>
        <scheme val="minor"/>
      </rPr>
      <t>Shows the total operation time of the servo drive. The unit is by hour and durations less than 1 hour are not recorded. The recorded hours are saved when the servo is power off.
DCBA (high word): Servo on time
UZYX (Low word): Power on time</t>
    </r>
  </si>
  <si>
    <t>Absolute System Status
Bit 0:
1=absolute position lost
0=normal
Bit 1:
1=battery undervoltage
0=normal
Bit 2:
1=absolute multi-turn is overflowing
0=normal
Bit 3:
1=PUU is overflowing
0=normal
Bit 4:
1=absolute coordinate has not been set
0=normal
Bit 5 …Bit 15=reserved (0)</t>
  </si>
  <si>
    <t>Exceed 400V Duration
Records the length of time that the DC bus voltage exceeded 400V.</t>
  </si>
  <si>
    <t>Fault Record N
The (N)th abnormal status record. 1st, 2nd, 3rd,…, (N-1)th, (N)th. The (N)th record is the most resent fault.
UZYX (Low word): Display fault/warning code
DCBA (high word): Reserved</t>
  </si>
  <si>
    <t>Fault Record N-1
The (N-1)th abnormal status record.
UZYX (Low word): Display fault/warning code
DCBA (high word): Reserved</t>
  </si>
  <si>
    <t>Fault Record N-2
The (N-2)th abnormal status record.
UZYX (Low word): Display fault/warning code
DCBA (high word): Reserved</t>
  </si>
  <si>
    <t>Fault Record N-3
The (N-3)th abnormal status record.
UZYX (Low word): Display fault/warning code
DCBA (high word): Reserved</t>
  </si>
  <si>
    <t>Fault Record N-4
The (N-4)th abnormal status record.
UZYX (Low word): Display fault/warning code
DCBA (high word): Reserved</t>
  </si>
  <si>
    <t>DI9CaptureAndCompareConfiguration</t>
  </si>
  <si>
    <t>DI9 Capture and Compare Configuration
X: Additional function of Capture
- Bit 0: ID330 (P5.038) will reset to the configured value when the DI9CaptureRemainedCount decreases to 0 in cycle mode.
-- 0=Disable cycle mode
-- 1=Enable cycle mode
- Bits 1…3: Reserved
Y:Reserved
Z: Additional function of Compare
- Bit 0:
-- 0=ID134 (P1 .024) takes effect always.
-- 1=ID134 (P1 .024 only takes effect once, than reset to 0 automatically
- Bits 1…3: Reserved
U:Reserved</t>
  </si>
  <si>
    <t>9-Motion_1
25-Capture</t>
  </si>
  <si>
    <t>DI9CaptureMaskRange</t>
  </si>
  <si>
    <t>DI9 Capture Masking Range
When Capture function is enabled and set to capture multiple points [ID330 (P5.038) &gt; 1], it will stop receiving the DI captured signal within this range once the data is captured. The DI captured signal received within this range will not be recognized. This function can be used to avoid noise being regarded as effective signals within the non-capture range. Masking range is defined as follows:  [CAP_DATA- ID132 (P1 .020), CAP_DATA+ID132 (P1.020)].</t>
  </si>
  <si>
    <t>NonVolatileCompareDataOffset</t>
  </si>
  <si>
    <t>Non-Volatile Compare Data Offset
When using the Compare function, you can add the offset value to the data array value for comparison to the actual comparison data. 
See High Speed Compare Function (CMP) in the user manual.</t>
  </si>
  <si>
    <t>9-Motion_1</t>
  </si>
  <si>
    <t>VolatileCompareDataOffset</t>
  </si>
  <si>
    <t>Volatile Compare Data Offset
When using the Compare function, you can add the offset value to the data array value for comparison to the actual comparison data. 
See High Speed Compare Function (CMP) in the user manual.</t>
  </si>
  <si>
    <t>HomingCollisionTorqueLimit</t>
  </si>
  <si>
    <t xml:space="preserve">Homing Collision Torque Limit
This torque limit setting is only for torque limit homing mode ID297 (P5.004.X=9 or 10). When the homing command is triggered, the motor runs in one direction until it reaches the collision protector. After reaching the collision protector, the servo drive outputs a larger motor current/torque to counter the external force from the collision protector. The servo drive uses the motor current/torque and the Torque limit time to determine homing.
See Referencing the Torque Limit in the user manual. </t>
  </si>
  <si>
    <t xml:space="preserve">HomingCollisionTorqueLimitTime
</t>
  </si>
  <si>
    <t xml:space="preserve">Homing Collision Torque Limit Time
Torque limit time setting in torque limit homing mode  ID297 (P5.004.X=9 or 10). See ID 177 (P1.087).
See Referencing the Torque Limit in the user manual. </t>
  </si>
  <si>
    <t>DI10CaptureConfiguration</t>
  </si>
  <si>
    <t>DI10 Capture Configuration
X: Additional function of Capture
- Bit 0: ID394 (P5.109) will reset to the configured value when the DI10CaptureRemainedCount decreases to 0 in cycle mode.
-- 0=Disable cycle mode
-- 1=Enable cycle mode
- Bits 1…3: Reserved
Y:Reserved
Z: Reserved
U:Reserved</t>
  </si>
  <si>
    <t>DI10CaptureMaskRange</t>
  </si>
  <si>
    <r>
      <t xml:space="preserve">DI10 Capture Masking Range
</t>
    </r>
    <r>
      <rPr>
        <sz val="8"/>
        <rFont val="Calibri"/>
        <family val="2"/>
        <scheme val="minor"/>
      </rPr>
      <t>When Capture function is enabled and set to capture multiple points [ID394 (P5.109) &gt; 1], it will stop receiving the DI captured signal within this range once the data is captured. The DI captured signal received within this range will not be recognized. This function can be used to avoid noise being regarded as effective signals within non-capture range. Masking range is defined as follows:  [CAP_DATA-ID184 (P1 .104), CAP_DATA+ID184 (P1 .104)].</t>
    </r>
  </si>
  <si>
    <t>IndexingCoordinatesScale</t>
  </si>
  <si>
    <t xml:space="preserve">Indexing Coordinates Scale
This parameter is used to set the scale of the indexing coordinates, indexing command position, and indexing feedback position. If the setting value is too small, it may cause the error of indexing coordinates.
See Index Position Command in the user manual for the valid range equation for ID234 (P2.052). </t>
  </si>
  <si>
    <t>FollowingErrorCompensation</t>
  </si>
  <si>
    <r>
      <t xml:space="preserve">Follow Error Compensation Configuration 
</t>
    </r>
    <r>
      <rPr>
        <sz val="8"/>
        <rFont val="Calibri"/>
        <family val="2"/>
        <scheme val="minor"/>
      </rPr>
      <t>This function is active when ID143 (P1.036) S-curveSmoothTime is set to a value greater than 1.</t>
    </r>
    <r>
      <rPr>
        <sz val="8"/>
        <color theme="1"/>
        <rFont val="Calibri"/>
        <family val="2"/>
        <scheme val="minor"/>
      </rPr>
      <t xml:space="preserve">
High Bit (DCBA): Reserved
X: Following error compensation switch
0=Disable function
1=Enable function
Y: Reserved
Z: Digital input DI.STP triggering method
0=DI.STP is rising-edge triggered
1=DI.STP is level-triggered
U: Reserved</t>
    </r>
  </si>
  <si>
    <t>ResetAbsolutePosition</t>
  </si>
  <si>
    <t>Reset Absolute Position 
Set to 1 to reset the absolute position to 0. The Reset function is enabled when ID193 (P2.008) SpecialParameterWriteIn is set to 271 and ID242 (P2.069.X) is 1 (absolute system).</t>
  </si>
  <si>
    <t>ECamConfiguration</t>
  </si>
  <si>
    <t>E-CAM Configuration
See E-Cam Alignment Operation Setting in the user manual.
YX: Range of the filter (0…95%)
00=Filter is disabled
01…5F=Filter is enabled when |Error| &lt;= (1…YX)%
UZ: Maximum allowable correction rate (0…100%)
Maximum allowable correction &lt;= [ID340 (P5.048)] / [ID371 (P5.083)]*UZ%
BA: PR number to store pulse error (PR#0...PR#99)
0=Pulse error will not stores
1…99=PR number to store pulse error
DC: Masking range setting (0…95%)
Masking range &gt;= [ID340 (P5.048)]/[ID371 (P5.083)]* DC%</t>
  </si>
  <si>
    <t>ECamDIDelayTimeCompensation</t>
  </si>
  <si>
    <t>E-CAM DI Delay Time Compensation
This parameter can offset the alignment target to resolve DI delay and sensor delay. 
ID246 (P2.074) = ID194 (P2.009) DIDebounceTime + sensor’s delay time
See E-Cam Alignment Settings in the user manual.</t>
  </si>
  <si>
    <t>ECamAlignementTargetPosition</t>
  </si>
  <si>
    <t>E-CAM Alignment Target Position
Set the alignment target position for E-Cam alignment (master axis pulse).
See E-Cam Alignment in the user manual.
0…[ID372 (P5.084)] /  [ID371 (P5.083)]-1</t>
  </si>
  <si>
    <t>ECamControlConfiguration</t>
  </si>
  <si>
    <t>E-CAM Control Configuration
See E-Cam Alignment Control Switch in the user manual.
X: E-cam alignment control 
Bit0:Enable/Disable alignment 
0=Enable
1=Disable
Bit1: Trigger PR immediately 
0=Disable
1=Enable
Bit2: Position of the mark
0=If the mark is on the master axis, the position of the mark is not affected when aligning.
1=If the mark is on the slave axis, the position of the mark is affected when aligning. 
Bit3: Reserved
Y:Filter intensity
0=Disable
1…F=2˄(setting value)
UZ: Alignment forward direction allowable rate (0…100%)
0=Backward alignment
30=Forward 30%; backward 70%
50=Alignment with the shortest distance
80=Forward 80%; backward 20% 
100=Forward alignment</t>
  </si>
  <si>
    <t>ECamDOCamArea2RisingEdgeAngle</t>
  </si>
  <si>
    <t>E-Cam DO.CAM_Area2 Rising Edge Angle
See Digital Output CAM_Area Settings in the user manual.
1. ID249 (P2.078)&gt;=ID250 (P2.079): DO.CAM_AREA2 (0x1A) is on when the master axis position angle is bigger than ID250 (P2.079) but not bigger than ID249 (P2.078).
2.ID249 (P2.078)&lt;ID250 (P2.079): DO.CAM_AREA2 (0x1A) is on when the master axis position angle is bigger than ID249 (P2.078) but not bigger than ID250 (P2.079.</t>
  </si>
  <si>
    <t>ECamDOCamArea2FallingEdgeAngle</t>
  </si>
  <si>
    <t>E-Cam DO.CAM_Area2 Falling Edge Angle
See Digital Output CAM_Area Settings in the user manual.
1. ID249 (P2.078)&gt;=ID250 (P2.079): DO.CAM_AREA2 (0x1A) is on when the master axis position angle is bigger than P2.079 but not bigger than ID249 (P2.078).
2.ID249 (P2.078)&lt;ID250 (P2.079): DO.CAM_AREA2 (0x1A) is on when the master axis position angle is bigger than ID249 (P2.078) but not bigger than ID250 (P2.079).</t>
  </si>
  <si>
    <t>AutoProtectionDecelTime</t>
  </si>
  <si>
    <t>Auto Protection Decel Time
The parameter setting is divided into D, C, B, A, U, Z, Y, X (hexadecimal), including:
1. Deceleration time when activating auto-protection function: OVF, SPL, SNL, PL, NL
2. Deceleration time of stop command: STP, PFQS
0…F is used for indexing the deceleration time of ID312 (P5.020)…ID327 (P5.035). For example: If X is set to A, then the deceleration time of PL is determined by ID322 (P5.030).
Range: 0…F
D: Function DI.STP  (0x46)
C: Function DI.PFQS (0x47)
B: Reserved
A: Function DO.OVF (0x12)
U: Function DO.SNL (0x13)
Z: Function DO.SPL (0x14)
Y: Function DI.NL (0x22)
X: Function DI.PL (0x23)</t>
  </si>
  <si>
    <t>HomingMode</t>
  </si>
  <si>
    <r>
      <t xml:space="preserve">Homing Mode
</t>
    </r>
    <r>
      <rPr>
        <sz val="8"/>
        <rFont val="Calibri"/>
        <family val="2"/>
        <scheme val="minor"/>
      </rPr>
      <t>Together, the X (homing mode), Y (Z pulse setting), and Z (limit setting) values determine how the homing function operates.</t>
    </r>
    <r>
      <rPr>
        <sz val="8"/>
        <color theme="1"/>
        <rFont val="Calibri"/>
        <family val="2"/>
        <scheme val="minor"/>
      </rPr>
      <t xml:space="preserve">
</t>
    </r>
    <r>
      <rPr>
        <sz val="8"/>
        <rFont val="Calibri"/>
        <family val="2"/>
        <scheme val="minor"/>
      </rPr>
      <t>See Setting Homing Mode ID297 (P5.004) in the user manual.</t>
    </r>
    <r>
      <rPr>
        <sz val="8"/>
        <color rgb="FF7030A0"/>
        <rFont val="Calibri"/>
        <family val="2"/>
        <scheme val="minor"/>
      </rPr>
      <t xml:space="preserve">
</t>
    </r>
    <r>
      <rPr>
        <sz val="8"/>
        <rFont val="Calibri"/>
        <family val="2"/>
        <scheme val="minor"/>
      </rPr>
      <t>X: Homing mode
0=Homing in forward direction and PL is homing origin
1=Homing in reverse direction and NL is homing origin
2=Homing in forward direction, ORG: Off→On is homing origin
3=Homing in reverse direction, ORG: On→Off is homing origin
4=Look for Z pulse in forward direction and use it as homing origin
5=Look for Z pulse in reverse direction and use it as homing origin
6=Homing in forward direction, ORG: On→Off is homing origin
7=Homing in reverse direction, ORG: Off→On is homing origin
8=Define current position as the origin
9=Look for the collision point in forward direction and use it as homing origin
A=Look for the collision point in reverse direction and use it as homing origin
Y: Z pulse setting
0=Return to Z pulse
1=Go forward to Z pulse
2=Do not look for Z pulse
Z: Limit setting
0=Show error when encounter limit
1=Reverse direction when encounter limit
W: Reserved</t>
    </r>
  </si>
  <si>
    <t>9-Motion_1
23-Homing Setting</t>
  </si>
  <si>
    <t>HomingSpeed</t>
  </si>
  <si>
    <t>Homing Velocity
The first speed setting of high speed homing.
See Origin and Speed Settings for Homing in the user manual.</t>
  </si>
  <si>
    <t>HomingCreepSpeed</t>
  </si>
  <si>
    <t>Homing Creep Velocity
The second speed setting of low speed homing.
See Origin and Speed Settings for Homing in the user manual.</t>
  </si>
  <si>
    <t>PRCmdTrigger</t>
  </si>
  <si>
    <t>PR Command Trigger
For example, set this value to 2 to start executing PR#2.
When reading ID300 (P5.007), if the command is incomplete, the drive reads the current command (1 … 99). If the command is completed, the drive reads the current command +10000. If the command is completed, DO.TPOS is on, and motor position reached, the drive reads the current command +20000.
Commands triggered by DI are also applicable.
0=Start homing
1…99=Execute the specified PR procedure (same as using DI:CRTG+POSn)
100…999=Reserved
1000=Execute stop command (same as DI.STOP)</t>
  </si>
  <si>
    <t>SoftTravelLimitPositive</t>
  </si>
  <si>
    <t>Soft Travel Limit Positive
If the motor rotates in the forward direction and its feedback position exceeds this value, A 283 [Software positive limit] fault occurs.</t>
  </si>
  <si>
    <t>9-Motion_1
16-Limit</t>
  </si>
  <si>
    <t>SoftTravelLimitNegative</t>
  </si>
  <si>
    <t>Soft Travel Limit Negative
If the motor rotates in the reverse direction and its feedback position exceeds this value, A 285 [Software negative limit] fault occurs.</t>
  </si>
  <si>
    <t>DataArraySize</t>
  </si>
  <si>
    <t>Data Array Size
Data size (N x 32 bits) means size N of data array.</t>
  </si>
  <si>
    <t>DataArrayRWAddress</t>
  </si>
  <si>
    <t>Data Array Read/Write Address
Specify the address in the data array when reading / writing data.
See Data Array in the user manual.</t>
  </si>
  <si>
    <t>DataArrayRWValue1</t>
  </si>
  <si>
    <t>Data Array Read/Write Value1
See Data Array in the user manual for detailed information on how reading and writing methods differ.</t>
  </si>
  <si>
    <t>DataArrayRWValue2</t>
  </si>
  <si>
    <t>Data Array Read/Write Value2
See Data Array in the user manual for detailed information on how reading and writing methods differ.</t>
  </si>
  <si>
    <t>PRCmd1_2_PowerLossConfiguration</t>
  </si>
  <si>
    <t>PR CMD#1#2 Power Loss Retention Configuration
This parameter allows users to write data to target continuously via communication.
X: PR CMD#1 setting
0=Non-volatile
1=Volatile
Y: PR CMD#2 setting
0=Non-volatile
1=Volatile
UZ: Reserved</t>
  </si>
  <si>
    <t>FeedbackPosition</t>
  </si>
  <si>
    <t>Feedback Position
Read: Feedback position of the motor encoder, which is the monitoring variable 000 (00h) + offset value.
Write: Any value can be written into the parameter and will neither change monitoring variable 000 (00h) nor affect the positioning coordinate system. It is only for observation when adjusting the offset value.</t>
  </si>
  <si>
    <t>AuxEncoderPosition</t>
  </si>
  <si>
    <t>Auxiliary Encoder Position
Pulse counts of the auxiliary encoder.</t>
  </si>
  <si>
    <t>PulseCmdPosition</t>
  </si>
  <si>
    <t>Pulse Command Position
Pulse counts of the pulse command.</t>
  </si>
  <si>
    <t>ECamCurveScale</t>
  </si>
  <si>
    <t>E-Cam Curve Scale
This parameter is used to magnify / demagnify the E-Cam table without changing its setting value. 
Example: The data in the table is 0, 10, 20, 30, 40, 20, magnification x 2.000000 equals the data: 0, 20, 40, 60, 80, 40, magnification x 1.000000.
Enable the operation of E-Cam with the same pulse frequency of the master axis. Magnify the magnification will enlarge the route of E-Cam operation and the speed will be magnified as well.
This parameter can be set at any time, but the time at which it becomes effective is determined by ID376 (P5.088.X) [Bit2].</t>
  </si>
  <si>
    <t>9-Motion_1
24-E-CAM</t>
  </si>
  <si>
    <t>AccelDecelTime0</t>
  </si>
  <si>
    <t xml:space="preserve">Accel / Decel Time 0
The duration of acceleration and deceleration in PR mode, which is the length of time to accelerate from 0 to 3000 rpm or decelerate from 3000 to 0 rpm.
</t>
  </si>
  <si>
    <t>9-Motion_1
21-Speed Setting</t>
  </si>
  <si>
    <t>AccelDecelTime1</t>
  </si>
  <si>
    <t>Accel / Decel Time 1
The duration of acceleration and deceleration in PR mode, which is the length of time to accelerate from 0 to 3000 rpm or decelerate from 3000 to 0 rpm.</t>
  </si>
  <si>
    <t>AccelDecelTime2</t>
  </si>
  <si>
    <t>Accel / Decel Time 2
The duration of acceleration and deceleration in PR mode, which is the length of time to accelerate from 0 to 3000 rpm or decelerate from 3000 to 0 rpm.</t>
  </si>
  <si>
    <t>AccelDecelTime3</t>
  </si>
  <si>
    <t>Accel / Decel Time 3
The duration of acceleration and deceleration in PR mode, which is the length of time to accelerate from 0 to 3000 rpm or decelerate from 3000 to 0 rpm.</t>
  </si>
  <si>
    <t>AccelDecelTime4</t>
  </si>
  <si>
    <t>Accel / Decel Time 4
The duration of acceleration and deceleration in PR mode, which is the length of time to accelerate from 0 to 3000 rpm or decelerate from 3000 to 0 rpm.</t>
  </si>
  <si>
    <t>AccelDecelTime5</t>
  </si>
  <si>
    <t>Accel / Decel Time 5
The duration of acceleration and deceleration in PR mode, which is the length of time to accelerate from 0 to 3000 rpm or decelerate from 3000 to 0 rpm.</t>
  </si>
  <si>
    <t>AccelDecelTime6</t>
  </si>
  <si>
    <t>Accel / Decel Time 6
The duration of acceleration and deceleration in PR mode, which is the length of time to accelerate from 0 to 3000 rpm or decelerate from 3000 to 0 rpm.</t>
  </si>
  <si>
    <t>AccelDecelTime7</t>
  </si>
  <si>
    <t xml:space="preserve">Accel / Decel Time 7
Sets the duration to accelerate or decelerate for PR mode. </t>
  </si>
  <si>
    <t>AccelDecelTime8</t>
  </si>
  <si>
    <t>Accel / Decel Time 8
The duration of acceleration and deceleration in PR mode, which is the length of time to accelerate from 0 to 3000 rpm or decelerate from 3000 to 0 rpm.</t>
  </si>
  <si>
    <t>AccelDecelTime9</t>
  </si>
  <si>
    <t>Accel / Decel Time 9
The duration of acceleration and deceleration in PR mode, which is the length of time to accelerate from 0 to 3000 rpm or decelerate from 3000 to 0 rpm.</t>
  </si>
  <si>
    <t>AccelDecelTime10</t>
  </si>
  <si>
    <t>Accel / Decel Time 10
The duration of acceleration and deceleration in PR mode, which is the length of time to accelerate from 0 to 3000 rpm or decelerate from 3000 to 0 rpm.</t>
  </si>
  <si>
    <t>AccelDecelTime11</t>
  </si>
  <si>
    <t>Accel / Decel Time 11
The duration of acceleration and deceleration in PR mode, which is the length of time to accelerate from 0 to 3000 rpm or decelerate from 3000 to 0 rpm.</t>
  </si>
  <si>
    <t>AccelDecelTime12</t>
  </si>
  <si>
    <t>Accel / Decel Time 12
The duration of acceleration and deceleration in PR mode, which is the length of time to accelerate from 0 to 3000 rpm or decelerate from 3000 to 0 rpm.</t>
  </si>
  <si>
    <t>AccelDecelTime13</t>
  </si>
  <si>
    <t>Accel / Decel Time 13
The duration of acceleration and deceleration in PR mode, which is the length of time to accelerate from 0 to 3000 rpm or decelerate from 3000 to 0 rpm.</t>
  </si>
  <si>
    <t>AccelDecelTime14</t>
  </si>
  <si>
    <r>
      <t xml:space="preserve">Accel / Decel Time 14
The duration of acceleration and deceleration in PR mode, which is the length of time to accelerate from 0 to 3000 rpm or decelerate from 3000 to 0 rpm.
</t>
    </r>
    <r>
      <rPr>
        <sz val="8"/>
        <rFont val="Calibri"/>
        <family val="2"/>
        <scheme val="minor"/>
      </rPr>
      <t>The default value of this parameter is smaller (short deceleration time), and it is used for deceleration time setting of auto protection.</t>
    </r>
  </si>
  <si>
    <t>AccelDecelTime15</t>
  </si>
  <si>
    <r>
      <t xml:space="preserve">Accel / Decel Time 15
</t>
    </r>
    <r>
      <rPr>
        <sz val="8"/>
        <rFont val="Calibri"/>
        <family val="2"/>
        <scheme val="minor"/>
      </rPr>
      <t>The duration of acceleration and deceleration in PR mode, which is the length of time to accelerate from 0 to 3000 rpm or decelerate from 3000 to 0 rpm.
The default value of this parameter is smaller (short deceleration time), and it is used for deceleration time setting of auto protection.</t>
    </r>
  </si>
  <si>
    <t>DI9CaptureStartAddress</t>
  </si>
  <si>
    <t>DI9 CAPTURE Start Address 
The start address of the data array to store CAPTURE data. Only writable when CAPTURE stops. See ID331 (P5.039).</t>
  </si>
  <si>
    <t>DI9CaptureAxisPosition</t>
  </si>
  <si>
    <t>DI9 CAPTURE Axis Position
Displays the axis position of CAPTURE pulse source.Only writable when CAPTURE stops. See ID331 (P5.039). If the source is the main encoder, this parameter is write-protected and the CAPTURE axis position is the feedback position of the motor (monitoring variable 00h).</t>
  </si>
  <si>
    <t>DI9CaptureRemainedCount</t>
  </si>
  <si>
    <t>DI9 CAPTURE Remained Count
When CAPTURE stops, it indicates the number of data expected to be captured (readable and writable).
When CAPTURE activates, it indicates the remaining number of data that has not been captured (read-only). Each time it captures one data, this value decreases by 1 until the value is 0, indicating that capturing is completed.</t>
  </si>
  <si>
    <t>DI9CaptureControl</t>
  </si>
  <si>
    <t>DI9 CAPTURE Control
See High Speed Capture Function (CAP) in the user manual.
X: Capture Setting (set 1 to enable for each bit function)
Bit0=Activate capture. Bit is cleared when capture completes.
Bit1=After capturing first data, reset first data to ID368 (P5.076).
Bit2=After capturing first data, activate Compare function. Not valid when Compare is already activated.
Bit3=Execute PR#50 when finishing Capture.
Y: Axis source of Capture
0=Capture is not working
1=Source is auxiliary feedback (AUX)
2=Source is pulse command (Terminal Block Input)
3=Source is main encoder (MFB)
When ID351 (P5.059).Y is 0 (the axis source of Compare is the Capture axis), the ID331 (P5.039).Y (the axis source of Capture) cannot be changed.
Z: Triggering logic
0=Normally open (NO)
1=Normally closed (NC)
U: Trigger minimum interval in ms</t>
  </si>
  <si>
    <t>PositionCompletedDelay0</t>
  </si>
  <si>
    <t>Position Completed Delay 0
Set the delay time after position is completed for PR mode.</t>
  </si>
  <si>
    <t>PositionCompletedDelay1</t>
  </si>
  <si>
    <t>Position Completed Delay 1
Set the delay time after position is completed for PR mode.</t>
  </si>
  <si>
    <t>PositionCompletedDelay2</t>
  </si>
  <si>
    <t>Position Completed Delay 2
Set the delay time after position is completed for PR mode.</t>
  </si>
  <si>
    <t>PositionCompletedDelay3</t>
  </si>
  <si>
    <t>Position Completed Delay 3
Set the delay time after position is completed for PR mode.</t>
  </si>
  <si>
    <t>PositionCompletedDelay4</t>
  </si>
  <si>
    <t>Position Completed Delay 4
Set the delay time after position is completed for PR mode.</t>
  </si>
  <si>
    <t>PositionCompletedDelay5</t>
  </si>
  <si>
    <t>Position Completed Delay 5
Set the delay time after position is completed for PR mode.</t>
  </si>
  <si>
    <t>PositionCompletedDelay6</t>
  </si>
  <si>
    <t>Position Completed Delay 6
Set the delay time after position is completed for PR mode.</t>
  </si>
  <si>
    <t>PositionCompletedDelay7</t>
  </si>
  <si>
    <t>Position Completed Delay 7
Set the delay time after position is completed for PR mode.</t>
  </si>
  <si>
    <t>PositionCompletedDelay8</t>
  </si>
  <si>
    <t>Position Completed Delay 8
Set the delay time after position is completed for PR mode.</t>
  </si>
  <si>
    <t>PositionCompletedDelay9</t>
  </si>
  <si>
    <t>Position Completed Delay 9
Set the delay time after position is completed for PR mode.</t>
  </si>
  <si>
    <t>PositionCompletedDelay10</t>
  </si>
  <si>
    <t>Position Completed Delay 10
Set the delay time after position is completed for PR mode.</t>
  </si>
  <si>
    <t>PositionCompletedDelay11</t>
  </si>
  <si>
    <t>Position Completed Delay 11
Set the delay time after position is completed for PR mode.</t>
  </si>
  <si>
    <t>PositionCompletedDelay12</t>
  </si>
  <si>
    <t>Position Completed Delay 12
Set the delay time after position is completed for PR mode.</t>
  </si>
  <si>
    <t>PositionCompletedDelay13</t>
  </si>
  <si>
    <t>Position Completed Delay 13
Set the delay time after position is completed for PR mode.</t>
  </si>
  <si>
    <t>PositionCompletedDelay14</t>
  </si>
  <si>
    <t>Position Completed Delay 14
Set the delay time after position is completed for PR mode.</t>
  </si>
  <si>
    <t>PositionCompletedDelay15</t>
  </si>
  <si>
    <t>Position Completed Delay 15
Set the delay time after position is completed for PR mode.</t>
  </si>
  <si>
    <t>CompareStartAddress</t>
  </si>
  <si>
    <t>COMPARE Start Address
The start address of data array to store COMPARE data. Only writable when COMPARE stops. See ID351 (P5.059).</t>
  </si>
  <si>
    <t>9-Motion_1
26-Compare</t>
  </si>
  <si>
    <t>CompareAxisPosition</t>
  </si>
  <si>
    <r>
      <t>COMPARE Axis Position
Displays the axis position of the COMPARE pulse source. Writable only when COMPARE stops, but write-protected when ID351(P5.059).Y is 0 or 3 (the source of Compare axis is the Capture axis or the main encoder). 
When ID351(P5.059).Y is 3, the pulse resolution is determine</t>
    </r>
    <r>
      <rPr>
        <sz val="8"/>
        <rFont val="Calibri"/>
        <family val="2"/>
        <scheme val="minor"/>
      </rPr>
      <t>d by ID153 (P1.046),</t>
    </r>
    <r>
      <rPr>
        <sz val="8"/>
        <color theme="1"/>
        <rFont val="Calibri"/>
        <family val="2"/>
        <scheme val="minor"/>
      </rPr>
      <t xml:space="preserve"> and this parameter is set to the feedback position of the motor (monitoring variable 00h). 
When the motor feedback position is redefined due to homing or Capture, it will be different from the parameter. In this case, set ID351(P5 - 059).Y to 0, and then set it to 3, to reset the parameter to the motor feedback position.</t>
    </r>
  </si>
  <si>
    <t>CompareRemainedCount</t>
  </si>
  <si>
    <t>COMPARE Remained Count
When COMPARE is not in operation, the parameter indicates the number of data expected to be
compared (readable and writable). When COMPARE is in operation, the parameter indicates the remaining number of data to be compared. Each time it compares one data, the value decreases by one until the value is 0, indicating that comparing is completed (read-only).</t>
  </si>
  <si>
    <t>CompareControl</t>
  </si>
  <si>
    <t>COMPARE Control
See High Speed Compare  Function (CMP) in the user manual.
X: Compare Setting (Set 1 to enable each bit function)
Bit0=Activate compare. Bit is cleared when compare completes.
Bit1=Cycle mode.  Does not stop.
Bit2=After comparing finishes, activate Capture. Not valid when Capture is already activated.
Bit3=Set Compare axis position ID349 (P5.057) to 0 once the last data is compared.
Y: Axis source of Compare
0=Source is the Capture axis
1=Source is the auxiliary encoder (AUX)
2=Source is the pulse command (terminal block input)
3=Source is the main encoder (MFB)
When ID351 (P5.059).Y is 0 (the axis source of Compare is the Capture axis), the ID331 (P5.039).Y (the axis source of Capture) cannot be changed.
Z: Triggering logic
0=Normally open (NO)
1=Normally closed (NC)
U: Trigger PR 
PR#45 is triggered when the last compare is completed (Set 1)
CBA: Duration of pulse output in ms</t>
  </si>
  <si>
    <t>Preset Velocity 0
Preset velocity for PR mode.</t>
  </si>
  <si>
    <t>Preset Velocity 1
Preset velocity for PR mode.</t>
  </si>
  <si>
    <t>Preset Velocity 2
Preset velocity for PR mode.</t>
  </si>
  <si>
    <t>Preset Velocity 3
Preset velocity for PR mode.</t>
  </si>
  <si>
    <t>Preset Velocity 4
Preset velocity for PR mode.</t>
  </si>
  <si>
    <t>Preset Velocity 5
Preset velocity for PR mode.</t>
  </si>
  <si>
    <t>Preset Velocity 6
Preset velocity for PR mode.</t>
  </si>
  <si>
    <t>Preset Velocity 7
Preset velocity for PR mode.</t>
  </si>
  <si>
    <t>Preset Velocity 8
Preset velocity for PR mode.</t>
  </si>
  <si>
    <t>Preset Velocity 9
Preset velocity for PR mode.</t>
  </si>
  <si>
    <t>Preset Velocity 10
Preset velocity for PR mode.</t>
  </si>
  <si>
    <t>Preset Velocity 11
Preset velocity for PR mode.</t>
  </si>
  <si>
    <t>Preset Velocity 12
Preset velocity for PR mode.</t>
  </si>
  <si>
    <t>Preset Velocity 13
Preset velocity for PR mode.</t>
  </si>
  <si>
    <t>Preset Velocity 14
Preset velocity for PR mode.</t>
  </si>
  <si>
    <t>Preset Velocity 15
Preset velocity for PR mode.</t>
  </si>
  <si>
    <t>DI9FirstCaptureResetPosition</t>
  </si>
  <si>
    <t>DI9 First Capture Reset Position
If position reset function is enabled [ID331 (P5.039.X) Bit1 = 1], after the first position data is captured, the servo will reset the coordiates of the first point, which is defined by this parameter.</t>
  </si>
  <si>
    <t>ECamStartAddress</t>
  </si>
  <si>
    <t>E-Cam Start Address
The start address of the data array to store E-Cam table data.This parameter can be set at any time, but is effective only at the moment when drive status changes from pre-engaged to engaged.</t>
  </si>
  <si>
    <t>ECamAreaNumber</t>
  </si>
  <si>
    <t>E-Cam Area Number
Indicates the E-Cam curve is divided into N areas, and the table should include N+1 data. Only writable when E-Cam stops. [See ID376 (P5 - 088.X) Bit0 = 0]. Its setting range must be smaller than or equal to ID303 (P5.010) minus ID369 (P5.081), and ID370 (P5.082) x ID372 (P5.084) must be smaller than or equal to 2147483647.</t>
  </si>
  <si>
    <t>ECamSlaveCycleNumberM</t>
  </si>
  <si>
    <t>E-CAM Slave Cycle Number M
When receiving pulse number defined by P5.084 from the master axis, E-Cam will rotate the cycle number defined by this value (One cycle of E-Cam = Rotate from 0°…360°). Only writable when E-Cam stops. [See ID376 (P5 - 088.X) Bit0 = 0].</t>
  </si>
  <si>
    <t>ECamMasterPulseNumberP</t>
  </si>
  <si>
    <t>E-CAM Master Pulse Number P
When receiving the pulse number defined by this parameter from the master axis, E-Cam will rotate the cycle number defined by P5.083 (One cycle of E-Cam = Rotate from 0°…360°). This parameter can be
modified at any time. Its setting range must be ID370 (P5 - 082) x ID371 (P5 - 083) smaller than or equal to ID 372 (P5.084), and ID370 (P5.082) x ID372 (P5.084) must be smaller than or equal to 2147483647.</t>
  </si>
  <si>
    <t>ECamEngagedAreaNumber</t>
  </si>
  <si>
    <t>E-CAM Engaged Area Number
The area number of E-Cam when E-Cam engaged (Area number in E-Cam table).</t>
  </si>
  <si>
    <t>ECamMasterAxisPosition</t>
  </si>
  <si>
    <t>E-CAM Master Axis Position
Position counter of the E-Cam Master. It increases when E-Cam operating. Only writable when E-Cam stops. [See ID376 (P5 - 088.X) Bit0 = 0].</t>
  </si>
  <si>
    <t>ECamLeadPulseBeforeEngaged</t>
  </si>
  <si>
    <t>E-CAM Lead Pulse Before Engaged
When the engaging condition of E-Cam ID376 (P5.088.Z) is met, the pulse number from the master axis must exceed the setting value of this parameter for the E-Cam to fully engage.</t>
  </si>
  <si>
    <t>ECamControl</t>
  </si>
  <si>
    <r>
      <t xml:space="preserve">Enable E-CAM Control
See E-Cam in the user manual.
See Detailed Definitions ID 376 (P5.088).
</t>
    </r>
    <r>
      <rPr>
        <sz val="8"/>
        <rFont val="Calibri"/>
        <family val="2"/>
        <scheme val="minor"/>
      </rPr>
      <t/>
    </r>
  </si>
  <si>
    <t>ECamMasterPositionToDisengage</t>
  </si>
  <si>
    <t>E-CAM Master Position to Disengage
When pulse number of the master axis reaches this value, the clutch will disengage based on the disengage timing setting ID376 (P5.088.U).</t>
  </si>
  <si>
    <t>ECamDOCamArea1RisingEdgeAngle</t>
  </si>
  <si>
    <t>E-CAM DO.CAM_Area1 Rising Edge Angle
See Digital Output CAM_Area Settings in the user manual. 
1. ID378 (P5.090)&gt;=ID379 (P5.091): DO.CAM_AREA1 (0x18) is on when the master axis position angle is bigger than ID379 (P5.091) but not bigger than ID378 (P5.090).
2.P5.090&lt;ID379 (P5.091): DO.CAM_AREA1 (0x18) is on when the master axis position angle is bigger than ID378 (P5.090) but not bigger than ID379 (P5.091).</t>
  </si>
  <si>
    <t>ECamDOCamArea1FallingEdgeAngle</t>
  </si>
  <si>
    <t>E-CAM DO.CAM_Area1 Falling Edge Angle
See Digital Output CAM_Area Settings in the user manual. 
1. ID378 (P5.090)&gt;=ID379 (P5.091): DO.COM is on when the master axis position angle is bigger than P5.091 but not bigger than ID378 (P5.090).
2.ID378 (P5.090)&lt;ID379 (P5.091): DO.COM is on when the master axis position angle is bigger than ID378 (P5.090) but not bigger than ID379 (P5.091).</t>
  </si>
  <si>
    <t>ECamSkippedMasterPulses</t>
  </si>
  <si>
    <t>E-CAM Skipped Master Position Pulses before Re-Engage
This parameter goes with the selection of ID376 (P5.088.U = 4) E-Cam disengages if moving distance is exceeded: After disengaging, it enters pre-engaged status.
This parameter determines the lead pulse. The pulse number from the master axis must exceed this value for the E-Cam to engage again.</t>
  </si>
  <si>
    <t>MacroCmdParameter4</t>
  </si>
  <si>
    <t>Macro Command Parameter 4
Before issuing the macro command, the relevant parameters #4 must be set in advance. The function of the parameter is determined by the macro command. Not every macro command has to set this parameter.</t>
  </si>
  <si>
    <t>MacroCmdParameter3</t>
  </si>
  <si>
    <t>Macro Command Parameter 3
Before issuing the macro command, the relevant parameters #3 must be set in advance. The function of the parameter is determined by the macro command. Not every macro command has to set this parameter.</t>
  </si>
  <si>
    <t>MacroCmdParameter2</t>
  </si>
  <si>
    <t>Macro Command Parameter 2
Before issuing the macro command, the relevant parameters #2 must be set in advance. The function of the parameter is determined by the macro command. Not every macro command has to set this parameter.</t>
  </si>
  <si>
    <t>MacroCmdParameter1</t>
  </si>
  <si>
    <t>Macro Command Parameter 1
Before issuing the macro command, the relevant parameters #1 must be set in advance. The function of the parameter is determined by the macro command. Not every macro command has to set this parameter.</t>
  </si>
  <si>
    <t>MacroCmdIssue&amp;Result</t>
  </si>
  <si>
    <t>Macro Command Issue / Result
See Macro Commands in the user manual for details on macro commands, success and failure codes. 
Write data(0x0ZYX, U=0) to issue the macro command.
Read data(0xUZYX) to examine the result of the macro command.
Example: Write 0x0001, return 0x1001 if success and return 0xFxxx(depending on the command description) if fail . If the issued command  is not supported, failure code 0xF001 will be returned.</t>
  </si>
  <si>
    <t>EventRisingEdgePRNumber</t>
  </si>
  <si>
    <t>PR Command Number at Event Rising Edge
X:PR triggered when DI.EV1 (0x39) has a zero-to-one transition
0=No action
1…D=Execute PR#51…63
Y: PR triggered when DI.EV2 (0x3A) has a zero-to-one transition
0=No action
1…D=Execute PR#51…63
Z: PR triggered when DI.EV3 (0x3B) has a zero-to-one transition
0=No action
1…D=Execute PR#51…63
U: PR triggered when DI.EV4 (0x3C) has a zero-to-one transition
0=No action
1…D=Execute PR#51…63</t>
  </si>
  <si>
    <t>9-Motion_1
22-Event Setting</t>
  </si>
  <si>
    <t>EventFallingEdgePRNumber</t>
  </si>
  <si>
    <t>PR Command Number at Event Falling Edge
X:PR triggered when DI.EV1 (0x39) has a one-to-zero transition
0=No action
1…D=Execute PR#51…63
Y: PR triggered when DI.EV2 (0x3A) has a one-to-zero transition
0=No action
1…D=Execute PR#51…63
Z: PR triggered when DI.EV3 (0x3B) has a one-to-zero transition
0=No action
1…D=Execute PR#51…63
U: PR triggered when DI.EV4 (0x3C) has a one-to-zero transition
0=No action
1…D=Execute PR#51…63</t>
  </si>
  <si>
    <t>DataArrayRWValue3</t>
  </si>
  <si>
    <t>Data Array Read/Write Value3
See Data Array in the user manual for detailed information on how reading and writing methods differ.</t>
  </si>
  <si>
    <t>DataArrayRWValue4</t>
  </si>
  <si>
    <t>Data Array Read/Write Value4
See Data Array in the user manual for detailed information on how reading and writing methods differ.</t>
  </si>
  <si>
    <t>DataArrayRWValue5</t>
  </si>
  <si>
    <t>Data Array Read/Write Value5
See Data Array in the user manual for detailed information on how reading and writing methods differ.</t>
  </si>
  <si>
    <t>DataArrayRWValue6</t>
  </si>
  <si>
    <t>Data Array Read/Write Value6
See Data Array in the user manual for detailed information on how reading and writing methods differ.</t>
  </si>
  <si>
    <t>DI10CaptureStartAddress</t>
  </si>
  <si>
    <r>
      <rPr>
        <sz val="8"/>
        <rFont val="Calibri"/>
        <family val="2"/>
        <scheme val="minor"/>
      </rPr>
      <t>DI10 CAPTURE Start Address</t>
    </r>
    <r>
      <rPr>
        <sz val="8"/>
        <color rgb="FFFF0000"/>
        <rFont val="Calibri"/>
        <family val="2"/>
        <scheme val="minor"/>
      </rPr>
      <t xml:space="preserve">
</t>
    </r>
    <r>
      <rPr>
        <sz val="8"/>
        <rFont val="Calibri"/>
        <family val="2"/>
        <scheme val="minor"/>
      </rPr>
      <t>The start address of the data array to store DI10 CAPTURE data. Only writable when DI10 CAPTURE stops.  See ID395 (P5.110).</t>
    </r>
  </si>
  <si>
    <t>DI10CaptureAxisPosition</t>
  </si>
  <si>
    <r>
      <t>DI10 CAPTURE Axis Position</t>
    </r>
    <r>
      <rPr>
        <sz val="8"/>
        <color rgb="FFFF0000"/>
        <rFont val="Calibri"/>
        <family val="2"/>
        <scheme val="minor"/>
      </rPr>
      <t xml:space="preserve">
</t>
    </r>
    <r>
      <rPr>
        <sz val="8"/>
        <rFont val="Calibri"/>
        <family val="2"/>
        <scheme val="minor"/>
      </rPr>
      <t>Displays the axis position of DI10 CAPTURE pulse source.Only writable when DI10 CAPTURE stops.  See ID395 (P5.110).If the source is the main encoder, this parameter is write-protected and the DI10 CAPTURE axis position is the feedback position of the motor (monitoring variable 00h).</t>
    </r>
  </si>
  <si>
    <t>DI10CaptureRemainedCount</t>
  </si>
  <si>
    <r>
      <rPr>
        <sz val="8"/>
        <rFont val="Calibri"/>
        <family val="2"/>
        <scheme val="minor"/>
      </rPr>
      <t>DI10 CAPTURE Remained Count</t>
    </r>
    <r>
      <rPr>
        <sz val="8"/>
        <color rgb="FFFF0000"/>
        <rFont val="Calibri"/>
        <family val="2"/>
        <scheme val="minor"/>
      </rPr>
      <t xml:space="preserve">
</t>
    </r>
    <r>
      <rPr>
        <sz val="8"/>
        <rFont val="Calibri"/>
        <family val="2"/>
        <scheme val="minor"/>
      </rPr>
      <t>When DI 10 CAPTURE stops, it indicates the number of data expected to be captured (readable and writable).
When DI10 CAPTURE activates, it indicates the remaining number of data that has not been captured (read-only). Each time it captures one data, this value decrements by 1 until the value is 0, indicating that capturing is completed.</t>
    </r>
  </si>
  <si>
    <t>DI10CaptureControl</t>
  </si>
  <si>
    <t>DI10 CAPTURE Control
See High Speed Capture Function (CAP) in the user manual.
X: Capture Setting (set 1 to enable for each bit function)
Bit0=Activate capture. Bit is cleared when capture completes.
Bit1=After capturing first data, reset first data to ID396 (P5.111).
Bit2=Reserved.
Bit3=Execute PR#50 when finishing Capture.
Y: Axis source of Capture
0=Capture is not working
1=Source is the auxiliary feedback (AUX)
2=Source is the pulse command (terminal block input)
3=Source is the main encoder (MFB)
Z: Triggering logic
0=Normally open (NO)
1=Normally closed (NC)
U: Trigger minimum interval in ms</t>
  </si>
  <si>
    <t>DI10FirstCaptureResetPosition</t>
  </si>
  <si>
    <r>
      <t>DI10 First Capture Reset Position</t>
    </r>
    <r>
      <rPr>
        <sz val="8"/>
        <color rgb="FFFF0000"/>
        <rFont val="Calibri"/>
        <family val="2"/>
        <scheme val="minor"/>
      </rPr>
      <t xml:space="preserve">
</t>
    </r>
    <r>
      <rPr>
        <sz val="8"/>
        <rFont val="Calibri"/>
        <family val="2"/>
        <scheme val="minor"/>
      </rPr>
      <t>If the position reset function is enabled [ID395 (P5.110.X) Bit1 = 1], after the first position data is captured, the servo will reset the coordinates of the first point, which is defined by this parameter.</t>
    </r>
  </si>
  <si>
    <t>Homing Setting
Defines the homing operation, including path type (YX), acceleration (Z), deceleration (U and A), delay time (B) and whether to execute homing on power up (D).
See Homing in the user manual.
YX: Command  type
0x0=Stop: Homing complete and stop
0x1…0x63=Auto: Homing complete and execute the specific command (#1…#99)
Z: ACC, select 0…F for acceleration time
0…F=corresponds to ID312 (P5.020)…ID327 (P5.035)
U: DEC1, select 0…F for homing deceleration time
0…F=corresponds to ID312 (P5.020)…ID327 (P5.035)
A: DEC2, select 0…F for homing return/creep deceleration time
0…F=corresponds to ID312 (P5.020)…ID327 (P5.035)
B: DLY, select 0…F for delay time
0…F=corresponds to ID332 (P5.040)…ID347 (P5.055)
C: Reserved
D: BOOT setting
0=Do not execute homing when the drive powers up
1=Execute homing automatically when the drive powers up</t>
  </si>
  <si>
    <t>10-Motion_2
23-Homing Setting</t>
  </si>
  <si>
    <t>Home Position
Defines the origin</t>
  </si>
  <si>
    <t>PR Command1 Setting
See PR Command Setting and Data Definitions in the user manual for details on these settings and see the Motion Control in PR Mode chapter.
See PRCmd#Setting on the Detailed Definitions tab</t>
  </si>
  <si>
    <t>10-Motion_2</t>
  </si>
  <si>
    <t>PR Command1 Data
See PR Command Setting and Data Definitions in the user manual for details on these settings and see the Motion Control in PR Mode chapter.
Defines the target position of ID399 (P6.002) or the target command for the JUMP command.</t>
  </si>
  <si>
    <t>PR Command2 Setting
Please refer to the description of ID399 (P6.002).</t>
  </si>
  <si>
    <t>PR Command2 Data
Please refer to the description of ID400 (P6.003).</t>
  </si>
  <si>
    <t>PR Command3 Setting
Please refer to the description of ID399 (P6.002).</t>
  </si>
  <si>
    <t>PR Command3 Data
Please refer to the description of ID400 (P6.003).</t>
  </si>
  <si>
    <t>PR Command4 Setting
Please refer to the description of ID399 (P6.002).</t>
  </si>
  <si>
    <t>PR Command4 Data
Please refer to the description of ID400 (P6.003).</t>
  </si>
  <si>
    <t>PR Command5 Setting
Please refer to the description of ID399 (P6.002).</t>
  </si>
  <si>
    <t>PR Command5 Data
Please refer to the description of ID400 (P6.003).</t>
  </si>
  <si>
    <t>PR Command6 Setting
Please refer to the description of ID399 (P6.002).</t>
  </si>
  <si>
    <t>PR Command6 Data
Please refer to the description of ID400 (P6.003).</t>
  </si>
  <si>
    <t>PR Command7 Setting
Please refer to the description of ID399 (P6.002).</t>
  </si>
  <si>
    <t>PR Command7 Data
Please refer to the description of ID400 (P6.003).</t>
  </si>
  <si>
    <t>PR Command8 Setting
Please refer to the description of ID399 (P6.002).</t>
  </si>
  <si>
    <t>PR Command8 Data
Please refer to the description of ID400 (P6.003).</t>
  </si>
  <si>
    <t>PR Command9 Setting
Please refer to the description of ID399 (P6.002).</t>
  </si>
  <si>
    <t>PR Command9 Data
Please refer to the description of ID400 (P6.003).</t>
  </si>
  <si>
    <t>PR Command10 Setting
Please refer to the description of ID399 (P6.002).</t>
  </si>
  <si>
    <t>PR Command10 Data
Please refer to the description of ID400 (P6.003).</t>
  </si>
  <si>
    <t>PR Command11 Setting
Please refer to the description of ID399 (P6.002).</t>
  </si>
  <si>
    <t>PR Command11 Data
Please refer to the description of ID400 (P6.003).</t>
  </si>
  <si>
    <t>PR Command12 Setting
Please refer to the description of ID399 (P6.002).</t>
  </si>
  <si>
    <t>PR Command12 Data
Please refer to the description of ID400 (P6.003).</t>
  </si>
  <si>
    <t>PR Command13 Setting
Please refer to the description of ID399 (P6.002).</t>
  </si>
  <si>
    <t>PR Command13 Data
Please refer to the description of ID400 (P6.003).</t>
  </si>
  <si>
    <t>PR Command14 Setting
Please refer to the description of ID399 (P6.002).</t>
  </si>
  <si>
    <t>PR Command14 Data
Please refer to the description of ID400 (P6.003).</t>
  </si>
  <si>
    <t>PR Command15 Setting
Please refer to the description of ID399 (P6.002).</t>
  </si>
  <si>
    <t>PR Command15 Data
Please refer to the description of ID400 (P6.003).</t>
  </si>
  <si>
    <t>PR Command16 Setting
Please refer to the description of ID399 (P6.002).</t>
  </si>
  <si>
    <t>PR Command16 Data
Please refer to the description of ID400 (P6.003).</t>
  </si>
  <si>
    <t>PR Command17 Setting
Please refer to the description of ID399 (P6.002).</t>
  </si>
  <si>
    <t>PR Command17 Data
Please refer to the description of ID400 (P6.003).</t>
  </si>
  <si>
    <t>PR Command18 Setting
Please refer to the description of ID399 (P6.002).</t>
  </si>
  <si>
    <t>PR Command18 Data
Please refer to the description of ID400 (P6.003).</t>
  </si>
  <si>
    <t>PR Command19 Setting
Please refer to the description of ID399 (P6.002).</t>
  </si>
  <si>
    <t>PR Command19 Data
Please refer to the description of ID400 (P6.003).</t>
  </si>
  <si>
    <t>PR Command20 Setting
Please refer to the description of ID399 (P6.002).</t>
  </si>
  <si>
    <t>PR Command20 Data
Please refer to the description of ID400 (P6.003).</t>
  </si>
  <si>
    <t>PR Command21 Setting
Please refer to the description of ID399 (P6.002).</t>
  </si>
  <si>
    <t>PR Command21 Data
Please refer to the description of ID400 (P6.003).</t>
  </si>
  <si>
    <t>PR Command22 Setting
Please refer to the description of ID399 (P6.002).</t>
  </si>
  <si>
    <t>PR Command22 Data
Please refer to the description of ID400 (P6.003).</t>
  </si>
  <si>
    <t>PR Command23 Setting
Please refer to the description of ID399 (P6.002).</t>
  </si>
  <si>
    <t>PR Command23 Data
Please refer to the description of ID400 (P6.003).</t>
  </si>
  <si>
    <t>PR Command24 Setting
Please refer to the description of ID399 (P6.002).</t>
  </si>
  <si>
    <t>PR Command24 Data
Please refer to the description of ID400 (P6.003).</t>
  </si>
  <si>
    <t>PR Command25 Setting
Please refer to the description of ID399 (P6.002).</t>
  </si>
  <si>
    <t>PR Command25 Data
Please refer to the description of ID400 (P6.003).</t>
  </si>
  <si>
    <t>PR Command26 Setting
Please refer to the description of ID399 (P6.002).</t>
  </si>
  <si>
    <t>PR Command26 Data
Please refer to the description of ID400 (P6.003).</t>
  </si>
  <si>
    <t>PR Command27 Setting
Please refer to the description of ID399 (P6.002).</t>
  </si>
  <si>
    <t>PR Command27 Data
Please refer to the description of ID400 (P6.003).</t>
  </si>
  <si>
    <t>PR Command28 Setting
Please refer to the description of ID399 (P6.002).</t>
  </si>
  <si>
    <t>PR Command28 Data
Please refer to the description of ID400 (P6.003).</t>
  </si>
  <si>
    <t>PR Command29 Setting
Please refer to the description of ID399 (P6.002).</t>
  </si>
  <si>
    <t>PR Command29 Data
Please refer to the description of ID400 (P6.003).</t>
  </si>
  <si>
    <t>PR Command30 Setting
Please refer to the description of ID399 (P6.002).</t>
  </si>
  <si>
    <t>PR Command30 Data
Please refer to the description of ID400 (P6.003).</t>
  </si>
  <si>
    <t>PR Command31 Setting
Please refer to the description of ID399 (P6.002).</t>
  </si>
  <si>
    <t>PR Command31 Data
Please refer to the description of ID400 (P6.003).</t>
  </si>
  <si>
    <t>PR Command32 Setting
Please refer to the description of ID399 (P6.002).</t>
  </si>
  <si>
    <t>PR Command32 Data
Please refer to the description of ID400 (P6.003).</t>
  </si>
  <si>
    <t>PR Command33 Setting
Please refer to the description of ID399 (P6.002).</t>
  </si>
  <si>
    <t>PR Command33 Data
Please refer to the description of ID400 (P6.003).</t>
  </si>
  <si>
    <t>PR Command34 Setting
Please refer to the description of ID399 (P6.002).</t>
  </si>
  <si>
    <t>PR Command34 Data
Please refer to the description of ID400 (P6.003).</t>
  </si>
  <si>
    <t>PR Command35 Setting
Please refer to the description of ID399 (P6.002).</t>
  </si>
  <si>
    <t>PR Command35 Data
Please refer to the description of ID400 (P6.003).</t>
  </si>
  <si>
    <t>PR Command36 Setting
Please refer to the description of ID399 (P6.002).</t>
  </si>
  <si>
    <t>PR Command36 Data
Please refer to the description of ID400 (P6.003).</t>
  </si>
  <si>
    <t>PR Command37 Setting
Please refer to the description of ID399 (P6.002).</t>
  </si>
  <si>
    <t>PR Command37 Data
Please refer to the description of ID400 (P6.003).</t>
  </si>
  <si>
    <t>PR Command38 Setting
Please refer to the description of ID399 (P6.002).</t>
  </si>
  <si>
    <t>PR Command38 Data
Please refer to the description of ID400 (P6.003).</t>
  </si>
  <si>
    <t>PR Command39 Setting
Please refer to the description of ID399 (P6.002).</t>
  </si>
  <si>
    <t>PR Command39 Data
Please refer to the description of ID400 (P6.003).</t>
  </si>
  <si>
    <t>PR Command40 Setting
Please refer to the description of ID399 (P6.002).</t>
  </si>
  <si>
    <t>PR Command40 Data
Please refer to the description of ID400 (P6.003).</t>
  </si>
  <si>
    <t>PR Command41 Setting
Please refer to the description of ID399 (P6.002).</t>
  </si>
  <si>
    <t>PR Command41 Data
Please refer to the description of ID400 (P6.003).</t>
  </si>
  <si>
    <t>PR Command42 Setting
Please refer to the description of ID399 (P6.002).</t>
  </si>
  <si>
    <t>PR Command42 Data
Please refer to the description of ID400 (P6.003).</t>
  </si>
  <si>
    <t>PR Command43 Setting
Please refer to the description of ID399 (P6.002).</t>
  </si>
  <si>
    <t>PR Command43 Data
Please refer to the description of ID400 (P6.003).</t>
  </si>
  <si>
    <t>PR Command44 Setting
Please refer to the description of ID399 (P6.002).</t>
  </si>
  <si>
    <t>PR Command44 Data
Please refer to the description of ID400 (P6.003).</t>
  </si>
  <si>
    <t>PR Command45 Setting
Please refer to the description of ID399 (P6.002).</t>
  </si>
  <si>
    <t>PR Command45 Data
Please refer to the description of ID400 (P6.003).</t>
  </si>
  <si>
    <t>PR Command46 Setting
Please refer to the description of ID399 (P6.002).</t>
  </si>
  <si>
    <t>PR Command46 Data
Please refer to the description of ID400 (P6.003).</t>
  </si>
  <si>
    <t>PR Command47 Setting
Please refer to the description of ID399 (P6.002).</t>
  </si>
  <si>
    <t>PR Command47 Data
Please refer to the description of ID400 (P6.003).</t>
  </si>
  <si>
    <t>PR Command48 Setting
Please refer to the description of ID399 (P6.002).</t>
  </si>
  <si>
    <t>PR Command48 Data
Please refer to the description of ID400 (P6.003).</t>
  </si>
  <si>
    <t>PR Command49 Setting
Please refer to the description of ID399 (P6.002).</t>
  </si>
  <si>
    <t>PR Command49 Data
Please refer to the description of ID400 (P6.003).</t>
  </si>
  <si>
    <t>PR Command50 Setting
Please refer to the description of ID399 (P6.002).</t>
  </si>
  <si>
    <t>PR Command50 Data
Please refer to the description of ID400 (P6.003).</t>
  </si>
  <si>
    <t>PR Command51 Setting
Please refer to the description of ID399 (P6.002).</t>
  </si>
  <si>
    <t>10-Motion_2
22-Event Setting</t>
  </si>
  <si>
    <t>PR Command51 Data
Please refer to the description of ID400 (P6.003).</t>
  </si>
  <si>
    <t>PR Command52 Setting
Please refer to the description of ID399 (P6.002).</t>
  </si>
  <si>
    <t>PR Command52 Data
Please refer to the description of ID400 (P6.003).</t>
  </si>
  <si>
    <t>PR Command53 Setting
Please refer to the description of ID399 (P6.002).</t>
  </si>
  <si>
    <t>PR Command53 Data
Please refer to the description of ID400 (P6.003).</t>
  </si>
  <si>
    <t>PR Command54 Setting
Please refer to the description of ID399 (P6.002).</t>
  </si>
  <si>
    <t>PR Command54 Data
Please refer to the description of ID400 (P6.003).</t>
  </si>
  <si>
    <t>PR Command55 Setting
Please refer to the description of ID399 (P6.002).</t>
  </si>
  <si>
    <t>PR Command55 Data
Please refer to the description of ID400 (P6.003).</t>
  </si>
  <si>
    <t>PR Command56 Setting
Please refer to the description of ID399 (P6.002).</t>
  </si>
  <si>
    <t>PR Command56 Data
Please refer to the description of ID400 (P6.003).</t>
  </si>
  <si>
    <t>PR Command57 Setting
Please refer to the description of ID399 (P6.002).</t>
  </si>
  <si>
    <t>PR Command57 Data
Please refer to the description of ID400 (P6.003).</t>
  </si>
  <si>
    <t>PR Command58 Setting
Please refer to the description of ID399 (P6.002).</t>
  </si>
  <si>
    <t>PR Command58 Data
Please refer to the description of ID400 (P6.003).</t>
  </si>
  <si>
    <t>PR Command59 Setting
Please refer to the description of ID399 (P6.002).</t>
  </si>
  <si>
    <t>PR Command59 Data
Please refer to the description of ID400 (P6.003).</t>
  </si>
  <si>
    <t>PR Command60 Setting
Please refer to the description of ID399 (P6.002).</t>
  </si>
  <si>
    <t>PR Command60 Data
Please refer to the description of ID400 (P6.003).</t>
  </si>
  <si>
    <t>PR Command61 Setting
Please refer to the description of ID399 (P6.002).</t>
  </si>
  <si>
    <t>PR Command61 Data
Please refer to the description of ID400 (P6.003).</t>
  </si>
  <si>
    <t>PR Command62 Setting
Please refer to the description of ID399 (P6.002).</t>
  </si>
  <si>
    <t>PR Command62 Data
Please refer to the description of ID400 (P6.003).</t>
  </si>
  <si>
    <t>PR Command63 Setting
Please refer to the description of ID399 (P6.002).</t>
  </si>
  <si>
    <t>PR Command63 Data
Please refer to the description of ID400 (P6.003).</t>
  </si>
  <si>
    <t>PR Command64 Setting
Please refer to the description of ID399 (P6.002).</t>
  </si>
  <si>
    <t>PR Command64 Data
Please refer to the description of ID400 (P6.003).</t>
  </si>
  <si>
    <t>PR Command65 Setting
Please refer to the description of ID399 (P6.002).</t>
  </si>
  <si>
    <t>PR Command65 Data
Please refer to the description of ID400 (P6.003).</t>
  </si>
  <si>
    <t>PR Command66 Setting
Please refer to the description of ID399 (P6.002).</t>
  </si>
  <si>
    <t>PR Command66 Data
Please refer to the description of ID400 (P6.003).</t>
  </si>
  <si>
    <t>PR Command67 Setting
Please refer to the description of ID399 (P6.002).</t>
  </si>
  <si>
    <t>PR Command67 Data
Please refer to the description of ID400 (P6.003).</t>
  </si>
  <si>
    <t>PR Command68 Setting
Please refer to the description of ID399 (P6.002).</t>
  </si>
  <si>
    <t>PR Command68 Data
Please refer to the description of ID400 (P6.003).</t>
  </si>
  <si>
    <t>PR Command69 Setting
Please refer to the description of ID399 (P6.002).</t>
  </si>
  <si>
    <t>PR Command69 Data
Please refer to the description of ID400 (P6.003).</t>
  </si>
  <si>
    <t>PR Command70 Setting
Please refer to the description of ID399 (P6.002).</t>
  </si>
  <si>
    <t>PR Command70 Data
Please refer to the description of ID400 (P6.003).</t>
  </si>
  <si>
    <t>PR Command71 Setting
Please refer to the description of ID399 (P6.002).</t>
  </si>
  <si>
    <t>PR Command71 Data
Please refer to the description of ID400 (P6.003).</t>
  </si>
  <si>
    <t>PR Command72 Setting
Please refer to the description of ID399 (P6.002).</t>
  </si>
  <si>
    <t>PR Command72 Data
Please refer to the description of ID400 (P6.003).</t>
  </si>
  <si>
    <t>PR Command73 Setting
Please refer to the description of ID399 (P6.002).</t>
  </si>
  <si>
    <t>PR Command73 Data
Please refer to the description of ID400 (P6.003).</t>
  </si>
  <si>
    <t>PR Command74 Setting
Please refer to the description of ID399 (P6.002).</t>
  </si>
  <si>
    <t>PR Command74 Data
Please refer to the description of ID400 (P6.003).</t>
  </si>
  <si>
    <t>PR Command75 Setting
Please refer to the description of ID399 (P6.002).</t>
  </si>
  <si>
    <t>PR Command75 Data
Please refer to the description of ID400 (P6.003).</t>
  </si>
  <si>
    <t>PR Command76 Setting
Please refer to the description of ID399 (P6.002).</t>
  </si>
  <si>
    <t>PR Command76 Data
Please refer to the description of ID400 (P6.003).</t>
  </si>
  <si>
    <t>PR Command77 Setting
Please refer to the description of ID399 (P6.002).</t>
  </si>
  <si>
    <t>PR Command77 Data
Please refer to the description of ID400 (P6.003).</t>
  </si>
  <si>
    <t>PR Command78 Setting
Please refer to the description of ID399 (P6.002) .</t>
  </si>
  <si>
    <t>PR Command78 Data
Please refer to the description of ID400 (P6.003).</t>
  </si>
  <si>
    <t>PR Command79 Setting
Please refer to the description of ID399 (P6.002) .</t>
  </si>
  <si>
    <t>PR Command79 Data
Please refer to the description of ID400 (P6.003).</t>
  </si>
  <si>
    <t>PR Command80 Setting
Please refer to the description of ID399 (P6.002).</t>
  </si>
  <si>
    <t>PR Command80 Data
Please refer to the description of ID400 (P6.003).</t>
  </si>
  <si>
    <t>PR Command81 Setting
Please refer to the description of ID399 (P6.002).</t>
  </si>
  <si>
    <t>PR Command81 Data
Please refer to the description of ID400 (P6.003).</t>
  </si>
  <si>
    <t>PR Command82 Setting
Please refer to the description of ID399 (P6.002).</t>
  </si>
  <si>
    <t>PR Command82 Data
Please refer to the description of ID400 (P6.003).</t>
  </si>
  <si>
    <t>PR Command83 Setting
Please refer to the description of ID399 (P6.002).</t>
  </si>
  <si>
    <t>PR Command83 Data
Please refer to the description of ID400 (P6.003).</t>
  </si>
  <si>
    <t>PR Command84 Setting
Please refer to the description of ID399 (P6.002).</t>
  </si>
  <si>
    <t>PR Command84 Data
Please refer to the description of ID400 (P6.003).</t>
  </si>
  <si>
    <t>PR Command85 Setting
Please refer to the description of ID399 (P6.002).</t>
  </si>
  <si>
    <t>PR Command85 Data
Please refer to the description of ID400 (P6.003).</t>
  </si>
  <si>
    <t>PR Command86 Setting
Please refer to the description of ID399 (P6.002).</t>
  </si>
  <si>
    <t>PR Command86 Data
Please refer to the description of ID400 (P6.003).</t>
  </si>
  <si>
    <t>PR Command87 Setting
Please refer to the description of ID399 (P6.002).</t>
  </si>
  <si>
    <t>PR Command87 Data
Please refer to the description of ID400 (P6.003).</t>
  </si>
  <si>
    <t>PR Command88 Setting
Please refer to the description of ID399 (P6.002).</t>
  </si>
  <si>
    <t>PR Command88 Data
Please refer to the description of ID400 (P6.003).</t>
  </si>
  <si>
    <t>PR Command89 Setting
Please refer to the description of ID399 (P6.002).</t>
  </si>
  <si>
    <t>PR Command89 Data
Please refer to the description of ID400 (P6.003).</t>
  </si>
  <si>
    <t>PR Command90 Setting
Please refer to the description of ID399 (P6.002).</t>
  </si>
  <si>
    <t>PR Command90 Data
Please refer to the description of ID400 (P6.003).</t>
  </si>
  <si>
    <t>PR Command91 Setting
Please refer to the description of ID399 (P6.002).</t>
  </si>
  <si>
    <t>PR Command91 Data
Please refer to the description of ID400 (P6.003).</t>
  </si>
  <si>
    <t>PR Command92 Setting
Please refer to the description of ID399 (P6.002).</t>
  </si>
  <si>
    <t>PR Command92 Data
Please refer to the description of ID400 (P6.003).</t>
  </si>
  <si>
    <t>PR Command93 Setting
Please refer to the description of ID399 (P6.002).</t>
  </si>
  <si>
    <t>PR Command93 Data
Please refer to the description of ID400 (P6.003).</t>
  </si>
  <si>
    <t>PR Command94 Setting
Please refer to the description of ID399 (P6.002).</t>
  </si>
  <si>
    <t>PR Command94 Data
Please refer to the description of ID400 (P6.003).</t>
  </si>
  <si>
    <t>PR Command95 Setting
Please refer to the description of ID399 (P6.002).</t>
  </si>
  <si>
    <t>PR Command95 Data
Please refer to the description of ID400 (P6.003).</t>
  </si>
  <si>
    <t>PR Command96 Setting
Please refer to the description of ID399 (P6.002).</t>
  </si>
  <si>
    <t>PR Command96 Data
Please refer to the description of ID400 (P6.003).</t>
  </si>
  <si>
    <t>PR Command97 Setting
Please refer to the description of ID399 (P6.002).</t>
  </si>
  <si>
    <t>PR Command97 Data
Please refer to the description of ID400 (P6.003).</t>
  </si>
  <si>
    <t>PR Command98 Setting
Please refer to the description of ID399 (P6.002).</t>
  </si>
  <si>
    <t>PR Command98 Data
Please refer to the description of ID400 (P6.003).</t>
  </si>
  <si>
    <t>PR Command99 Setting
Please refer to the description of ID399 (P6.002).</t>
  </si>
  <si>
    <t>PR Command99 Data
Please refer to the description of ID400 (P6.003).</t>
  </si>
  <si>
    <t>The format is UZYX.
YX: acceleration / deceleration time limit (0 - 1270 ms)
Z: reserved
U: reverse inhibit</t>
  </si>
  <si>
    <r>
      <t>Ironman K5100 EIP Drive (</t>
    </r>
    <r>
      <rPr>
        <b/>
        <sz val="10"/>
        <color rgb="FF0070C0"/>
        <rFont val="細明體"/>
        <family val="3"/>
        <charset val="136"/>
      </rPr>
      <t>★</t>
    </r>
    <r>
      <rPr>
        <b/>
        <sz val="10"/>
        <color rgb="FF0070C0"/>
        <rFont val="Arial"/>
        <family val="2"/>
      </rPr>
      <t xml:space="preserve">Read-only   </t>
    </r>
    <r>
      <rPr>
        <b/>
        <sz val="10"/>
        <color rgb="FF0070C0"/>
        <rFont val="細明體"/>
        <family val="3"/>
        <charset val="136"/>
      </rPr>
      <t>▲</t>
    </r>
    <r>
      <rPr>
        <b/>
        <sz val="10"/>
        <color rgb="FF0070C0"/>
        <rFont val="Arial"/>
        <family val="2"/>
      </rPr>
      <t xml:space="preserve">Set when servo off   </t>
    </r>
    <r>
      <rPr>
        <b/>
        <sz val="10"/>
        <color rgb="FF0070C0"/>
        <rFont val="細明體"/>
        <family val="3"/>
        <charset val="136"/>
      </rPr>
      <t>●</t>
    </r>
    <r>
      <rPr>
        <b/>
        <sz val="10"/>
        <color rgb="FF0070C0"/>
        <rFont val="Arial"/>
        <family val="2"/>
      </rPr>
      <t xml:space="preserve">Valid After Re-power on   </t>
    </r>
    <r>
      <rPr>
        <b/>
        <sz val="10"/>
        <color rgb="FF0070C0"/>
        <rFont val="細明體"/>
        <family val="3"/>
        <charset val="136"/>
      </rPr>
      <t>■</t>
    </r>
    <r>
      <rPr>
        <b/>
        <sz val="10"/>
        <color rgb="FF0070C0"/>
        <rFont val="Arial"/>
        <family val="2"/>
      </rPr>
      <t xml:space="preserve">Volatile parameter  </t>
    </r>
    <r>
      <rPr>
        <b/>
        <sz val="10"/>
        <color rgb="FFFF0000"/>
        <rFont val="Arial"/>
        <family val="2"/>
      </rPr>
      <t xml:space="preserve"> ◊NEO-S Parameters   </t>
    </r>
    <r>
      <rPr>
        <b/>
        <sz val="10"/>
        <color rgb="FFFF0000"/>
        <rFont val="細明體"/>
        <family val="3"/>
        <charset val="136"/>
      </rPr>
      <t>○</t>
    </r>
    <r>
      <rPr>
        <b/>
        <sz val="10"/>
        <color rgb="FFFF0000"/>
        <rFont val="Arial"/>
        <family val="2"/>
      </rPr>
      <t>Set/Get through IO assembly ⌂Digit Check</t>
    </r>
    <r>
      <rPr>
        <b/>
        <sz val="10"/>
        <color rgb="FF0070C0"/>
        <rFont val="Arial"/>
        <family val="2"/>
      </rPr>
      <t xml:space="preserve"> </t>
    </r>
    <r>
      <rPr>
        <b/>
        <sz val="10"/>
        <color rgb="FFFF0000"/>
        <rFont val="Arial"/>
        <family val="2"/>
      </rPr>
      <t xml:space="preserve">required </t>
    </r>
    <r>
      <rPr>
        <b/>
        <sz val="10"/>
        <color rgb="FFFF0000"/>
        <rFont val="Calibri"/>
        <family val="2"/>
      </rPr>
      <t>¤</t>
    </r>
    <r>
      <rPr>
        <b/>
        <sz val="10"/>
        <color rgb="FFFF0000"/>
        <rFont val="Arial"/>
        <family val="2"/>
      </rPr>
      <t>Set when io connection is not established</t>
    </r>
    <r>
      <rPr>
        <b/>
        <sz val="10"/>
        <color rgb="FF0070C0"/>
        <rFont val="Arial"/>
        <family val="2"/>
      </rPr>
      <t>)</t>
    </r>
  </si>
  <si>
    <t>as of 8192021</t>
  </si>
  <si>
    <t>A3</t>
  </si>
  <si>
    <t>Property</t>
  </si>
  <si>
    <t>Inst ID</t>
  </si>
  <si>
    <t>Paramter</t>
  </si>
  <si>
    <t>LinkPathSize</t>
  </si>
  <si>
    <t>LinkPath</t>
  </si>
  <si>
    <t>DataType</t>
  </si>
  <si>
    <t>Descriptor</t>
  </si>
  <si>
    <t>★</t>
  </si>
  <si>
    <t>▲</t>
  </si>
  <si>
    <t>●</t>
  </si>
  <si>
    <t>■</t>
  </si>
  <si>
    <t>◊</t>
  </si>
  <si>
    <t>○</t>
  </si>
  <si>
    <t>⌂</t>
  </si>
  <si>
    <t>Group</t>
  </si>
  <si>
    <t>[Min]</t>
  </si>
  <si>
    <t>[Max]</t>
  </si>
  <si>
    <t xml:space="preserve">   [Default]</t>
  </si>
  <si>
    <t>K5100 Unit</t>
  </si>
  <si>
    <t>Description</t>
  </si>
  <si>
    <t xml:space="preserve"> [A3 Description]</t>
  </si>
  <si>
    <t>A3 Addr</t>
  </si>
  <si>
    <t>Bits</t>
  </si>
  <si>
    <t>Note</t>
  </si>
  <si>
    <t>Known Issue</t>
  </si>
  <si>
    <t>CFG</t>
  </si>
  <si>
    <t>¤</t>
  </si>
  <si>
    <t>NEO-S Min</t>
  </si>
  <si>
    <t>NEO-S Max</t>
  </si>
  <si>
    <t>G11</t>
  </si>
  <si>
    <t>G12</t>
  </si>
  <si>
    <t>G13</t>
  </si>
  <si>
    <t>G14</t>
  </si>
  <si>
    <t>G15</t>
  </si>
  <si>
    <t>G16</t>
  </si>
  <si>
    <t>G17</t>
  </si>
  <si>
    <t>G18</t>
  </si>
  <si>
    <t>G19</t>
  </si>
  <si>
    <t>G20</t>
  </si>
  <si>
    <t>G21</t>
  </si>
  <si>
    <t>G22</t>
  </si>
  <si>
    <t>G23</t>
  </si>
  <si>
    <t>G24</t>
  </si>
  <si>
    <t>G25</t>
  </si>
  <si>
    <t>G26</t>
  </si>
  <si>
    <t>PM.000</t>
  </si>
  <si>
    <t>20.28.24.01.30.03</t>
  </si>
  <si>
    <t>USINT</t>
  </si>
  <si>
    <t>0x0000</t>
  </si>
  <si>
    <t>MotorType</t>
  </si>
  <si>
    <t>Motor Type</t>
  </si>
  <si>
    <t>Motor type</t>
  </si>
  <si>
    <t>All</t>
  </si>
  <si>
    <r>
      <rPr>
        <strike/>
        <sz val="10"/>
        <rFont val="Arial"/>
        <family val="2"/>
      </rPr>
      <t>NEO-S (DSP): 9 (0) - SPM; 11 (2) - Linear; 6 (3) - Induction;</t>
    </r>
    <r>
      <rPr>
        <sz val="10"/>
        <rFont val="Arial"/>
        <family val="2"/>
      </rPr>
      <t xml:space="preserve">
DSP: 0 - SPM; 2 - Linear; 3 - Induction;
12/06: Update DSP max and NEO-S max 
2021/01/19: remove NEO-S ID</t>
    </r>
  </si>
  <si>
    <t>√</t>
  </si>
  <si>
    <t>PN.010</t>
  </si>
  <si>
    <t>20.28.24.01.30.04</t>
  </si>
  <si>
    <t>SHORT_STRING</t>
  </si>
  <si>
    <t>MotorCatalogNumber</t>
  </si>
  <si>
    <t>Motor Catalog Number</t>
  </si>
  <si>
    <t>Motor Model[0]~[3]</t>
  </si>
  <si>
    <t>20.28.24.01.30.05</t>
  </si>
  <si>
    <t>0x0010</t>
  </si>
  <si>
    <t>MotorManufacturer</t>
  </si>
  <si>
    <t>Motor Manufacturer's Name</t>
  </si>
  <si>
    <t>Manufacturer's Name 32 chars max
2019.01.10. Add default value "ROCKWELL"</t>
  </si>
  <si>
    <t>PM.029</t>
  </si>
  <si>
    <t>20.28.24.01.30.06</t>
  </si>
  <si>
    <t>UINT</t>
  </si>
  <si>
    <t>Amps (RMS)</t>
  </si>
  <si>
    <t>MotorRatedContinuousCurrent</t>
  </si>
  <si>
    <t>Motor Rated Continuous Current</t>
  </si>
  <si>
    <t>PM motor rated current</t>
  </si>
  <si>
    <t>Combined with PM046, PM069
12/06: Max 6770 to 65535.
Can't be set to 0.
Default value needs update
12/18：RA &amp; Delta檢查在不接馬達下預設是否為0
2019.01.07. No motor, no Power board, 400W, default 90. No motor with power board 400W default is 260. With TLP motor is 280.
Min should no less than Imax /8, varies by catalog:
Catalog / RatedContCurrent / RatedPeakCurrent / Min
2198-E1004-ERS / 2.60  /  6.50    /  33
2198-E1007-ERS / 5.10  /  15.41  /  64
2198-E1015-ERS / 7.90  /   23.7   /  99
2198-E1020-ERS / 13.40 /  53.03  / 168
2198-E1030-ERS / 17.90 /  55.95  /  224
2198-E2055-ERS / 41.30 /  91.40  /  517
2198-E2075-ERS / 49.00 /  127.49 / 613
2198-E2150-ERS / 78.00 /  162.00 / 975</t>
  </si>
  <si>
    <t xml:space="preserve">
</t>
  </si>
  <si>
    <t>PM.065</t>
  </si>
  <si>
    <t>20.28.24.01.30.07</t>
  </si>
  <si>
    <t>Volts (RMS)</t>
  </si>
  <si>
    <t>MotorRatedVoltage</t>
  </si>
  <si>
    <t>Motor Rated Voltage</t>
  </si>
  <si>
    <t>2019.05.15. default changed from 311 to 220.</t>
  </si>
  <si>
    <t>PM.067</t>
  </si>
  <si>
    <t>20.28.24.01.30.08</t>
  </si>
  <si>
    <t>UDINT</t>
  </si>
  <si>
    <t>kW</t>
  </si>
  <si>
    <t>MotorRatedOutputPower</t>
  </si>
  <si>
    <t>Rated Power at Rated Freq Units.
12/06: Max 15000 to 65535, default 400 to 40, Unit W to 0.01 kW.
12/18：Delta修改預設值
2019.01.07. Debug board with no motor, 400W, default 400
2019.04.09. Default changed to 40.
2019.04.24. Delta remove "set when servo off"</t>
  </si>
  <si>
    <t>20.28.24.01.30.0A</t>
  </si>
  <si>
    <r>
      <rPr>
        <vertAlign val="superscript"/>
        <sz val="10"/>
        <rFont val="Arial"/>
        <family val="2"/>
      </rPr>
      <t>o</t>
    </r>
    <r>
      <rPr>
        <sz val="10"/>
        <rFont val="Arial"/>
        <family val="2"/>
      </rPr>
      <t>C</t>
    </r>
  </si>
  <si>
    <t>MotorRatedWindingTemperature</t>
  </si>
  <si>
    <t>Rated Winding Temperature Units: [degrees C]</t>
  </si>
  <si>
    <t>PM.032</t>
  </si>
  <si>
    <t>20.28.24.01.30.0B</t>
  </si>
  <si>
    <t>RPM</t>
  </si>
  <si>
    <t>MotorMaxSpeed</t>
  </si>
  <si>
    <t>Max. speed of PM motor</t>
  </si>
  <si>
    <t>Combined with PM048, PM072, name changed to Max Speed, follow MDO
01/02: Linear Motor (10^-5m/s)
2019.01.07: Valid After Re-power on?? From P2.052 min value issue.
2019.01.11.  Delta will add property "Valid After Re-power on"
2019.02.19.Delta modified.</t>
  </si>
  <si>
    <t>PM.028</t>
  </si>
  <si>
    <t>20.28.24.01.30.0C</t>
  </si>
  <si>
    <t>pole</t>
  </si>
  <si>
    <t>RotaryMotorPoles</t>
  </si>
  <si>
    <t>PM motor poles</t>
  </si>
  <si>
    <t>Combined with PM068
12/06: Max 32767 to 500, default 8 to 10. add property(▲)</t>
  </si>
  <si>
    <t>PM.033</t>
  </si>
  <si>
    <t>20.28.24.01.30.0D</t>
  </si>
  <si>
    <t>DINT</t>
  </si>
  <si>
    <t>N-m/Amps (RMS)</t>
  </si>
  <si>
    <t>PMMotorTorqueConstant</t>
  </si>
  <si>
    <t>PM motor torque constant</t>
  </si>
  <si>
    <t>Change name to Torque Constant
12/06: Max 13850 to 65535
UINT is enough, changed or not?
12/18：維持Delta格式</t>
  </si>
  <si>
    <r>
      <t xml:space="preserve">
</t>
    </r>
    <r>
      <rPr>
        <sz val="10"/>
        <color theme="1"/>
        <rFont val="Arial"/>
        <family val="2"/>
      </rPr>
      <t/>
    </r>
  </si>
  <si>
    <t>PM.034</t>
  </si>
  <si>
    <t>20.28.24.01.30.0E</t>
  </si>
  <si>
    <t>10^-4kg-m^2</t>
  </si>
  <si>
    <t>RotaryMotorInertia</t>
  </si>
  <si>
    <t>PM motor inertia</t>
  </si>
  <si>
    <t>Combined with PM073</t>
  </si>
  <si>
    <t>PM.031</t>
  </si>
  <si>
    <t>20.28.24.01.30.0F</t>
  </si>
  <si>
    <t>INT</t>
  </si>
  <si>
    <t>MotorRatedSpeed</t>
  </si>
  <si>
    <t>PM motor rated speed</t>
  </si>
  <si>
    <t>Combined with PM071, name change to Base Speed, follow MDO
2019.04.24. delta add "valid after re-power on"</t>
  </si>
  <si>
    <t>PN.040</t>
  </si>
  <si>
    <t>20.28.24.01.30.16</t>
  </si>
  <si>
    <t>SHORT_STRING</t>
    <phoneticPr fontId="0" type="noConversion"/>
  </si>
  <si>
    <t>MotorSerialNumber</t>
  </si>
  <si>
    <t>Motor Serial Number from nameplate</t>
  </si>
  <si>
    <t>Motor Serial No. (CN2), String [0]~[3]</t>
  </si>
  <si>
    <t>Motor Serial Number [0]-[9]</t>
  </si>
  <si>
    <t>NULL</t>
  </si>
  <si>
    <t>Determines the data type of position / speed / acceleration reference and feedback and all related attributes. 0 = DINT. Return 0 always</t>
  </si>
  <si>
    <t>PositionDataUnit</t>
  </si>
  <si>
    <t>Position Data Unit</t>
  </si>
  <si>
    <t>Determines the data unit of Position reference/feedback and all related attributes. 0 = CUU. Return 0 always</t>
  </si>
  <si>
    <t>SpeedDataUnit</t>
  </si>
  <si>
    <t>Speed Data Unit</t>
  </si>
  <si>
    <t>Determines the data unit of Speed reference / feedback and all related attributes. 1 = 0.1 RPM; 3 = 10^-6 m/s. Return 1 for rotary motor or 3 for linear motor.</t>
  </si>
  <si>
    <t>AccelDataUnit</t>
  </si>
  <si>
    <t>Acceleration Data Unit</t>
  </si>
  <si>
    <t>Determines the data unit of Acceleration (Deceleration) reference / feedback and all related attributes.1 = 0.1 RPM/s ; 3 = 10^-6 m/s2. Return 1 for rotary motor or 3 for linear motor.</t>
  </si>
  <si>
    <t>TorqueDataUnit</t>
  </si>
  <si>
    <t>Torque Data Unit</t>
  </si>
  <si>
    <t>Determines the data unit of Torque reference/feedback and all related attributes. 0 = % (default), 1 = 0.1 %.  Return 1 always
2019.01.07. No motor, 400W, default 1 (NEO-S issue)
2019.04.19. Default changed from 0 to 1.</t>
  </si>
  <si>
    <t>TorqueRampTimeUnit</t>
  </si>
  <si>
    <t>Torque Ramp Time Unit</t>
  </si>
  <si>
    <t>Determines the data unit of Torque Ramp Time. 0 = millisecond. Return 0 always</t>
  </si>
  <si>
    <t>SINT</t>
  </si>
  <si>
    <t xml:space="preserve"> ○</t>
  </si>
  <si>
    <t>OperatingMode</t>
  </si>
  <si>
    <t>Operating Mode</t>
  </si>
  <si>
    <t>IO</t>
  </si>
  <si>
    <t>BOOL</t>
  </si>
  <si>
    <t>ServoOn</t>
  </si>
  <si>
    <t>Servo On</t>
  </si>
  <si>
    <t>ServoOff</t>
  </si>
  <si>
    <t>Servo Off</t>
  </si>
  <si>
    <t>StopMotion</t>
  </si>
  <si>
    <t>Stop Motion</t>
  </si>
  <si>
    <t>FaultReset</t>
  </si>
  <si>
    <t>Fault Reset</t>
  </si>
  <si>
    <t>StartMotion</t>
  </si>
  <si>
    <t>Start Motion</t>
  </si>
  <si>
    <t>0.1RPM</t>
  </si>
  <si>
    <t>SpeedReference</t>
  </si>
  <si>
    <t>01/02: Linear Motor (10^-6m/s)</t>
  </si>
  <si>
    <t>0.1RPM/s</t>
  </si>
  <si>
    <t>AccelReference</t>
  </si>
  <si>
    <t>Acceleration Reference</t>
  </si>
  <si>
    <t>01/02: Linear Motor (10^-6m/s2)</t>
  </si>
  <si>
    <t>DecelReference</t>
  </si>
  <si>
    <t>Deceleration Reference</t>
  </si>
  <si>
    <t>HomingMethod</t>
  </si>
  <si>
    <t>Homing Method</t>
  </si>
  <si>
    <t>-2147483648</t>
  </si>
  <si>
    <t>PUU</t>
  </si>
  <si>
    <t>PositionReference</t>
  </si>
  <si>
    <t>Position Reference</t>
  </si>
  <si>
    <t>HomeReturnSpeed</t>
  </si>
  <si>
    <t>Home Return Speed</t>
  </si>
  <si>
    <t>NonCyclicMoveType</t>
  </si>
  <si>
    <t>Non Cyclic Move Type</t>
  </si>
  <si>
    <t>-4000</t>
  </si>
  <si>
    <t>%</t>
  </si>
  <si>
    <t>TorqueReference</t>
  </si>
  <si>
    <t>Torque Reference</t>
  </si>
  <si>
    <t>ms</t>
  </si>
  <si>
    <t>TorqueRampTime</t>
  </si>
  <si>
    <t>Torque Ramp Time</t>
  </si>
  <si>
    <t>PositionCommandOverlap</t>
  </si>
  <si>
    <t>Position Command Overlap</t>
  </si>
  <si>
    <t>12/10: Name per Device profile.</t>
  </si>
  <si>
    <t>PositionCommandOverride</t>
  </si>
  <si>
    <t>Position Command Override</t>
  </si>
  <si>
    <t>TravelMode</t>
  </si>
  <si>
    <t>Travel Mode</t>
  </si>
  <si>
    <t>CyclicMoveType</t>
  </si>
  <si>
    <t>Cyclic Move Type</t>
  </si>
  <si>
    <t>CapturedPositionSelect</t>
  </si>
  <si>
    <t>Captured Position Select</t>
  </si>
  <si>
    <t>StartingIndex</t>
  </si>
  <si>
    <t>Starting Index</t>
  </si>
  <si>
    <t>NetworkMode</t>
  </si>
  <si>
    <t>Network Mode</t>
  </si>
  <si>
    <t>OperatingModeState</t>
  </si>
  <si>
    <t>Operating Mode State</t>
  </si>
  <si>
    <t>7/24/2019: its name should be changed to 'OperatingMode' in AOP</t>
  </si>
  <si>
    <t>AtReference</t>
  </si>
  <si>
    <t>At Reference</t>
  </si>
  <si>
    <t>Ready</t>
  </si>
  <si>
    <t>Active</t>
  </si>
  <si>
    <t>WarningPresent</t>
  </si>
  <si>
    <t>Warning Present</t>
  </si>
  <si>
    <t>Fault</t>
  </si>
  <si>
    <t>Stopped</t>
  </si>
  <si>
    <t>FaultCode</t>
  </si>
  <si>
    <t>Fault Code</t>
  </si>
  <si>
    <t>WarningCode</t>
  </si>
  <si>
    <t>Warning Code</t>
  </si>
  <si>
    <t>ActualPosition</t>
  </si>
  <si>
    <t>Actual Position</t>
  </si>
  <si>
    <t>ActualSpeed</t>
  </si>
  <si>
    <t>Actual Speed</t>
  </si>
  <si>
    <t>ActualTorque</t>
  </si>
  <si>
    <t>Actual Torque</t>
  </si>
  <si>
    <t>ActiveIndex</t>
  </si>
  <si>
    <t>Active Index</t>
  </si>
  <si>
    <t>P0.025</t>
  </si>
  <si>
    <t>0xFFFFFFFF</t>
    <phoneticPr fontId="0" type="noConversion"/>
  </si>
  <si>
    <t>ParameterMonitor1Value</t>
  </si>
  <si>
    <t>Parameter Monitor 1 Value</t>
  </si>
  <si>
    <t>Status Monitor Register 1</t>
  </si>
  <si>
    <t>12/10: Parameter monitor new function</t>
  </si>
  <si>
    <t>P0.026</t>
  </si>
  <si>
    <t>ParameterMonitor2Value</t>
  </si>
  <si>
    <t>Parameter Monitor 2 Value</t>
  </si>
  <si>
    <t>Status Monitor Register 2</t>
  </si>
  <si>
    <t>P0.027</t>
  </si>
  <si>
    <t>ParameterMonitor3Value</t>
  </si>
  <si>
    <t>Parameter Monitor 3 Value</t>
  </si>
  <si>
    <t>Status Monitor Register 3</t>
  </si>
  <si>
    <t>P0.028</t>
  </si>
  <si>
    <t>ParameterMonitor4Value</t>
  </si>
  <si>
    <t>Parameter Monitor 4 Value</t>
  </si>
  <si>
    <t>Status Monitor Register 4</t>
  </si>
  <si>
    <t>P0.029</t>
  </si>
  <si>
    <t>ParameterMonitor5Value</t>
  </si>
  <si>
    <t>Parameter Monitor 5 Value</t>
  </si>
  <si>
    <t>Status Monitor Register 5</t>
  </si>
  <si>
    <t>P0.035</t>
  </si>
  <si>
    <t>ParameterMonitor1Selection</t>
  </si>
  <si>
    <t>Parameter Monitor 1 Selection</t>
  </si>
  <si>
    <t>Display Status Monitor 1</t>
  </si>
  <si>
    <t>P0.036</t>
  </si>
  <si>
    <t>ParameterMonitor2Selection</t>
  </si>
  <si>
    <t>Parameter Monitor 2 Selection</t>
  </si>
  <si>
    <t>Display Status Monitor 2</t>
  </si>
  <si>
    <t>P0.037</t>
  </si>
  <si>
    <t>ParameterMonitor3Selection</t>
  </si>
  <si>
    <t>Parameter Monitor 3 Selection</t>
  </si>
  <si>
    <t>Display Status Monitor 3</t>
  </si>
  <si>
    <t>P0.038</t>
  </si>
  <si>
    <t>ParameterMonitor4Selection</t>
  </si>
  <si>
    <t>Parameter Monitor 4 Selection</t>
  </si>
  <si>
    <t>Display Status Monitor 4</t>
  </si>
  <si>
    <t>P0.039</t>
  </si>
  <si>
    <t>ParameterMonitor5Selection</t>
  </si>
  <si>
    <t>Parameter Monitor 5 Selection</t>
  </si>
  <si>
    <t>Display Status Monitor 5</t>
  </si>
  <si>
    <t>HomedStatus</t>
  </si>
  <si>
    <t>Homed Status</t>
  </si>
  <si>
    <t>CommandInProgress</t>
  </si>
  <si>
    <t>Command In Progess</t>
  </si>
  <si>
    <t>MotorCategory</t>
  </si>
  <si>
    <t>Motor Category</t>
  </si>
  <si>
    <t>0 – No motor 1 – Rotary motor(SPM, Induction...) 2 – Linear motor 
2019.01.07. No motor, 400W, default 0 (Neo-s issue) 
2019.04.19. Default changed from 1 to 0.
2019.07.24: its name should be changed to 'MoveType' in AOP</t>
  </si>
  <si>
    <t>Uncertain</t>
  </si>
  <si>
    <t>CamMasterReference</t>
  </si>
  <si>
    <t>Cam Master Reference</t>
  </si>
  <si>
    <t>CamStopMode</t>
  </si>
  <si>
    <t>Cam Stop Mode</t>
  </si>
  <si>
    <t>CamExecutionSchedule</t>
  </si>
  <si>
    <t>Cam Execution Schedule</t>
  </si>
  <si>
    <t>CamExecutionMode</t>
  </si>
  <si>
    <t>Cam Execution Mode</t>
  </si>
  <si>
    <t>0.000001 times</t>
  </si>
  <si>
    <t>CamSlaveScaling</t>
  </si>
  <si>
    <t>Cam Slave Scaling</t>
  </si>
  <si>
    <t>CamLockPosition</t>
  </si>
  <si>
    <t>Cam Lock Position</t>
  </si>
  <si>
    <t>CamMasterLeadingCounts</t>
  </si>
  <si>
    <t>Cam Master Leading Counts</t>
  </si>
  <si>
    <t>CamMasterUnlockCounts</t>
  </si>
  <si>
    <t>Cam Master Unlock Counts</t>
  </si>
  <si>
    <t>CamMasterCyclicLeadingCounts</t>
  </si>
  <si>
    <t>Cam Master Cyclic Leading Counts</t>
  </si>
  <si>
    <t>SlaveCounts</t>
  </si>
  <si>
    <t>Gear Ratio Slave Counts (MAG)</t>
  </si>
  <si>
    <t>MasterCounts</t>
  </si>
  <si>
    <t>Gear Ratio Master Counts (MAG)</t>
  </si>
  <si>
    <t>Reserved</t>
  </si>
  <si>
    <t>Reserved80</t>
  </si>
  <si>
    <t>CamMasterLockPosition</t>
  </si>
  <si>
    <t>Cam Master Lock Position</t>
  </si>
  <si>
    <t>Reserved82</t>
  </si>
  <si>
    <t>Reserved83</t>
  </si>
  <si>
    <t>Reserved84</t>
  </si>
  <si>
    <t>Reserved85</t>
  </si>
  <si>
    <t>Reserved86</t>
  </si>
  <si>
    <t>Reserved87</t>
  </si>
  <si>
    <t>Reserved88</t>
  </si>
  <si>
    <t>Reserved89</t>
  </si>
  <si>
    <t>Reserved90</t>
  </si>
  <si>
    <t>Reserved91</t>
  </si>
  <si>
    <t>Reserved92</t>
  </si>
  <si>
    <t>Reserved93</t>
  </si>
  <si>
    <t>Reserved94</t>
  </si>
  <si>
    <t>Reserved95</t>
  </si>
  <si>
    <t>Reserved96</t>
  </si>
  <si>
    <t>Reserved97</t>
  </si>
  <si>
    <t>0x00000000</t>
  </si>
  <si>
    <t>0xFFFFFFFF</t>
  </si>
  <si>
    <t>DriveConnectionStatus</t>
  </si>
  <si>
    <t>DriveConfigurationSignature</t>
  </si>
  <si>
    <t>P0.000</t>
  </si>
  <si>
    <t>DSPFwVer</t>
  </si>
  <si>
    <t>DSP Firmware Version</t>
  </si>
  <si>
    <t>Firmware Version</t>
  </si>
  <si>
    <t>High 8bit-Major version, Low 8bit-Minor version</t>
  </si>
  <si>
    <t>P0.001</t>
  </si>
  <si>
    <t>0xFFFF</t>
  </si>
  <si>
    <t>FltWarnCode</t>
  </si>
  <si>
    <t>Fault/Warning Code</t>
  </si>
  <si>
    <t>Alarm Display of the Drive</t>
  </si>
  <si>
    <t>01/02: NOT Config (reset fault only)</t>
  </si>
  <si>
    <t>P0.002</t>
  </si>
  <si>
    <t>LEDMonitorSelection</t>
  </si>
  <si>
    <t>LED Monitor Selection</t>
  </si>
  <si>
    <t>Drive Status</t>
  </si>
  <si>
    <t>2019.01.07. No motor, 400W, default 1, 
Min and Max need update.
2019.02.19. Keep it per delta's need.
2019.05.23. default changed from 0 to 1.</t>
  </si>
  <si>
    <t>P0.003</t>
  </si>
  <si>
    <t>0x0077</t>
  </si>
  <si>
    <t>AOMonitorSelection</t>
  </si>
  <si>
    <t>Analog Output Monitor Selection</t>
  </si>
  <si>
    <t>Analog Monitor Output</t>
  </si>
  <si>
    <t>P0.008</t>
  </si>
  <si>
    <t>Hour</t>
  </si>
  <si>
    <t>PowerOnTime</t>
  </si>
  <si>
    <t>Power On Time</t>
  </si>
  <si>
    <t>Servo Startup Time</t>
  </si>
  <si>
    <t>Reserved105</t>
  </si>
  <si>
    <t>2019.04.19. deleted P0.044 PCMonitorValue</t>
  </si>
  <si>
    <t>Reserved106</t>
  </si>
  <si>
    <t>01/02: NOT Config (for KNX5100C only)
2019.01.07. No motor, 400W, default -141, will delete?? If yes, ignore it.
2019.01.30. changed to read-only.
2019.04.19. deleted P0.045 PCMonitorSelection</t>
  </si>
  <si>
    <t>P0.046</t>
  </si>
  <si>
    <t>0x0FFF</t>
  </si>
  <si>
    <t>ServoOutputStatus</t>
  </si>
  <si>
    <t>Servo Output Status</t>
  </si>
  <si>
    <t>Servo Digital Output Status Display</t>
  </si>
  <si>
    <t xml:space="preserve">Add Bit11-AtHome. </t>
  </si>
  <si>
    <t>P0.049</t>
  </si>
  <si>
    <t>0x0002</t>
  </si>
  <si>
    <t>EncoderDataUpdateConfiguration</t>
  </si>
  <si>
    <t>Encoder Data Update Configuration</t>
  </si>
  <si>
    <t>Renew Encoder Absolute Position</t>
  </si>
  <si>
    <t>P0.050</t>
  </si>
  <si>
    <t>0x001F</t>
  </si>
  <si>
    <t>AbsSysStatus</t>
  </si>
  <si>
    <t>Absolute System Status</t>
  </si>
  <si>
    <t>Absolute Coordinate System Status</t>
  </si>
  <si>
    <t>P0.051</t>
  </si>
  <si>
    <t>Rev</t>
  </si>
  <si>
    <t>MultiTurnAbsPosition</t>
  </si>
  <si>
    <t>Absolute Position (Multiturn)</t>
  </si>
  <si>
    <t>Encoder Absolute Position (Multiturn)</t>
  </si>
  <si>
    <r>
      <t>why 32 bits?
12/18</t>
    </r>
    <r>
      <rPr>
        <sz val="10"/>
        <rFont val="細明體"/>
        <family val="3"/>
        <charset val="136"/>
      </rPr>
      <t>：目前先保持</t>
    </r>
    <r>
      <rPr>
        <sz val="10"/>
        <rFont val="Arial"/>
        <family val="2"/>
      </rPr>
      <t>32bit</t>
    </r>
  </si>
  <si>
    <t>P0.052</t>
  </si>
  <si>
    <t>Counts</t>
  </si>
  <si>
    <t>SingleTurnAbsPosition</t>
  </si>
  <si>
    <t>Absolute Position (Singleturn)</t>
  </si>
  <si>
    <t>Encoder Absolute Position (Pulse number within Singleturn or PUU)</t>
  </si>
  <si>
    <t>P0.053</t>
  </si>
  <si>
    <t>0x000F</t>
  </si>
  <si>
    <t>SystemVariableMonitorFilterTime</t>
  </si>
  <si>
    <t>System Variable Monitor Filtering Time</t>
  </si>
  <si>
    <t>General Range Compare Digital Output – Filtering Time</t>
  </si>
  <si>
    <t>P0.054</t>
  </si>
  <si>
    <t>SystemVariableMonitorLowerLimit</t>
  </si>
  <si>
    <t>System Variable Monitor Lower Limit</t>
  </si>
  <si>
    <t>General Range Compare Digital Output – Lower Limit of 1st Monitoring Variable</t>
  </si>
  <si>
    <t>P0.055</t>
  </si>
  <si>
    <t>SystemVariableMonitorUpperLimit</t>
  </si>
  <si>
    <t>System Variable Monitor Upper Limit</t>
  </si>
  <si>
    <t>General Range Compare Digital Output – Upper Limit of 1st Monitoring Variable</t>
  </si>
  <si>
    <t>P0.063</t>
  </si>
  <si>
    <t>Exceed400VDuration</t>
  </si>
  <si>
    <t>Duration of Voltage Exceeding 400V</t>
  </si>
  <si>
    <t>Duration of voltage exceeding 400V</t>
  </si>
  <si>
    <t>0x007E</t>
  </si>
  <si>
    <r>
      <rPr>
        <strike/>
        <sz val="10"/>
        <rFont val="Arial"/>
        <family val="2"/>
      </rPr>
      <t>why not read-only?</t>
    </r>
    <r>
      <rPr>
        <sz val="10"/>
        <rFont val="Arial"/>
        <family val="2"/>
      </rPr>
      <t xml:space="preserve">  Readonly already.
2019.04.24. UDINT to DINT. Hex to Dec.</t>
    </r>
  </si>
  <si>
    <t>P1.000</t>
  </si>
  <si>
    <t>0x11F7</t>
  </si>
  <si>
    <t>0x1042</t>
  </si>
  <si>
    <t>ExternalPulseType</t>
  </si>
  <si>
    <t>External Pulse Input Type</t>
  </si>
  <si>
    <t>The Type of External Pulse Input</t>
  </si>
  <si>
    <t>0x0100</t>
  </si>
  <si>
    <t>PT/IO</t>
  </si>
  <si>
    <t>2019.01.11. Default changed form 0x0082 to 0x1042</t>
  </si>
  <si>
    <t>P1.001</t>
  </si>
  <si>
    <t>0x110F</t>
  </si>
  <si>
    <t>0x0000</t>
    <phoneticPr fontId="0" type="noConversion"/>
  </si>
  <si>
    <t>ControlMode</t>
  </si>
  <si>
    <t>Input Setting of Control Mode and Control Command</t>
  </si>
  <si>
    <t>0x0102</t>
  </si>
  <si>
    <t>2019.01.23. Max should be 0x110F. 0x0010 can be set from NEO-S side.
2019.01.30. fixed in v4000-9095
2020.07.02. K5100 will see default value definition is 0x1000, but actually default value for user is 0x0000</t>
    <phoneticPr fontId="0" type="noConversion"/>
  </si>
  <si>
    <t>P1.002</t>
  </si>
  <si>
    <t>0x0011</t>
  </si>
  <si>
    <t>VelocityTorqueLimitAction</t>
  </si>
  <si>
    <t>Velocity To Torque Limit Action</t>
  </si>
  <si>
    <t>Speed and Torque Limit Setting</t>
  </si>
  <si>
    <t>0x0104</t>
  </si>
  <si>
    <t>P1.003</t>
  </si>
  <si>
    <t>0x0013</t>
  </si>
  <si>
    <t>EncoderOutputPolarity</t>
  </si>
  <si>
    <t>Encoder Output Polarity</t>
  </si>
  <si>
    <t>Polarity Setting of Encoder Pulse Output</t>
  </si>
  <si>
    <t>0x0106</t>
  </si>
  <si>
    <t>P1.004</t>
  </si>
  <si>
    <t>AnalogOutput1Scale</t>
  </si>
  <si>
    <t>Analog Output 1 Scale</t>
  </si>
  <si>
    <t>MON1 Analog Monitor Output Proportion</t>
  </si>
  <si>
    <t>0x0108</t>
  </si>
  <si>
    <t>Why datatype fillcolor is red?
12/31: removed the fillcolor</t>
  </si>
  <si>
    <t>P1.005</t>
  </si>
  <si>
    <t>AnalogOutput2Scale</t>
  </si>
  <si>
    <t>Analog Output 2 Scale</t>
  </si>
  <si>
    <t>MON2 Analog Monitor Output Proportion</t>
  </si>
  <si>
    <t>0x010A</t>
  </si>
  <si>
    <t>P1.006</t>
  </si>
  <si>
    <t>VelocityCmdLowPassFilterTime</t>
  </si>
  <si>
    <t>Velocity Command Low Pass Filter Time Constant</t>
  </si>
  <si>
    <t>Smooth constant of speed command (Low-pass filter)</t>
  </si>
  <si>
    <t>0x010C</t>
  </si>
  <si>
    <t>S/Sz/IO</t>
  </si>
  <si>
    <t>P1.007</t>
  </si>
  <si>
    <t>TorqueCmdLowPassFilterTime</t>
  </si>
  <si>
    <t>Torque Command Low Pass Filter Time Constant</t>
  </si>
  <si>
    <t>Smooth constant of torque command (Low-pass filter)</t>
  </si>
  <si>
    <t>0x010E</t>
  </si>
  <si>
    <t>T/Tz/IO</t>
  </si>
  <si>
    <t>P1.008</t>
  </si>
  <si>
    <t>10ms</t>
    <phoneticPr fontId="0" type="noConversion"/>
  </si>
  <si>
    <t>PositionCmdLowPassFilterTime</t>
  </si>
  <si>
    <t>Position Command Low Pass Filter Time Constant</t>
  </si>
  <si>
    <t>Smooth Constant of Position Command (Low-pass Filter)</t>
  </si>
  <si>
    <t>0x0110</t>
  </si>
  <si>
    <t>PT/PR/IO</t>
  </si>
  <si>
    <t>P1.009</t>
  </si>
  <si>
    <t>-285000
-15999999</t>
    <phoneticPr fontId="0" type="noConversion"/>
  </si>
  <si>
    <t>285000
15999999</t>
    <phoneticPr fontId="0" type="noConversion"/>
  </si>
  <si>
    <t>1000
1000</t>
    <phoneticPr fontId="0" type="noConversion"/>
  </si>
  <si>
    <t>0.1
1</t>
    <phoneticPr fontId="0" type="noConversion"/>
  </si>
  <si>
    <t>RPM
um/s</t>
    <phoneticPr fontId="0" type="noConversion"/>
  </si>
  <si>
    <t>PresetVelocityCmd_Limit_1</t>
  </si>
  <si>
    <t>Preset Velocity Command/Limit 1</t>
  </si>
  <si>
    <t>Internal Speed Command 1 / Internal Speed Limit 1</t>
  </si>
  <si>
    <t>0x0112</t>
  </si>
  <si>
    <t>S/Sz/T/Tz/IO</t>
  </si>
  <si>
    <t>Setting range: -15999999~15999999 for linear motor, Rotary Motor -80000~80000
2019.01.18. Default chaged from 10000 to 1000. 
2021.01.27: with linear motor speed control, limit range in -2000000~20000000</t>
    <phoneticPr fontId="0" type="noConversion"/>
  </si>
  <si>
    <t>P1.010</t>
  </si>
  <si>
    <t>2000
2000</t>
    <phoneticPr fontId="0" type="noConversion"/>
  </si>
  <si>
    <t>PresetVelocityCmd_Limit_2</t>
  </si>
  <si>
    <t>Preset Velocity Command/Limit 2</t>
  </si>
  <si>
    <t>Internal Speed Command 2 / Internal Speed Limit 2</t>
  </si>
  <si>
    <t>0x0114</t>
  </si>
  <si>
    <t>Setting range: -15999999~15999999 for linear motor, Rotary Motor -80000~80000
2019.01.18. Default chaged from 20000 to 2000.
2021.01.27: with linear motor speed control, limit range in -2000000~20000000</t>
    <phoneticPr fontId="0" type="noConversion"/>
  </si>
  <si>
    <t>P1.011</t>
  </si>
  <si>
    <t>3000
3000</t>
    <phoneticPr fontId="0" type="noConversion"/>
  </si>
  <si>
    <t>PresetVelocityCmd_Limit_3</t>
  </si>
  <si>
    <t>Preset Velocity Command/Limit 3</t>
  </si>
  <si>
    <t>Internal Speed Command 3 / Internal Speed Limit 3</t>
  </si>
  <si>
    <t>0x0116</t>
  </si>
  <si>
    <t>Setting range: -15999999~15999999 for linear motor, Rotary Motor -80000~80000
2019.01.18. Default chaged from 30000 to 3000.
2021.01.27: with linear motor speed control, limit range in -2000000~20000000</t>
    <phoneticPr fontId="0" type="noConversion"/>
  </si>
  <si>
    <t>P1.012</t>
  </si>
  <si>
    <t>PresetTorqueCmd_Limit_1</t>
  </si>
  <si>
    <t>Preset Torque Command/Limit 1</t>
  </si>
  <si>
    <t>Internal Torque Command 1 / Internal Torque Limit 1</t>
  </si>
  <si>
    <t>0x0118</t>
  </si>
  <si>
    <t>T/Tz/PT/PR/S/Sz/IO</t>
  </si>
  <si>
    <t>2019.10.31: max&amp;min: 400--&gt;420.</t>
  </si>
  <si>
    <t>P1.013</t>
  </si>
  <si>
    <t>PresetTorqueCmd_Limit_2</t>
  </si>
  <si>
    <t>Preset Torque Command/Limit 2</t>
  </si>
  <si>
    <t>Internal Torque Command 2 / Internal Torque Limit 2</t>
  </si>
  <si>
    <t>0x011A</t>
  </si>
  <si>
    <t>P1.014</t>
  </si>
  <si>
    <t>PresetTorqueCmd_Limit_3</t>
  </si>
  <si>
    <t>Preset Torque Command/Limit 3</t>
  </si>
  <si>
    <t>Internal Torque Command 3 / Internal Torque Limit 3</t>
  </si>
  <si>
    <t>0x011C</t>
  </si>
  <si>
    <t>P1.019</t>
  </si>
  <si>
    <t>0x6F000101</t>
  </si>
  <si>
    <t>0x2D000000</t>
  </si>
  <si>
    <t>DI9 Capture And Compare Configuration</t>
  </si>
  <si>
    <t>CAPTURE / COMPARE – Additional Function Settings</t>
  </si>
  <si>
    <t>0x0126</t>
  </si>
  <si>
    <t>P1.020</t>
  </si>
  <si>
    <t>DI9 Capture Mask Range</t>
  </si>
  <si>
    <t>CAPTURE – Masking Range Setting</t>
  </si>
  <si>
    <t>0x0128</t>
  </si>
  <si>
    <t>2019.04.24. UDINT to DINT.</t>
  </si>
  <si>
    <t>P1.023</t>
  </si>
  <si>
    <t>Compare Data Offset (Non-Volatile)</t>
  </si>
  <si>
    <t>Compare data offset (Value of P1-23 are remain unchanged)</t>
  </si>
  <si>
    <t>0x012E</t>
  </si>
  <si>
    <t>P1.024</t>
  </si>
  <si>
    <t>Compare Data Offset (Volatile)</t>
  </si>
  <si>
    <t>COMPARE – Compare data offset(Automatically set P1-24 to 0)</t>
  </si>
  <si>
    <t>0x0130</t>
  </si>
  <si>
    <t>P1.025</t>
  </si>
  <si>
    <t>Hz</t>
  </si>
  <si>
    <t>LowFreqVibrationSuppression1Frequency</t>
  </si>
  <si>
    <t>Low-frequency Vibration Suppression 1 Frequency</t>
  </si>
  <si>
    <t>Low-frequency Vibration Supression (1)</t>
  </si>
  <si>
    <t>0x0132</t>
  </si>
  <si>
    <t>P1.026</t>
  </si>
  <si>
    <t>LowFreqVibrationSuppression1Gain</t>
  </si>
  <si>
    <t>Low-frequency Vibration Suppression 1 Gain</t>
  </si>
  <si>
    <t>Low-frequency Vibration Supression Gain (1)</t>
  </si>
  <si>
    <t>0x0134</t>
  </si>
  <si>
    <t>P1.027</t>
  </si>
  <si>
    <t>LowFreqVibrationSuppression2Frequency</t>
  </si>
  <si>
    <t>Low-frequency Vibration Suppression 2 Frequency</t>
  </si>
  <si>
    <t>Low-frequency Vibration Supression (2)</t>
  </si>
  <si>
    <t>0x0136</t>
  </si>
  <si>
    <t>P1.028</t>
  </si>
  <si>
    <t>LowFreqVibrationSuppression2Gain</t>
  </si>
  <si>
    <t>Low-frequency Vibration Suppression 2 Gain</t>
  </si>
  <si>
    <t>Low-frequency Vibration Supression Gain (2)</t>
  </si>
  <si>
    <t>0x0138</t>
  </si>
  <si>
    <t>P1.029</t>
  </si>
  <si>
    <t>LowFreqVibrationSuppressionMode</t>
  </si>
  <si>
    <t>Low-frequency Vibration Suppression Mode Setting</t>
  </si>
  <si>
    <t>Auto Low-frequency Vibration Suppression Setting</t>
  </si>
  <si>
    <t>0x013A</t>
  </si>
  <si>
    <t>P1.030</t>
  </si>
  <si>
    <t>LowFreqVibrationDetectionLevel</t>
  </si>
  <si>
    <t>Low-frequency Vibration Detection Level</t>
  </si>
  <si>
    <t>Low-frequency Vibration Detection</t>
  </si>
  <si>
    <t>0x013C</t>
  </si>
  <si>
    <t>12/18: Delta modified Max 5000 to 128000, default 500 to 8000
why 32 bits?
Delta：Range error
12/18：Delta的參數範圍錯誤，已更新，需要32bit</t>
  </si>
  <si>
    <t>P1.034</t>
  </si>
  <si>
    <t>SCurveAccelTime</t>
  </si>
  <si>
    <t>Acceleration Time Constant of S-Curve Velocity Profile</t>
  </si>
  <si>
    <t>Acceleration Constant of S-Curve</t>
  </si>
  <si>
    <t>0x0144</t>
  </si>
  <si>
    <t>P1.035</t>
  </si>
  <si>
    <t>SCurveDecelTime</t>
  </si>
  <si>
    <t>Deceleration Time Constant of S-Curve Velocity Profile</t>
  </si>
  <si>
    <t>Deceleration Constant of S-Curve</t>
  </si>
  <si>
    <t>0x0146</t>
  </si>
  <si>
    <t>P1.036</t>
  </si>
  <si>
    <t>SCurveSmoothTime</t>
  </si>
  <si>
    <t>Smoothing Time of S-Curve</t>
  </si>
  <si>
    <t>Accel /Decel Constant of S-curve</t>
  </si>
  <si>
    <t>0x0148</t>
  </si>
  <si>
    <t>PR/S/Sz/IO</t>
  </si>
  <si>
    <t>P1.037</t>
  </si>
  <si>
    <t>Load Inertia/Motor Inertia</t>
  </si>
  <si>
    <t>LoadInertiaRatio</t>
  </si>
  <si>
    <t>Load Inertia Ratio</t>
  </si>
  <si>
    <t>Inertia Ratio and Load Weight Ratio to Servo Motor</t>
  </si>
  <si>
    <t>0x014A</t>
  </si>
  <si>
    <t>Follow A3 range: (1)Panel/Soft: 0-200 (2)Communication(parameter object): 0-2000</t>
  </si>
  <si>
    <t>P1.038</t>
  </si>
  <si>
    <t>RPM
mm/s</t>
    <phoneticPr fontId="0" type="noConversion"/>
  </si>
  <si>
    <t>ZeroSpeedWindow</t>
  </si>
  <si>
    <t>Zero Speed Window</t>
  </si>
  <si>
    <t>Zero Speed Range Setting</t>
  </si>
  <si>
    <t>0x014C</t>
  </si>
  <si>
    <t>Follow A3 range: (1)Panel/Soft: 0-200 (2)Communication(parameter object): 0-2000
2019/04/17: Delta changed min value from 0 to 1.</t>
  </si>
  <si>
    <t>P1.039</t>
  </si>
  <si>
    <t>0
0</t>
    <phoneticPr fontId="0" type="noConversion"/>
  </si>
  <si>
    <r>
      <rPr>
        <sz val="10"/>
        <color rgb="FFFF0000"/>
        <rFont val="Arial"/>
        <family val="2"/>
      </rPr>
      <t>25000</t>
    </r>
    <r>
      <rPr>
        <sz val="10"/>
        <rFont val="Arial"/>
        <family val="2"/>
      </rPr>
      <t xml:space="preserve">
15999</t>
    </r>
  </si>
  <si>
    <t>UpToSpeedLimit</t>
  </si>
  <si>
    <t>Up to Speed Limit</t>
  </si>
  <si>
    <t>Target Speed Detection Level</t>
  </si>
  <si>
    <t>0x014E</t>
  </si>
  <si>
    <t>Setting range: 0-15999 for Linear Motor, 0-30000 for rotary motor
2019.01.07. Unit is rpm in A3 manual, seems rpm is more reasonable
2019.02.20. delta confirmed "RPM"</t>
  </si>
  <si>
    <t>P1.040</t>
  </si>
  <si>
    <r>
      <t xml:space="preserve">28500
</t>
    </r>
    <r>
      <rPr>
        <sz val="10"/>
        <color rgb="FFFF0000"/>
        <rFont val="Arial"/>
        <family val="2"/>
      </rPr>
      <t>15998</t>
    </r>
  </si>
  <si>
    <r>
      <t xml:space="preserve">8000
</t>
    </r>
    <r>
      <rPr>
        <sz val="10"/>
        <color rgb="FFFF0000"/>
        <rFont val="Arial"/>
        <family val="2"/>
      </rPr>
      <t>15998</t>
    </r>
  </si>
  <si>
    <t>AnalogToVelocityScale</t>
  </si>
  <si>
    <t>Analog To Velocity Scale</t>
  </si>
  <si>
    <t>Maximum Output of Analog Speed Command</t>
  </si>
  <si>
    <t>0x0150</t>
  </si>
  <si>
    <t>why 32 bits?
12/18：Delta內部再做確認
2018.01.07. Delta update Max from 5000 to 50000
2019.01.22. v400_9050 max is 5000
2019.02.18.v4001_9004 max is 50000, correct.</t>
  </si>
  <si>
    <t>P1.041</t>
  </si>
  <si>
    <t>AnalogToTorqueScale</t>
  </si>
  <si>
    <t>Analog To Torque Scale</t>
  </si>
  <si>
    <t>Maximum Output of Analog Torque Command</t>
  </si>
  <si>
    <t>0x0152</t>
  </si>
  <si>
    <t>P1.042</t>
  </si>
  <si>
    <t>BrakeOnDelay</t>
  </si>
  <si>
    <t>Magnetic Brake On Delay</t>
  </si>
  <si>
    <t>Enable Delay Time of Brake</t>
  </si>
  <si>
    <t>0x0154</t>
  </si>
  <si>
    <r>
      <t>since brake function is removed, still need these two param?
12/18</t>
    </r>
    <r>
      <rPr>
        <sz val="10"/>
        <rFont val="細明體"/>
        <family val="3"/>
        <charset val="136"/>
      </rPr>
      <t>：</t>
    </r>
    <r>
      <rPr>
        <sz val="10"/>
        <rFont val="Arial"/>
        <family val="2"/>
      </rPr>
      <t>RA</t>
    </r>
    <r>
      <rPr>
        <sz val="10"/>
        <rFont val="細明體"/>
        <family val="3"/>
        <charset val="136"/>
      </rPr>
      <t>、Delta內部分別先進行確認
12/31: Confirmed, follow A3</t>
    </r>
  </si>
  <si>
    <t>P1.043</t>
  </si>
  <si>
    <t>BrakeOffDelay</t>
  </si>
  <si>
    <t>Magnetic Brake Off Delay</t>
  </si>
  <si>
    <t>Disable Delay Time of Brake</t>
  </si>
  <si>
    <t>0x0156</t>
  </si>
  <si>
    <r>
      <t>since brake function is removed, still need these two param?
12/18</t>
    </r>
    <r>
      <rPr>
        <sz val="10"/>
        <rFont val="細明體"/>
        <family val="3"/>
        <charset val="136"/>
      </rPr>
      <t>：</t>
    </r>
    <r>
      <rPr>
        <sz val="10"/>
        <rFont val="Arial"/>
        <family val="2"/>
      </rPr>
      <t>RA</t>
    </r>
    <r>
      <rPr>
        <sz val="10"/>
        <rFont val="細明體"/>
        <family val="3"/>
        <charset val="136"/>
      </rPr>
      <t>、Delta內部分別先進行確認
12/31: Confirmed, follow A4</t>
    </r>
    <r>
      <rPr>
        <sz val="11"/>
        <color theme="1"/>
        <rFont val="Calibri"/>
        <family val="2"/>
        <scheme val="minor"/>
      </rPr>
      <t/>
    </r>
  </si>
  <si>
    <t>P1.044</t>
  </si>
  <si>
    <t>GearRatioFollowerCountsN1</t>
    <phoneticPr fontId="0" type="noConversion"/>
  </si>
  <si>
    <t>Gear Ratio Follower Counts (N1)</t>
    <phoneticPr fontId="0" type="noConversion"/>
  </si>
  <si>
    <t>Electronic Gear Ratio (Numerator) (N1)</t>
  </si>
  <si>
    <t>0x0158</t>
  </si>
  <si>
    <t>2019.04.24. Removed "set when servo-off" since it can be set in PT mode.</t>
  </si>
  <si>
    <t>P1.045</t>
  </si>
  <si>
    <t>GearRatioMasterCounts</t>
  </si>
  <si>
    <t>Gear Ratio Master Counts (M)</t>
  </si>
  <si>
    <t>Electronic Gear Ratio (Denominator) (M)</t>
  </si>
  <si>
    <t>0x015A</t>
  </si>
  <si>
    <t>P1.046</t>
  </si>
  <si>
    <t>EncoderOutputResolution</t>
  </si>
  <si>
    <t>Encoder Output Resolution</t>
  </si>
  <si>
    <t>Pulse Number of Encoder Output</t>
  </si>
  <si>
    <t>0x015C</t>
  </si>
  <si>
    <t>2019.04.24. Delta changed max from 320000 to 536870912.</t>
  </si>
  <si>
    <t>P1.047</t>
  </si>
  <si>
    <t>SpeedWindow</t>
  </si>
  <si>
    <t>Speed Window</t>
  </si>
  <si>
    <t>Speed reached (DO.SP_OK) range</t>
  </si>
  <si>
    <t>0x015E</t>
  </si>
  <si>
    <t>P1.048</t>
  </si>
  <si>
    <t>ToSpeedAction</t>
  </si>
  <si>
    <t>To Speed Action</t>
  </si>
  <si>
    <t>Speed reached (DO.SP_OK) operation selection</t>
  </si>
  <si>
    <t>0x0160</t>
  </si>
  <si>
    <t>PR/IO</t>
  </si>
  <si>
    <t>12/06: Update Name</t>
  </si>
  <si>
    <t>P1.049</t>
  </si>
  <si>
    <t>SpeedWindowTime</t>
  </si>
  <si>
    <t>Speed Window Time</t>
  </si>
  <si>
    <t>Accumulative time of speed reached</t>
  </si>
  <si>
    <t>0x0162</t>
  </si>
  <si>
    <t>P1.052</t>
  </si>
  <si>
    <t>Ohms</t>
  </si>
  <si>
    <t>ShuntResistorValue</t>
  </si>
  <si>
    <t>Shunt Resistor Value</t>
  </si>
  <si>
    <t>Regenerative Resistor Value</t>
  </si>
  <si>
    <t>0x0168</t>
  </si>
  <si>
    <t>Range: 400W:30-750; 1.5kW:20-750; 2kW~7.5kW:10-750; 15kW: 5-750.
2019.01.07. Changed default from 20 to 100
2019.03.05. 400W with motor, Test result shows Min is 20.
2019.04.09. Fixed. Min is 30 with 400W</t>
  </si>
  <si>
    <t>P1.053</t>
  </si>
  <si>
    <t>W</t>
  </si>
  <si>
    <t>ShuntResistorPower</t>
  </si>
  <si>
    <t>Regenerative Resistor Capacity</t>
  </si>
  <si>
    <t>0x016A</t>
  </si>
  <si>
    <r>
      <rPr>
        <strike/>
        <sz val="10"/>
        <rFont val="Arial"/>
        <family val="2"/>
      </rPr>
      <t xml:space="preserve">Default: under 0.2kW:20-750; 1.5kW: 40; 2kW~3kW:80. Need to check the set value range according to product code.
</t>
    </r>
    <r>
      <rPr>
        <sz val="10"/>
        <rFont val="Arial"/>
        <family val="2"/>
      </rPr>
      <t>Default in A3 manual: &lt;200W: 0, 400W~1.5kW: 40, 2kW~3kW: 80
2019.01.18. Default changed from 0 to 40.
2019.01.07. default 10 differ to A3 manual (40 for 400W drive)
2019.01.30. Test result shows max was changed to 3000. 
2019.02.20. Delta changed from 40 to 10 per RA's require.</t>
    </r>
  </si>
  <si>
    <t>P1.054</t>
  </si>
  <si>
    <t>InPositionWindow</t>
  </si>
  <si>
    <t>In Position Window</t>
  </si>
  <si>
    <t>Position Completed Range</t>
  </si>
  <si>
    <t>0x016C</t>
  </si>
  <si>
    <t>2019.01.07. default changed from 16777216 to 167772.</t>
  </si>
  <si>
    <t>P1.055</t>
  </si>
  <si>
    <t>MaximumSpeed</t>
  </si>
  <si>
    <t>Maximum Speed</t>
  </si>
  <si>
    <t>Maximum Speed Limit</t>
  </si>
  <si>
    <t>0x016E</t>
  </si>
  <si>
    <t>Range: 10-max.speed, RA's motor max speed is 8000RPM. need to check the set value range according to motor type
2019.01.17. Dubug board, PM.032=8000, but P1.055 max is 8000. P1.055 &lt;= PM.032*1.05.
2019.04.19. Max changed from 8000 to 8400.
2019.10.31. Delta change to can be modify when Servo-on under PT mode.</t>
  </si>
  <si>
    <t>P1.056</t>
  </si>
  <si>
    <t>OverloadWarningUserThreshold</t>
  </si>
  <si>
    <t>User defined threshold for overload warning</t>
  </si>
  <si>
    <t>Output Overload Warning Level</t>
  </si>
  <si>
    <t>0x0170</t>
  </si>
  <si>
    <t>P1.057</t>
  </si>
  <si>
    <t>CrashProtectionTorqueThreshold</t>
  </si>
  <si>
    <t>Crash Protection Torque Threshold</t>
  </si>
  <si>
    <t>Motor Crash Protection (torque percentage)</t>
  </si>
  <si>
    <t>0x0172</t>
  </si>
  <si>
    <t>P1.058</t>
  </si>
  <si>
    <t>CrashProtectionFilterTime</t>
  </si>
  <si>
    <t>Crash Protection Filter Time</t>
  </si>
  <si>
    <t>Motor Crash Protection Time</t>
  </si>
  <si>
    <t>0x0174</t>
  </si>
  <si>
    <t>P1.059</t>
  </si>
  <si>
    <t>VelocityCmdMovingFilterTime</t>
  </si>
  <si>
    <t>Velocity Command Moving Filter Time Constant</t>
  </si>
  <si>
    <t>Speed command.moving filter</t>
  </si>
  <si>
    <t>0x0176</t>
  </si>
  <si>
    <t>S/IO</t>
  </si>
  <si>
    <t>Follow A3 range: (1)Panel/Soft: 0-4 (2)Communication(parameter object): 0-40</t>
  </si>
  <si>
    <t>P1.062</t>
  </si>
  <si>
    <t>FrictionCompensation</t>
  </si>
  <si>
    <t>Friction Compensation</t>
  </si>
  <si>
    <t>0x017C</t>
  </si>
  <si>
    <t>PT/PR/S/Sz/IO</t>
  </si>
  <si>
    <t>P1.063</t>
  </si>
  <si>
    <t>FrictionCompensationSmoothTime</t>
  </si>
  <si>
    <t>Friction Compensation Smooth Time Constant</t>
  </si>
  <si>
    <t>Friction Compensation Smooth Constant</t>
  </si>
  <si>
    <t>0x017E</t>
  </si>
  <si>
    <t>P1.064</t>
  </si>
  <si>
    <t>AnalogToPositionStartupConfiguration</t>
  </si>
  <si>
    <t>Analog To Position Command Startup Configuration</t>
  </si>
  <si>
    <t>0x0180</t>
  </si>
  <si>
    <t>Listed in ASDA Soft, but no item in A3 manual A2 has, change“Activation Control” to “Analog Position Command Setting”
12/06: Update Name</t>
  </si>
  <si>
    <t>P1.065</t>
  </si>
  <si>
    <t>10ms</t>
  </si>
  <si>
    <t>AnalogToPositionSmoothTime</t>
  </si>
  <si>
    <t>Analog To Position Command Smooth Time Constant</t>
  </si>
  <si>
    <t>Smooth Constant of Analog Position Command</t>
  </si>
  <si>
    <t>0x0182</t>
  </si>
  <si>
    <t>Listed in ASDA Soft, but no item in A3 manual</t>
  </si>
  <si>
    <t>P1.066</t>
  </si>
  <si>
    <t>AnalogToPositionMaxRotationNum</t>
  </si>
  <si>
    <t>Analog To Position Command Max Rotation Number</t>
  </si>
  <si>
    <t>Max. Rotation Number of Analog Position Command</t>
  </si>
  <si>
    <t>0x0184</t>
  </si>
  <si>
    <t>Listed in ASDA Soft, but no item in A3 manual
2019.04.24. max changed from 200 to 2000, and unit changed from rev to 0.1 rev.</t>
  </si>
  <si>
    <t>P1.068</t>
  </si>
  <si>
    <t>PositionCmdMovingFilterTime</t>
  </si>
  <si>
    <t>Position Command Moving Filter Time Constant</t>
  </si>
  <si>
    <t>Position Command Moving Average Filter</t>
  </si>
  <si>
    <t>0x0188</t>
  </si>
  <si>
    <t>P1.072</t>
  </si>
  <si>
    <t>Counts/Rev</t>
  </si>
  <si>
    <t>AuxFeedbackResolution</t>
  </si>
  <si>
    <t>Auxiliary Feedback Resolution</t>
  </si>
  <si>
    <t>Resolution of Linear Scale for Full-closed Loop Control</t>
  </si>
  <si>
    <t>0x0190</t>
  </si>
  <si>
    <t>P1.073</t>
  </si>
  <si>
    <t>MotorAndAuxFeedbackErrorLimit</t>
  </si>
  <si>
    <t>Error Limit between Motor and Auxiliary Feedback</t>
  </si>
  <si>
    <t>Error Protection Range for Full-closed Loop Control</t>
  </si>
  <si>
    <t>0x0192</t>
  </si>
  <si>
    <t>P1.074</t>
  </si>
  <si>
    <t>0xF131</t>
  </si>
  <si>
    <t>FullClosedLoopControlConfiguration</t>
  </si>
  <si>
    <t>Full-closed Loop Control Configuration</t>
  </si>
  <si>
    <t>Full-closed Loop Control of Linear Scale</t>
  </si>
  <si>
    <t>0x0194</t>
  </si>
  <si>
    <t>2019.05.15. max changed from 0xF132 to 0xF131.</t>
  </si>
  <si>
    <t>P1.075</t>
  </si>
  <si>
    <t>FullHalfClosedLoopLowPassFilterTime</t>
  </si>
  <si>
    <t>Full/Half-closed Loop Control Low Pass Filter Time Constant</t>
  </si>
  <si>
    <t>Low-pass Filter Time Constant of Full-closed Loop Control</t>
  </si>
  <si>
    <t>0x0196</t>
  </si>
  <si>
    <t>P1.076</t>
  </si>
  <si>
    <t>MaxEncoderOutputSpeed</t>
  </si>
  <si>
    <t>Max Encoder Output Speed</t>
  </si>
  <si>
    <t>Max. Rotation of Encoder Output Setting (OA, OB)</t>
  </si>
  <si>
    <t>0x0198</t>
  </si>
  <si>
    <t>2019.04.09. Shall the max be changed to 8000?
2019.04.09. Max is 8000 in DSP side already.
2019.04.17. Delta changed default from 5500 to 8000.</t>
  </si>
  <si>
    <t>P1.083</t>
  </si>
  <si>
    <t>mV</t>
  </si>
  <si>
    <t>AbnormalAnalogInputVoltageLevel</t>
  </si>
  <si>
    <t>Abnormal Analog Input Voltage Level</t>
  </si>
  <si>
    <t>0x01A6</t>
  </si>
  <si>
    <t>P1.087</t>
  </si>
  <si>
    <t>Homing Collision Torque Limit</t>
  </si>
  <si>
    <t>Torque limit setting</t>
  </si>
  <si>
    <t>0x01AE</t>
  </si>
  <si>
    <t>P1.088</t>
  </si>
  <si>
    <t>HomingCollisionTorqueLimitTime</t>
  </si>
  <si>
    <t>Homing Collision Torque Limit Time</t>
  </si>
  <si>
    <t>Torque limit time setting</t>
  </si>
  <si>
    <t>0x01B0</t>
  </si>
  <si>
    <t>P1.097</t>
  </si>
  <si>
    <t>EncoderOutputDenominator</t>
  </si>
  <si>
    <t>Encoder Output Denominator</t>
  </si>
  <si>
    <t>Encoder output denominator</t>
  </si>
  <si>
    <t>0x01C2</t>
  </si>
  <si>
    <t>P1.098</t>
  </si>
  <si>
    <t>PowerLossDiagnosticTime</t>
  </si>
  <si>
    <t>Power Loss Diagnostic Time</t>
  </si>
  <si>
    <t>Disconnection detection protection (UVW) response time</t>
  </si>
  <si>
    <t>0x01C4</t>
  </si>
  <si>
    <t>Range: 0, 100 ~ 800</t>
  </si>
  <si>
    <t>P1.101</t>
  </si>
  <si>
    <t>PresetAnalogOutput1</t>
  </si>
  <si>
    <t>Preset Analog Output Value 1</t>
  </si>
  <si>
    <t>Analog monitor output voltage 1</t>
  </si>
  <si>
    <t>0x01CA</t>
  </si>
  <si>
    <t>P1.102</t>
  </si>
  <si>
    <t>PresetAnalogOutput2</t>
  </si>
  <si>
    <t>Preset Analog Output Value 2</t>
  </si>
  <si>
    <t>Analog monitor output voltage 2</t>
  </si>
  <si>
    <t>0x01CC</t>
  </si>
  <si>
    <t>P1.103</t>
  </si>
  <si>
    <t>0x00000101</t>
  </si>
  <si>
    <t>DI10 Capture Configuration</t>
  </si>
  <si>
    <t>CAPTURE / COMPARE – Additional Function Settings (DI10)</t>
  </si>
  <si>
    <t>0x01CE</t>
  </si>
  <si>
    <t>These two parameters are reserved in the A3 manual</t>
  </si>
  <si>
    <t>P1.104</t>
  </si>
  <si>
    <t>DI10 Capture Mask Range</t>
  </si>
  <si>
    <t>CAPTURE – Masking Range Setting (DI8)</t>
  </si>
  <si>
    <t>0x01D0</t>
  </si>
  <si>
    <t>P2.000</t>
  </si>
  <si>
    <t>rad/s</t>
  </si>
  <si>
    <t>PositionProportionalGain</t>
  </si>
  <si>
    <t>Position Proportional Gain</t>
  </si>
  <si>
    <t>Position Loop Gain</t>
  </si>
  <si>
    <t>0x0200</t>
  </si>
  <si>
    <t>2019.01.07. Default 36 differ to A3 manual (35).
2019.04.19. Default changed from 35 to 36.</t>
  </si>
  <si>
    <t>P2.001</t>
  </si>
  <si>
    <t>PositionProportionalGainRate</t>
  </si>
  <si>
    <t>Position Proportional Gain Changing Rate</t>
  </si>
  <si>
    <t>Switching Rate of Position Loop Gain</t>
  </si>
  <si>
    <t>0x0202</t>
  </si>
  <si>
    <t>P2.002</t>
  </si>
  <si>
    <t>VelocityFeedforwardGain</t>
  </si>
  <si>
    <t>Velocity Feedforward Gain</t>
  </si>
  <si>
    <t>Position Feed Forward Gain</t>
  </si>
  <si>
    <t>0x0204</t>
  </si>
  <si>
    <t>P2.003</t>
  </si>
  <si>
    <t>VelocityFeedforwardLowPassFilterTime</t>
  </si>
  <si>
    <t>Velocity Feedforward Low Pass Filter Time Constant</t>
  </si>
  <si>
    <t>Smooth Constant of Position Feed Forward Gain</t>
  </si>
  <si>
    <t>0x0206</t>
  </si>
  <si>
    <t>P2.004</t>
  </si>
  <si>
    <t>VelocityProportionalGain</t>
  </si>
  <si>
    <t>Velocity Proportional Gain</t>
  </si>
  <si>
    <t>Speed Loop Gain</t>
  </si>
  <si>
    <t>0x0208</t>
  </si>
  <si>
    <t>2019.01.07. Default 144 differ to A3 manual(500)
2019.04.19. Default changed from 500 to 144.</t>
  </si>
  <si>
    <t>P2.005</t>
  </si>
  <si>
    <t>VelocityProportionalGainRate</t>
  </si>
  <si>
    <t>Velocity Proportional Gain Changing Rate</t>
  </si>
  <si>
    <t>Switching Rate of Speed Loop Gain</t>
  </si>
  <si>
    <t>0x020A</t>
  </si>
  <si>
    <t>P2.006</t>
  </si>
  <si>
    <t>VelocityIntegralGain</t>
  </si>
  <si>
    <t>Velocity Integral Gain</t>
  </si>
  <si>
    <t>Speed Integral Compensation</t>
  </si>
  <si>
    <t>0x020C</t>
  </si>
  <si>
    <t>2019.01.07. Default 23 deffer to A3 manual(100)
2019.04.19. Default changed from 100 to 23.</t>
  </si>
  <si>
    <t>P2.007</t>
  </si>
  <si>
    <t>AccelFeedforwardGain</t>
  </si>
  <si>
    <t>Acceleration Feedforward Gain</t>
  </si>
  <si>
    <t>Speed Feed Forward Gain</t>
  </si>
  <si>
    <t>0x020E</t>
  </si>
  <si>
    <t>P2.008</t>
  </si>
  <si>
    <t>ForceFunction</t>
  </si>
  <si>
    <t>Force Function</t>
  </si>
  <si>
    <t>Special Parameter Write-in</t>
  </si>
  <si>
    <t>0x0210</t>
  </si>
  <si>
    <t>NEO-S will send the reset service to DSP instead.
01/02: NOT Config (Force function)
10-Parameter reset (require power cycle manually)
22-P4.011~P4.021 write enable
20-P4.010 write enable
271-P2-71 write enable
30,28-参数超出范围重置？
30,39-除了工厂设定参数外，所有参数重置
30,35-储存COMPARE、CAPTURE及E-Cam的资料
---Follows Only for Development-----------------------
30,32 reset parameters, same with 10.
Mfg: 34,36,Open the Hidden Pameters
Mfg: 168: Exit Factory Mode
2019.01.30. test result shows max is 501.
2019.04.09. changed max from 65535 to 501.</t>
  </si>
  <si>
    <t>P2.009</t>
  </si>
  <si>
    <t>DIDebounceTime</t>
  </si>
  <si>
    <t>Digital Input Debouncing Time</t>
  </si>
  <si>
    <t>DI Debouncing Time</t>
  </si>
  <si>
    <t>0x0212</t>
  </si>
  <si>
    <t>P2.010</t>
  </si>
  <si>
    <t>0x014F</t>
  </si>
  <si>
    <t>0x0100</t>
    <phoneticPr fontId="0" type="noConversion"/>
  </si>
  <si>
    <t>DI1Configuration</t>
  </si>
  <si>
    <t>Digital Input 1 Configuration</t>
  </si>
  <si>
    <t>DI1 Functional Planning</t>
  </si>
  <si>
    <t>0x0214</t>
  </si>
  <si>
    <t>2019.01.16. A3 Manual table-8.1, &lt;=0x47.
2019.03.29. Changed max to 0x014F per test result.</t>
  </si>
  <si>
    <t>P2.011</t>
  </si>
  <si>
    <t>DI2Configuration</t>
  </si>
  <si>
    <t>Digital Input 2 Configuration</t>
  </si>
  <si>
    <t>DI2 Functional Planning</t>
  </si>
  <si>
    <t>0x0216</t>
  </si>
  <si>
    <t>P2.012</t>
  </si>
  <si>
    <t>DI3Configuration</t>
  </si>
  <si>
    <t>Digital Input 3 Configuration</t>
  </si>
  <si>
    <t>DI3 Functional Planning</t>
  </si>
  <si>
    <t>0x0218</t>
  </si>
  <si>
    <t>P2.013</t>
  </si>
  <si>
    <t>DI4Configuration</t>
  </si>
  <si>
    <t>Digital Input 4 Configuration</t>
  </si>
  <si>
    <t>DI4 Functional Planning</t>
  </si>
  <si>
    <t>0x021A</t>
  </si>
  <si>
    <t>P2.014</t>
  </si>
  <si>
    <t>DI5Configuration</t>
  </si>
  <si>
    <t>Digital Input 5 Configuration</t>
  </si>
  <si>
    <t>DI5 Functional Planning</t>
  </si>
  <si>
    <t>0x021C</t>
  </si>
  <si>
    <t>P2.015</t>
  </si>
  <si>
    <t>DI6Configuration</t>
  </si>
  <si>
    <t>Digital Input 6 Configuration</t>
  </si>
  <si>
    <t>DI6 Functional Planning</t>
  </si>
  <si>
    <t>0x021E</t>
  </si>
  <si>
    <t>P2.016</t>
  </si>
  <si>
    <t>DI7Configuration</t>
  </si>
  <si>
    <t>Digital Input 7 Configuration</t>
  </si>
  <si>
    <t>DI7 Functional Planning</t>
  </si>
  <si>
    <t>0x0220</t>
  </si>
  <si>
    <t>P2.017</t>
  </si>
  <si>
    <t>DI8Configuration</t>
  </si>
  <si>
    <t>Digital Input 8 Configuration</t>
  </si>
  <si>
    <t>DI8 Functional Planning</t>
  </si>
  <si>
    <t>0x0222</t>
  </si>
  <si>
    <t>2019.01.07. Default changed from  0x0022 to 0x0021. A3 manual error.
2019.01.16. A3 Manual table-8.1, &lt;=0x47.
2019.03.29. Changed max to 0x014F per test result.</t>
  </si>
  <si>
    <t>P2.018</t>
  </si>
  <si>
    <t>0x013F</t>
  </si>
  <si>
    <t>DO1Configuration</t>
  </si>
  <si>
    <t>Digital Output 1 Configuration</t>
  </si>
  <si>
    <t>DO1 Functional Planning</t>
  </si>
  <si>
    <t>0x0224</t>
  </si>
  <si>
    <t>P2.019</t>
  </si>
  <si>
    <t>DO2Configuration</t>
  </si>
  <si>
    <t>Digital Output 2 Configuration</t>
  </si>
  <si>
    <t>DO2 Functional Planning</t>
  </si>
  <si>
    <t>0x0226</t>
  </si>
  <si>
    <t>P2.020</t>
  </si>
  <si>
    <t>DO3Configuration</t>
  </si>
  <si>
    <t>Digital Output 3 Configuration</t>
  </si>
  <si>
    <t>DO3 Functional Planning</t>
  </si>
  <si>
    <t>0x0228</t>
  </si>
  <si>
    <t>P2.021</t>
  </si>
  <si>
    <t>DO4Configuration</t>
  </si>
  <si>
    <t>Digital Output 4 Configuration</t>
  </si>
  <si>
    <t>DO4 Functional Planning</t>
  </si>
  <si>
    <t>0x022A</t>
  </si>
  <si>
    <t>P2.022</t>
  </si>
  <si>
    <t>DO5Configuration</t>
  </si>
  <si>
    <t>Digital Output 5 Configuration</t>
  </si>
  <si>
    <t>DO5 Functional Planning</t>
  </si>
  <si>
    <t>0x022C</t>
  </si>
  <si>
    <t>P2.023</t>
  </si>
  <si>
    <t>NotchFilter1Frequency</t>
  </si>
  <si>
    <t>Notch Filter 1 Frequency</t>
  </si>
  <si>
    <t>Resonance Suppression (Notch Filter) (1)</t>
  </si>
  <si>
    <t>0x022E</t>
  </si>
  <si>
    <t>P2.024</t>
  </si>
  <si>
    <t>-dB</t>
  </si>
  <si>
    <t>NotchFilter1Depth</t>
  </si>
  <si>
    <t>Notch Filter 1 Depth</t>
  </si>
  <si>
    <t>Resonance Suppression (Notch Filter) Attenuation Rate (1)</t>
  </si>
  <si>
    <t>0x0230</t>
  </si>
  <si>
    <t>P2.025</t>
  </si>
  <si>
    <t>ResonanceSuppressionLowPassFilterTime</t>
  </si>
  <si>
    <t>Resonance Suppression Low Pass Filter Time Constant</t>
  </si>
  <si>
    <t>Low-pass Filter of Resonance Suppression</t>
  </si>
  <si>
    <t>0x0232</t>
  </si>
  <si>
    <t>Follow A3 range: (1)Panel/Soft: 0-100 (2)Communication(parameter object): 0-1000
2018.01.11. Unit changed form ms to 0.1 ms
2019.01.07. Default 8 differ to A3 manual 10(0.1).
2019.04.19. Default changed from 1 to 8.</t>
  </si>
  <si>
    <t>P2.026</t>
  </si>
  <si>
    <t>AntiInterferenceGain</t>
  </si>
  <si>
    <t>Anti-interference Gain</t>
  </si>
  <si>
    <t>0x0234</t>
  </si>
  <si>
    <t>P2.027</t>
  </si>
  <si>
    <t>0x0018</t>
  </si>
  <si>
    <t>GainSwitchingSelection</t>
  </si>
  <si>
    <t>Gain Switching Selection</t>
  </si>
  <si>
    <t>Gain Switching and Switching Selection</t>
  </si>
  <si>
    <t>0x0236</t>
  </si>
  <si>
    <t>P2.028</t>
  </si>
  <si>
    <t>GainSwitchingTime</t>
  </si>
  <si>
    <t>Gain Switching Time Constant</t>
  </si>
  <si>
    <t>0x0238</t>
  </si>
  <si>
    <t>P2.029</t>
  </si>
  <si>
    <t>GainSwitchingThreshold</t>
  </si>
  <si>
    <t>Gain Switching Threshold</t>
  </si>
  <si>
    <t>Gain Switching</t>
  </si>
  <si>
    <t>0x023A</t>
  </si>
  <si>
    <t>range: 0 ~ 25165824</t>
  </si>
  <si>
    <t>P2.030</t>
  </si>
  <si>
    <t>AuxiliaryFunction</t>
  </si>
  <si>
    <t>Auxiliary Function</t>
  </si>
  <si>
    <t>0x023C</t>
  </si>
  <si>
    <t>valid  range 0,1,5,6,7,8,-1,-5,-6,-7
01/02: NOT Config (Simulation Function)
2019.01.14. Min changed from -8 to -7;</t>
  </si>
  <si>
    <t>P2.031</t>
  </si>
  <si>
    <t>SysGainResponseLevel</t>
  </si>
  <si>
    <t>System Gain Response Level</t>
  </si>
  <si>
    <t>Speed Loop Frequency Response Setting in Auto and Semi-Auto Mode</t>
  </si>
  <si>
    <t>0x023E</t>
  </si>
  <si>
    <t>P2.032</t>
  </si>
  <si>
    <t>0x0004</t>
  </si>
  <si>
    <t>0x0001</t>
  </si>
  <si>
    <t>GainAdjustMode</t>
  </si>
  <si>
    <t>Gain Adjustment Mode</t>
  </si>
  <si>
    <t>Tuning Mode Selection</t>
  </si>
  <si>
    <t>0x0240</t>
  </si>
  <si>
    <t>P2.034</t>
  </si>
  <si>
    <t>1
1</t>
    <phoneticPr fontId="0" type="noConversion"/>
  </si>
  <si>
    <t>28500
15999</t>
    <phoneticPr fontId="0" type="noConversion"/>
  </si>
  <si>
    <t>8000
8000</t>
    <phoneticPr fontId="0" type="noConversion"/>
  </si>
  <si>
    <t>VelocityErrorTolerance</t>
  </si>
  <si>
    <t>Velocity Error Tolerance</t>
  </si>
  <si>
    <t>The Condition of Overspeed Warning</t>
  </si>
  <si>
    <t>0x0244</t>
  </si>
  <si>
    <t>Setting range: 0-15999 for Linear Motor, 0-30000 for rotary motor</t>
  </si>
  <si>
    <t>P2.035</t>
  </si>
  <si>
    <t>50331648
30000</t>
    <phoneticPr fontId="0" type="noConversion"/>
  </si>
  <si>
    <t>PositionErrorTolerance</t>
  </si>
  <si>
    <t>Position Error Tolerance</t>
  </si>
  <si>
    <t>Condition of Excessive Position Control Deviation Warning</t>
  </si>
  <si>
    <t>0x0246</t>
  </si>
  <si>
    <t>P2.036</t>
  </si>
  <si>
    <t>DI9Configuration</t>
  </si>
  <si>
    <t>Digital Input 9 Configuration</t>
  </si>
  <si>
    <t>DI9 Functional Planning</t>
    <phoneticPr fontId="18" type="noConversion"/>
  </si>
  <si>
    <t>0x0248</t>
  </si>
  <si>
    <t>Changed the names
2019.03.29. Changed max to 0x014F per test result.
2019.04.19. Changed default from 0x0000 to 0x0100.</t>
  </si>
  <si>
    <t>P2.037</t>
  </si>
  <si>
    <t>DI10Configuration</t>
  </si>
  <si>
    <t>Digital Input 10 Configuration</t>
  </si>
  <si>
    <t>DI10 Functional Planning</t>
    <phoneticPr fontId="18" type="noConversion"/>
  </si>
  <si>
    <t>0x024A</t>
  </si>
  <si>
    <t>P2.038</t>
  </si>
  <si>
    <t>VirtualDI11Configuration</t>
  </si>
  <si>
    <t>Virtual Digital Input 11 Configuration</t>
  </si>
  <si>
    <t>VDI11 Functional Planning</t>
    <phoneticPr fontId="18" type="noConversion"/>
  </si>
  <si>
    <t>0x024C</t>
  </si>
  <si>
    <t>P2.039</t>
  </si>
  <si>
    <t>VirtualDI12Configuration</t>
  </si>
  <si>
    <t>Virtual Digital Input 12 Configuration</t>
  </si>
  <si>
    <t>VDI12 Functional Planning</t>
    <phoneticPr fontId="18" type="noConversion"/>
  </si>
  <si>
    <t>0x024E</t>
  </si>
  <si>
    <t>P2.040</t>
  </si>
  <si>
    <t>VirtualDI13Configuration</t>
  </si>
  <si>
    <t>Virtual Digital Input 13 Configuration</t>
  </si>
  <si>
    <t>VDI13 Functional Planning</t>
    <phoneticPr fontId="18" type="noConversion"/>
  </si>
  <si>
    <t>0x0250</t>
  </si>
  <si>
    <t>Changed the names
2019.04.19. Changed default from 0x0000 to 0x0100.</t>
  </si>
  <si>
    <t>P2.041</t>
  </si>
  <si>
    <t>DO6Configuration</t>
  </si>
  <si>
    <t>Digital Output 6 Configuration</t>
  </si>
  <si>
    <t>DO6 Functional Planning</t>
  </si>
  <si>
    <t>0x0252</t>
  </si>
  <si>
    <t>2019.04.19. Changed default from 0x0000 to 0x0100.</t>
  </si>
  <si>
    <t>P2.043</t>
  </si>
  <si>
    <t>NotchFilter2Frequency</t>
  </si>
  <si>
    <t>Notch Filter 2 Frequency</t>
  </si>
  <si>
    <t>Resonance Suppression (Notch Filter) (2)</t>
  </si>
  <si>
    <t>0x0256</t>
  </si>
  <si>
    <t>P2.044</t>
  </si>
  <si>
    <t>NotchFilter2Depth</t>
  </si>
  <si>
    <t>Notch Filter 2 Depth</t>
  </si>
  <si>
    <t>Resonance Suppression (Notch Filter) Attenuation Rate (2)</t>
  </si>
  <si>
    <t>0x0258</t>
  </si>
  <si>
    <t>P2.045</t>
  </si>
  <si>
    <t>NotchFilter3Frequency</t>
  </si>
  <si>
    <t>Notch Filter 3 Frequency</t>
  </si>
  <si>
    <t>Resonance Suppression (Notch Filter) (3)</t>
  </si>
  <si>
    <t>0x025A</t>
  </si>
  <si>
    <t>P2.046</t>
  </si>
  <si>
    <t>NotchFilter3Depth</t>
  </si>
  <si>
    <t>Notch Filter 3 Depth</t>
  </si>
  <si>
    <t>Resonance Suppression (Notch Filter) Attenuation Rate (3)</t>
  </si>
  <si>
    <t>0x025C</t>
  </si>
  <si>
    <t>P2.047</t>
  </si>
  <si>
    <t>0x01F2</t>
  </si>
  <si>
    <t>ResonanceSuppressionConfig</t>
  </si>
  <si>
    <t>Resonance Suppression Configuration</t>
  </si>
  <si>
    <t>Auto Resonance Suppression Mode Setting</t>
  </si>
  <si>
    <t>0x025E</t>
  </si>
  <si>
    <t>P2.048</t>
  </si>
  <si>
    <t>ResonanceDiagnosticLevel</t>
  </si>
  <si>
    <t>Resonance Diagnostic Level</t>
  </si>
  <si>
    <t>Auto Resonance Suppression Detection Level</t>
  </si>
  <si>
    <t>0x0260</t>
  </si>
  <si>
    <t>P2.049</t>
  </si>
  <si>
    <t>VelocityFeedbackLowPassFilterTime</t>
  </si>
  <si>
    <t>Velocity Feedback Low Pass Filter Time Constant</t>
  </si>
  <si>
    <t>Speed Detection Filter</t>
  </si>
  <si>
    <t>0x0262</t>
  </si>
  <si>
    <t>Follow A3 range: (1)Panel/Soft: 0-100 (2)Communication(parameter object): 0-1000
2018.01.11. Unit changed form ms to 0.1 ms
2019.04.19. Default changed from 1 to 8.</t>
  </si>
  <si>
    <t>P2.050</t>
  </si>
  <si>
    <t>PulseClearMode</t>
  </si>
  <si>
    <t>Pulse Clear Mode</t>
  </si>
  <si>
    <t>0x0264</t>
  </si>
  <si>
    <t>P2.052</t>
  </si>
  <si>
    <t>Indexing Coordinates Scale</t>
  </si>
  <si>
    <t>0x0268</t>
  </si>
  <si>
    <r>
      <t xml:space="preserve">2019.01.11: </t>
    </r>
    <r>
      <rPr>
        <sz val="8"/>
        <rFont val="Arial"/>
        <family val="2"/>
      </rPr>
      <t xml:space="preserve">Safe Factor: 1.05; Position resolution: MaxSpeed * UpdateTime (1us) = PM.032(rpm) * 1/60000 (min) ; CUU(Counts of User Unit): Single_turn_pulse / GearRatio = PM.004 * P1.045 / P1.044; </t>
    </r>
    <r>
      <rPr>
        <sz val="10"/>
        <rFont val="Arial"/>
        <family val="2"/>
      </rPr>
      <t>Min &gt;  1.05 * (PM.032 / 60000) * (PM.004  * P1.045 / P1.044). 
Max changed from 1000,000,000 to 1,073,741,824
2019.04.26: Calculate in Firmware: (PM.004  * P1.045 / P1.044) * PM.032 / 57142</t>
    </r>
  </si>
  <si>
    <t>P2.053</t>
  </si>
  <si>
    <t>PositionIntegralGain</t>
  </si>
  <si>
    <t>Position Integral Gain</t>
  </si>
  <si>
    <t>Position Integral Compensation</t>
  </si>
  <si>
    <t>0x026A</t>
  </si>
  <si>
    <t>P2.060</t>
  </si>
  <si>
    <t>GearRatioFollowerCountsN2</t>
    <phoneticPr fontId="0" type="noConversion"/>
  </si>
  <si>
    <t>Gear Ratio Follower Counts (N2)</t>
    <phoneticPr fontId="0" type="noConversion"/>
  </si>
  <si>
    <t>Electronic Gear Ratio (Numerator) (N2)</t>
  </si>
  <si>
    <t>0x0278</t>
  </si>
  <si>
    <t>P2.061</t>
  </si>
  <si>
    <t>GearRatioFollowerCountsN3</t>
    <phoneticPr fontId="0" type="noConversion"/>
  </si>
  <si>
    <t>Gear Ratio Follower Counts (N3)</t>
    <phoneticPr fontId="0" type="noConversion"/>
  </si>
  <si>
    <t>Electronic Gear Ratio (Numerator) (N3)</t>
  </si>
  <si>
    <t>0x027A</t>
  </si>
  <si>
    <t>P2.062</t>
  </si>
  <si>
    <t>GearRatioFollowerCountsN4</t>
    <phoneticPr fontId="0" type="noConversion"/>
  </si>
  <si>
    <t>Gear Ratio Follower Counts (N4)</t>
    <phoneticPr fontId="0" type="noConversion"/>
  </si>
  <si>
    <t>Electronic Gear Ratio (Numerator) (N4)</t>
  </si>
  <si>
    <t>0x027C</t>
  </si>
  <si>
    <t>P2.065</t>
  </si>
  <si>
    <t>0xBF48</t>
  </si>
  <si>
    <t>0x1000</t>
    <phoneticPr fontId="0" type="noConversion"/>
  </si>
  <si>
    <t>SpecialFunctionConfiguration1</t>
  </si>
  <si>
    <t>Special Function Configuration 1</t>
  </si>
  <si>
    <t>Special-bit Register</t>
  </si>
  <si>
    <t>0x0282</t>
  </si>
  <si>
    <t>2019.04.09. Set 0xFFFF will trigger A08A, set back to 0, still trigger.
2019.04.24. Max changed from 0xFFFF to 0xBF48, fixed A08A.</t>
  </si>
  <si>
    <t>P2.066</t>
  </si>
  <si>
    <t>0x0031</t>
  </si>
  <si>
    <t>0x0021</t>
  </si>
  <si>
    <t>SpecialFunctionConfiguration2</t>
  </si>
  <si>
    <t>Special Function Configuration 2</t>
  </si>
  <si>
    <t>Special-bit Register 2</t>
  </si>
  <si>
    <t>0x0284</t>
  </si>
  <si>
    <t>12/18: Delta modified Max 0x083F to 0x183F
Bit 5: 開啟 CN5 AB 相脈波斷線偵測 AL041
2019.01.07. 只有bit 2,4,5,9功能说明，需更新其它bit的功能说明或者为reserve
2019.01.11.Default changed from 0x0000 to 0x0020.
2019.03.29. Changed max from 0x183F to 0x0234 per test result. Only keep bit 2,4,5,9.
2019.04.17: Delta added  back BIT12 (E022 Fault Define Switch)</t>
  </si>
  <si>
    <t>P2.068</t>
  </si>
  <si>
    <t>0x0101</t>
  </si>
  <si>
    <t>Following Error Compensation Configuration</t>
  </si>
  <si>
    <t>Switch of Following Error Compensation</t>
  </si>
  <si>
    <t>0x0288</t>
  </si>
  <si>
    <t>12/06: Delta modified Max 0x2101 to 0x101
12/18：Delta如有更動則再修改並通知RA</t>
  </si>
  <si>
    <t>P2.069</t>
  </si>
  <si>
    <t>AbsoluteSystemSetting</t>
  </si>
  <si>
    <t>Absolute System Setting</t>
  </si>
  <si>
    <t>Absolute Encoder Setting</t>
  </si>
  <si>
    <t>0x028A</t>
  </si>
  <si>
    <t>12/18: Delta modified Max 0x0111 to 0x101
絕對位置遺失時脈波命令設定 , 功能已移除？
2019.04.19. Delta confirmed, will update manual.</t>
  </si>
  <si>
    <t>P2.070</t>
  </si>
  <si>
    <t>0x0007</t>
  </si>
  <si>
    <t>DataReadUnitSelection</t>
  </si>
  <si>
    <t>Data Read Unit Selection</t>
  </si>
  <si>
    <t>Read Data Format Selection</t>
  </si>
  <si>
    <t>0x028C</t>
  </si>
  <si>
    <t>P2.071</t>
  </si>
  <si>
    <t>Reset Absolute Position</t>
  </si>
  <si>
    <t>ABS Position Homing</t>
  </si>
  <si>
    <t>0x028E</t>
  </si>
  <si>
    <t>Note: 1 can be set only when 193(P2.008)=271 and 242(P2.069).X=1
01/02: NOT Config (Reset Encoder Absolution Position)
2019.04.09. Comfirmed.</t>
  </si>
  <si>
    <t>P2.073</t>
  </si>
  <si>
    <t>0x5F3F6F5F</t>
  </si>
  <si>
    <t>E-CAM Configuration</t>
  </si>
  <si>
    <t>E-CAM Alignment – Operation Setting</t>
  </si>
  <si>
    <t>0x0292</t>
  </si>
  <si>
    <t>P2.074</t>
  </si>
  <si>
    <t>E-CAM DI Delay Time Compensation</t>
  </si>
  <si>
    <t>E-CAM Alignment – DI Delay Time Compensation</t>
  </si>
  <si>
    <t>0x0294</t>
  </si>
  <si>
    <t>P2.075</t>
  </si>
  <si>
    <t>E-CAM Alignment Position Reference</t>
  </si>
  <si>
    <t>E-CAM Alignment – Alignment Target Position</t>
  </si>
  <si>
    <t>0x0296</t>
  </si>
  <si>
    <t>In manual: max value is (P5.084/P5.083 -1),  for parameter object max value is 1000000000
min value is -(P5.084/P5.083 -1),  for parameter object max value is -1000000000</t>
    <phoneticPr fontId="0" type="noConversion"/>
  </si>
  <si>
    <t>P2.076</t>
  </si>
  <si>
    <t>0x6FF7</t>
  </si>
  <si>
    <t>E-CAM Control Configuration</t>
  </si>
  <si>
    <t>E-CAM Alignment – Source Setting</t>
  </si>
  <si>
    <t>0x0298</t>
  </si>
  <si>
    <t>P2.078</t>
  </si>
  <si>
    <t>Degrees</t>
  </si>
  <si>
    <t>Ecam DO.Cam Area2 Rising Edge Angle</t>
  </si>
  <si>
    <t>E-CAM: Area Number #2 + (Polarity is Positive)</t>
  </si>
  <si>
    <t>0x029C</t>
  </si>
  <si>
    <t>P2.079</t>
  </si>
  <si>
    <t>Ecam DO.Cam Area2 Falling Edge Angle</t>
  </si>
  <si>
    <t>E-CAM: Area Number #2 + (Polarity is Negative)</t>
  </si>
  <si>
    <t>0x029E</t>
  </si>
  <si>
    <t>P2.081</t>
  </si>
  <si>
    <t>PositionErrorToleranceTime</t>
  </si>
  <si>
    <t>Position Error Tolerance Time</t>
  </si>
  <si>
    <t>Position Error Time</t>
  </si>
  <si>
    <t>0x02A2</t>
  </si>
  <si>
    <t>New added</t>
  </si>
  <si>
    <t>P2.093</t>
  </si>
  <si>
    <t>0x0012</t>
  </si>
  <si>
    <t>0x0022</t>
  </si>
  <si>
    <t>STOFeedbackConfiguration</t>
  </si>
  <si>
    <t>STO Feedback Configuration</t>
  </si>
  <si>
    <t>STO FDBK control</t>
  </si>
  <si>
    <t>0x02BA</t>
  </si>
  <si>
    <t>FRS: 0x0010-FDBK no latch, 0x0020-FDBK latch.
2019.01.07. default 0x0012 Min ?  Needs update.
2019.04.24. Will remove unuse bytes (max 0x0020).
2019.05.08. Will modify to 0x0012 and 0x0022.
2019.05.15. Fixed.</t>
  </si>
  <si>
    <t>P2.094</t>
  </si>
  <si>
    <t>0x0030</t>
  </si>
  <si>
    <t>SpecialFunctionConfiguration3</t>
  </si>
  <si>
    <t>Special Function Configuration 3</t>
  </si>
  <si>
    <t>Special-bit Register 3</t>
  </si>
  <si>
    <t>0x02BC</t>
  </si>
  <si>
    <t>Delete Bit12, Bit9, Bit8. 
2019.01.07. Default 0x0010, Max needs update after delete Bit 12,9 and 8. or changed to reserved?
2019.01.30. Max changed to 0x00A6. 
bit5: 取消AL016 IGBT保护温度异警。
0x00A6 =0b0000_0000_1010_0110.   
bit2， bit3, bit7. description?
2019.03.29. changed max from 0x00A6 to 0x0030 per test result. Only keep bit 4,5.</t>
  </si>
  <si>
    <t>P2.095</t>
  </si>
  <si>
    <t>NotchFilter1QValue</t>
  </si>
  <si>
    <t>Notch Filter 1 Qvalue</t>
  </si>
  <si>
    <t>Resonance suppression (Notch filter) width (1)</t>
  </si>
  <si>
    <t>0x02BE</t>
  </si>
  <si>
    <t>P2.096</t>
  </si>
  <si>
    <t>NotchFilter2QValue</t>
  </si>
  <si>
    <t>Notch Filter 2 Qvalue</t>
  </si>
  <si>
    <t>Resonance suppression (Notch filter) width (2)</t>
  </si>
  <si>
    <t>0x02C0</t>
  </si>
  <si>
    <t>P2.097</t>
  </si>
  <si>
    <t>NotchFilter3QValue</t>
  </si>
  <si>
    <t>Notch Filter 3 Qvalue</t>
  </si>
  <si>
    <t>Resonance suppression (Notch filter) width (3)</t>
  </si>
  <si>
    <t>0x02C2</t>
  </si>
  <si>
    <t>P2.098</t>
  </si>
  <si>
    <t>NotchFilter4Frequency</t>
  </si>
  <si>
    <t>Notch Filter 4 Frequency</t>
  </si>
  <si>
    <t>Resonance Suppression (Notch Filter) (4)</t>
  </si>
  <si>
    <t>0x02C4</t>
  </si>
  <si>
    <t>P2.099</t>
  </si>
  <si>
    <t>NotchFilter4Depth</t>
  </si>
  <si>
    <t>Notch Filter 4 Depth</t>
  </si>
  <si>
    <t>Resonance Suppression (Notch Filter) Attenuation Rate (4)</t>
  </si>
  <si>
    <t>0x02C6</t>
  </si>
  <si>
    <t>P2.100</t>
  </si>
  <si>
    <t>NotchFilter4QValue</t>
  </si>
  <si>
    <t>Notch Filter 4 Qvalue</t>
  </si>
  <si>
    <t>Resonance suppression (Notch filter) width (4)</t>
  </si>
  <si>
    <t>0x02C8</t>
  </si>
  <si>
    <t>P2.101</t>
  </si>
  <si>
    <t>NotchFilter5Frequency</t>
  </si>
  <si>
    <t>Notch Filter 5 Frequency</t>
  </si>
  <si>
    <t>Resonance Suppression (Notch Filter) (5)</t>
  </si>
  <si>
    <t>0x02CA</t>
  </si>
  <si>
    <t>P2.102</t>
  </si>
  <si>
    <t>NotchFilter5Depth</t>
  </si>
  <si>
    <t>Notch Filter 5 Depth</t>
  </si>
  <si>
    <t>Resonance Suppression (Notch Filter) Attenuation Rate (5)</t>
  </si>
  <si>
    <t>0x02CC</t>
  </si>
  <si>
    <t>P2.103</t>
  </si>
  <si>
    <t>NotchFilter5QValue</t>
  </si>
  <si>
    <t>Notch Filter 5 Qvalue</t>
  </si>
  <si>
    <t>Resonance suppression (Notch filter) width (5)</t>
  </si>
  <si>
    <t>0x02CE</t>
  </si>
  <si>
    <t>P2.104</t>
  </si>
  <si>
    <t>PItoPTorqueThreshold</t>
  </si>
  <si>
    <t>Torque Threshold to switch from PI to P</t>
  </si>
  <si>
    <t>P/PI torque switching command condition</t>
  </si>
  <si>
    <t>0x02D0</t>
  </si>
  <si>
    <t>P2.105</t>
  </si>
  <si>
    <t>AutoTuningBandwidth</t>
  </si>
  <si>
    <t>Auto Tuning Bandwidth Configuration</t>
  </si>
  <si>
    <t>Automatic gain adjustment level 1</t>
  </si>
  <si>
    <t>0x02D2</t>
  </si>
  <si>
    <t>P2.106</t>
  </si>
  <si>
    <t>AutoTuningOvershoot</t>
  </si>
  <si>
    <t>Auto Tuning Overshoot Configuration</t>
  </si>
  <si>
    <t>Automatic gain adjustment level 2</t>
  </si>
  <si>
    <t>0x02D4</t>
  </si>
  <si>
    <t>P2.112</t>
  </si>
  <si>
    <t>0x000C</t>
  </si>
  <si>
    <t>SpecialFunctionConfiguration4</t>
  </si>
  <si>
    <t>Special Function Configuration 4</t>
  </si>
  <si>
    <t>Special bit register 4</t>
  </si>
  <si>
    <t>0x02E0</t>
  </si>
  <si>
    <t>Range: 0 ~ F</t>
  </si>
  <si>
    <t>P2.123</t>
  </si>
  <si>
    <t>PositionLoopIzone</t>
  </si>
  <si>
    <t>Position Loop Izone</t>
  </si>
  <si>
    <t>0x02F6</t>
  </si>
  <si>
    <t>new feature. The region, in counts, around the commanded position where
integral gain is active. If the position error is greater than Ki
Zone, the integrator is reset. It has a range of 0…32,767 counts.
2018.01.07: Delta update  Max from 0xFFFFFFFF to 2147483647 (2^31-1)</t>
  </si>
  <si>
    <t>P3.004</t>
  </si>
  <si>
    <t>s</t>
  </si>
  <si>
    <t>USBCommTimeout</t>
  </si>
  <si>
    <t>USB Communication Time Out</t>
  </si>
  <si>
    <t>Communication Time Out</t>
  </si>
  <si>
    <t>0x0308</t>
  </si>
  <si>
    <t>01/02: NOT Config (for USB), 
2019.04.26.Temp R-only for ODVA test.
2019.04.25. Reserve and keep it.</t>
  </si>
  <si>
    <t>P3.006</t>
  </si>
  <si>
    <t>0x1FFF</t>
  </si>
  <si>
    <t>DIControlSource</t>
  </si>
  <si>
    <t>Digital Input Control Source</t>
  </si>
  <si>
    <t>Control Switch of Digital Input (DI)</t>
  </si>
  <si>
    <t>0x030C</t>
  </si>
  <si>
    <t>P3.007</t>
  </si>
  <si>
    <t>0.5ms</t>
  </si>
  <si>
    <t>USBCommRespDelayTime</t>
  </si>
  <si>
    <t>USB Communication Response Delay Time</t>
  </si>
  <si>
    <t>Communication Response Delay Time</t>
  </si>
  <si>
    <t>0x030E</t>
  </si>
  <si>
    <t>01/02: NOT Config (for USB)
2019.05.08. Reserve and keep it.</t>
  </si>
  <si>
    <t>P3.039</t>
  </si>
  <si>
    <t>20.F5.24.01.30.05</t>
  </si>
  <si>
    <t>0xC0A80101</t>
  </si>
  <si>
    <t>IPAddress</t>
  </si>
  <si>
    <t>IP address</t>
  </si>
  <si>
    <t>0x034E</t>
  </si>
  <si>
    <t>four sub-octet ,  These four parameters should be hidden parameters
01/02: NOT Config (config in Network Page)</t>
  </si>
  <si>
    <t>P3.040</t>
  </si>
  <si>
    <t>0xFFFFFF00</t>
  </si>
  <si>
    <t>SubnetMask</t>
  </si>
  <si>
    <t>Subnet mask</t>
  </si>
  <si>
    <t>0x0350</t>
  </si>
  <si>
    <t>four sub-octet
01/02: NOT Config (config in Network Page)</t>
  </si>
  <si>
    <t>P3.041</t>
  </si>
  <si>
    <t>0xC0A801FE</t>
  </si>
  <si>
    <t>DefaultGateway</t>
  </si>
  <si>
    <t>0x0352</t>
  </si>
  <si>
    <t>four sub-octet
01/02: NOT Config (config in Network Page)
2019.01.11. Default changed from 0xC0A90101 to 0xC0A901FE.</t>
  </si>
  <si>
    <t>P3.042</t>
  </si>
  <si>
    <t>20.F5.24.01.30.03</t>
  </si>
  <si>
    <t>DHCPEnable</t>
  </si>
  <si>
    <t>DHCP Enable</t>
  </si>
  <si>
    <t>0x0354</t>
  </si>
  <si>
    <t>0 - Disable, 1 - Enable
01/02: NOT Config (config in Network Page)</t>
  </si>
  <si>
    <t>P4.000</t>
  </si>
  <si>
    <t>FaultRecordN</t>
  </si>
  <si>
    <t>Fault Record N</t>
  </si>
  <si>
    <t>Fault Record (N)</t>
  </si>
  <si>
    <t>0x0400</t>
  </si>
  <si>
    <t>Changed to non-Volatile parameter.
2019.04.24. Delta removed "read only". Set 0 will reset all the fault records. But temp keep it for ODVA test.
2019.05.02. removed "read only"</t>
  </si>
  <si>
    <t>P4.001</t>
  </si>
  <si>
    <t>FaultRecordN1</t>
  </si>
  <si>
    <t>Fault Record N1</t>
  </si>
  <si>
    <t>Fault Record (N-1)</t>
  </si>
  <si>
    <t>0x0402</t>
  </si>
  <si>
    <t>Changed to non-Volatile parameter</t>
  </si>
  <si>
    <t>P4.002</t>
  </si>
  <si>
    <t>FaultRecordN2</t>
  </si>
  <si>
    <t>Fault Record N2</t>
  </si>
  <si>
    <t>Fault Record (N-2)</t>
  </si>
  <si>
    <t>0x0404</t>
  </si>
  <si>
    <t>P4.003</t>
  </si>
  <si>
    <t>FaultRecordN3</t>
  </si>
  <si>
    <t>Fault Record N3</t>
  </si>
  <si>
    <t>Fault Record (N-3)</t>
  </si>
  <si>
    <t>0x0406</t>
  </si>
  <si>
    <t>P4.004</t>
  </si>
  <si>
    <t>FaultRecordN4</t>
  </si>
  <si>
    <t>Fault Record N4</t>
  </si>
  <si>
    <t>Fault Record (N-4)</t>
  </si>
  <si>
    <t>0x0408</t>
  </si>
  <si>
    <t>P4.005</t>
  </si>
  <si>
    <r>
      <t xml:space="preserve">0
</t>
    </r>
    <r>
      <rPr>
        <sz val="10"/>
        <color rgb="FFFF0000"/>
        <rFont val="Arial"/>
        <family val="2"/>
      </rPr>
      <t>0</t>
    </r>
  </si>
  <si>
    <r>
      <t xml:space="preserve">5000
</t>
    </r>
    <r>
      <rPr>
        <sz val="10"/>
        <color rgb="FFFF0000"/>
        <rFont val="Arial"/>
        <family val="2"/>
      </rPr>
      <t>50000</t>
    </r>
  </si>
  <si>
    <r>
      <t xml:space="preserve">20
</t>
    </r>
    <r>
      <rPr>
        <sz val="10"/>
        <color rgb="FFFF0000"/>
        <rFont val="Arial"/>
        <family val="2"/>
      </rPr>
      <t>20</t>
    </r>
  </si>
  <si>
    <t xml:space="preserve">1
</t>
    <phoneticPr fontId="0" type="noConversion"/>
  </si>
  <si>
    <r>
      <t xml:space="preserve">RPM
</t>
    </r>
    <r>
      <rPr>
        <sz val="10"/>
        <color rgb="FFFF0000"/>
        <rFont val="Arial"/>
        <family val="2"/>
      </rPr>
      <t>10um/s</t>
    </r>
  </si>
  <si>
    <t>JogOperation</t>
  </si>
  <si>
    <t>Jog Operation</t>
  </si>
  <si>
    <t>JOG Operation</t>
  </si>
  <si>
    <t>0x040A</t>
  </si>
  <si>
    <t>Range: 0-50000 for linear motor, 0-5000 for rotary motor
01/02: NOT Config (JOG operation)</t>
  </si>
  <si>
    <t>P4.006</t>
  </si>
  <si>
    <t>0x00FF</t>
  </si>
  <si>
    <t>DOOverride</t>
  </si>
  <si>
    <t>Digital Output Override</t>
  </si>
  <si>
    <t>Digital Output Register (Readable and Writable)</t>
  </si>
  <si>
    <t>0x040C</t>
  </si>
  <si>
    <t>2019.01.30. max changed from 0xFFFF to 0x00FF?? 
2019.03.29. Changed max from 0xFFFF to 0x00FF per test result.</t>
  </si>
  <si>
    <t>P4.007</t>
  </si>
  <si>
    <t>DIOverride</t>
  </si>
  <si>
    <t>Digital Input Override</t>
  </si>
  <si>
    <t>Multi-funciton of Digital Input</t>
  </si>
  <si>
    <t>0x040E</t>
  </si>
  <si>
    <t>2019.01.07. Default 0x00E0 ? Change to 0 ?
2019.01.30. max changed from 0x3FFF to 0x1FFF??
2019.03.29. confirmed change.</t>
  </si>
  <si>
    <t>P4.008</t>
  </si>
  <si>
    <t>KeypadInputStatus</t>
  </si>
  <si>
    <t>Drive Keypad Input Status</t>
  </si>
  <si>
    <t>Input Status of the Drive Keypad (Read-only)</t>
  </si>
  <si>
    <t>0x0410</t>
  </si>
  <si>
    <t>P4.009</t>
  </si>
  <si>
    <t>0x003F</t>
  </si>
  <si>
    <t>DOStatus</t>
  </si>
  <si>
    <t>0x0412</t>
  </si>
  <si>
    <t>12/06: Update for DO#5 Max 0x001F to 0x003F</t>
  </si>
  <si>
    <t>P4.010</t>
  </si>
  <si>
    <t>ExecuteHwCalibration</t>
  </si>
  <si>
    <t>Hardware Calibration Function Execution</t>
  </si>
  <si>
    <t>Adjustment Selection</t>
  </si>
  <si>
    <t>0x0414</t>
  </si>
  <si>
    <t>01/02: NOT Config (use to Hw Calibration)
2019.01.17. P2.008 protected. Will modify to return Success directly if value is same with current value.
2019.02.18. modified.</t>
  </si>
  <si>
    <t>P4.011</t>
  </si>
  <si>
    <t>PresetAnalogToVelocityOffset</t>
  </si>
  <si>
    <t>Preset Analog to Velocity Offset</t>
  </si>
  <si>
    <t>Analog Speed Input Offset Adjustment 1</t>
  </si>
  <si>
    <t>0x0416</t>
  </si>
  <si>
    <t>01/02: NOT Config (Factory Setting for individual device)
2019.01.17. P2.008 protected. Will modify to return Success directly if value is same with current value.
2019.02.18. modified.</t>
  </si>
  <si>
    <t>P4.013</t>
  </si>
  <si>
    <t>PresetAnalogToTorqueOffset</t>
  </si>
  <si>
    <t>Preset Analog to Torque Offset</t>
  </si>
  <si>
    <t>Analog Torque Input Offset Adjustment 1</t>
  </si>
  <si>
    <t>0x041A</t>
  </si>
  <si>
    <t>P4.015</t>
  </si>
  <si>
    <t>V1PhaseCurrentSensingOffset</t>
  </si>
  <si>
    <t>V1 Phase Current Sensing Offset</t>
  </si>
  <si>
    <t>Current Detector (V1 phase) offset Adjustment</t>
  </si>
  <si>
    <t>0x041E</t>
  </si>
  <si>
    <t>P4.017</t>
  </si>
  <si>
    <t>W1PhaseCurrentSensingOffset</t>
  </si>
  <si>
    <t>W1 Phase Current Sensing Offset</t>
  </si>
  <si>
    <t>Current Detector (W1 phase) Offset Adjustment</t>
  </si>
  <si>
    <t>0x0422</t>
  </si>
  <si>
    <t>P4.019</t>
  </si>
  <si>
    <t>IGBTNTCOffset</t>
  </si>
  <si>
    <t>IGBT NTC Offset</t>
  </si>
  <si>
    <t>IGBT NTC Adjustment Deteciton Level (cannot reset)</t>
  </si>
  <si>
    <t>0x0426</t>
  </si>
  <si>
    <t>P4.020</t>
  </si>
  <si>
    <t>AnalogOutput1Offset</t>
  </si>
  <si>
    <t>Analog Output 1 Offset</t>
  </si>
  <si>
    <t>Offset Adjustment Value of Analog Monitor (Ch1)</t>
  </si>
  <si>
    <t>0x0428</t>
  </si>
  <si>
    <t>P4.021</t>
  </si>
  <si>
    <t>AnalogOutput2Offset</t>
  </si>
  <si>
    <t>Analog Output 2 Offset</t>
  </si>
  <si>
    <t>Offset Adjustment Value of Analog Monitor (Ch2)</t>
  </si>
  <si>
    <t>0x042A</t>
  </si>
  <si>
    <t>P4.022</t>
  </si>
  <si>
    <t>UserAnalogToVelocityOffset</t>
  </si>
  <si>
    <t>User-defined Analog to Velocity Offset</t>
  </si>
  <si>
    <t>Analog Speed Input OFFSET</t>
  </si>
  <si>
    <t>0x042C</t>
  </si>
  <si>
    <t>S</t>
  </si>
  <si>
    <t>P4.023</t>
  </si>
  <si>
    <t>UserAnalogToTorqueOffset</t>
  </si>
  <si>
    <t>User-defined Analog to Torque Offset</t>
  </si>
  <si>
    <t>Analog Torque Input OFFSET</t>
  </si>
  <si>
    <t>0x042E</t>
  </si>
  <si>
    <t>T</t>
  </si>
  <si>
    <t>Reserved294</t>
  </si>
  <si>
    <t>2019.03.29. Change to read only per test result.
2019.04.17. Deleted P4.024 DC Bus Under Voltage Threshold , inst-294 changed to reserved.</t>
  </si>
  <si>
    <t>P5.000</t>
  </si>
  <si>
    <t>DSPFwSubVer</t>
  </si>
  <si>
    <t>Firmware subversion</t>
  </si>
  <si>
    <t>0x0500</t>
  </si>
  <si>
    <t>2019.04.24.delta changed datatype from UDINT to DINT, so as the min and max.</t>
  </si>
  <si>
    <t>P5.003</t>
  </si>
  <si>
    <t>0xEEEFEEFF</t>
  </si>
  <si>
    <t>Auto Protection Decel Time</t>
  </si>
  <si>
    <t>Deceleration Time of Auto Protection</t>
  </si>
  <si>
    <t>0x0506</t>
  </si>
  <si>
    <t>P5.004</t>
  </si>
  <si>
    <t>0x012A</t>
  </si>
  <si>
    <t>Homing Mode</t>
  </si>
  <si>
    <t>0x0508</t>
  </si>
  <si>
    <t>2019.04.24. max changed from 0x128 to 0x012A.</t>
  </si>
  <si>
    <t>P5.005</t>
  </si>
  <si>
    <r>
      <t xml:space="preserve">1
</t>
    </r>
    <r>
      <rPr>
        <sz val="10"/>
        <color rgb="FFFF0000"/>
        <rFont val="Arial"/>
        <family val="2"/>
      </rPr>
      <t>1</t>
    </r>
  </si>
  <si>
    <r>
      <t xml:space="preserve">20000
</t>
    </r>
    <r>
      <rPr>
        <sz val="10"/>
        <color rgb="FFFF0000"/>
        <rFont val="Arial"/>
        <family val="2"/>
      </rPr>
      <t>15999999</t>
    </r>
  </si>
  <si>
    <r>
      <t xml:space="preserve">1000
</t>
    </r>
    <r>
      <rPr>
        <sz val="10"/>
        <color rgb="FFFF0000"/>
        <rFont val="Arial"/>
        <family val="2"/>
      </rPr>
      <t>1000</t>
    </r>
  </si>
  <si>
    <r>
      <t xml:space="preserve">0.1
</t>
    </r>
    <r>
      <rPr>
        <sz val="10"/>
        <color rgb="FFFF0000"/>
        <rFont val="Arial"/>
        <family val="2"/>
      </rPr>
      <t>1</t>
    </r>
  </si>
  <si>
    <r>
      <t xml:space="preserve">RPM
</t>
    </r>
    <r>
      <rPr>
        <sz val="10"/>
        <color rgb="FFFF0000"/>
        <rFont val="Arial"/>
        <family val="2"/>
      </rPr>
      <t>um/s</t>
    </r>
  </si>
  <si>
    <t>Homing Velocity</t>
  </si>
  <si>
    <t>1st Speed Setting of High Speed Homing</t>
  </si>
  <si>
    <t>0x050A</t>
  </si>
  <si>
    <t>Follow A3 range: (1)Panel/Soft: 0.1-6000.0(rotary), 0.1-1599999.9(linear) 
(2)Communication(parameter object): 1-60000()rotary, 1-15999999(linear). Need to check the range per the motor type.
2019.01.30. max changed from 80000 to 20000;
2019.03.29. Confirmed the change.
2019.04.24. Default changed from 200 to 2000.</t>
  </si>
  <si>
    <t>P5.006</t>
  </si>
  <si>
    <r>
      <t xml:space="preserve">5000
</t>
    </r>
    <r>
      <rPr>
        <sz val="10"/>
        <color rgb="FFFF0000"/>
        <rFont val="Arial"/>
        <family val="2"/>
      </rPr>
      <t>15999999</t>
    </r>
  </si>
  <si>
    <r>
      <t xml:space="preserve">200
</t>
    </r>
    <r>
      <rPr>
        <sz val="10"/>
        <color rgb="FFFF0000"/>
        <rFont val="Arial"/>
        <family val="2"/>
      </rPr>
      <t>200</t>
    </r>
  </si>
  <si>
    <t>Homing Creep Velocity</t>
  </si>
  <si>
    <t>2nd Speed Setting of Low Speed Homing</t>
  </si>
  <si>
    <t>0x050C</t>
  </si>
  <si>
    <t>Follow A3 range: (1)Panel/Soft: 0.1-6000.0(rotary), 0.1-1599999.9(linear) 
(2)Communication(parameter object): 1-60000()rotary, 1-15999999(linear)
2019.01.30.max changed from 80000 to 5000.
2019.03.29. Confirmed the change.
2019.04.24. Default changed from 20 to 200.</t>
  </si>
  <si>
    <t>P5.007</t>
  </si>
  <si>
    <t>PR Command Trigger</t>
  </si>
  <si>
    <t>Trigger Position Command (PR mode only)</t>
  </si>
  <si>
    <t>0x050E</t>
  </si>
  <si>
    <t>Range: 0~99, 1000
01/02: NOT Config (Force to execute PR)
2019.05.02. delta changed max from 1000 to 20099.</t>
  </si>
  <si>
    <t>P5.008</t>
  </si>
  <si>
    <t>Soft Travel Limit Positive</t>
  </si>
  <si>
    <t>Forward Software Limit</t>
  </si>
  <si>
    <t>0x0510</t>
  </si>
  <si>
    <t>P5.009</t>
  </si>
  <si>
    <t>Soft Travel Limit Negative</t>
  </si>
  <si>
    <t>Reverse Software Limit</t>
  </si>
  <si>
    <t>0x0512</t>
  </si>
  <si>
    <t>2019.01.11. Default changed form 2147483647 to -2147483647. A3 manual mistake.
2019.04.24. default change from -2147483647 to -2147483648.</t>
  </si>
  <si>
    <t>P5.010</t>
  </si>
  <si>
    <t>Data Array Size</t>
  </si>
  <si>
    <t>Data Array.Data Size</t>
  </si>
  <si>
    <t>0x0514</t>
  </si>
  <si>
    <t>01/02: UINT?
2019.01.07. Delta update to UINT. Min from -32768 to 0.
2019.01.11. Default changed from 0 to 800.</t>
  </si>
  <si>
    <t>P5.011</t>
  </si>
  <si>
    <t>Data Array Read/Write Address</t>
  </si>
  <si>
    <t>Data Array: Address of Reading/Writing</t>
  </si>
  <si>
    <t>0x0516</t>
  </si>
  <si>
    <t>2019.01.07. Default 10 differ to A3 manual (0).
2019.04.19. It's 0 already.</t>
  </si>
  <si>
    <t>P5.012</t>
  </si>
  <si>
    <t>Data Array Read/Write Value1</t>
  </si>
  <si>
    <t>Data Array.Window#1 for Reading/Writing</t>
  </si>
  <si>
    <t>0x0518</t>
  </si>
  <si>
    <t>P5.013</t>
  </si>
  <si>
    <t>Data Array Read/Write Value2</t>
  </si>
  <si>
    <t>Data Array.Window#2 for Reading/Writing</t>
  </si>
  <si>
    <t>0x051A</t>
  </si>
  <si>
    <t>P5.015</t>
  </si>
  <si>
    <t>PR CMD#1#2 Power Loss Retention Configuration</t>
  </si>
  <si>
    <t>PATH#1 ~ PATH#2 No Data Retained Setting</t>
  </si>
  <si>
    <t>0x051E</t>
  </si>
  <si>
    <t>P5.016</t>
  </si>
  <si>
    <t>Feedback Position</t>
  </si>
  <si>
    <t>Axis Position.Motor Encoder</t>
  </si>
  <si>
    <t>0x0520</t>
  </si>
  <si>
    <t>01/02: NOT Config (set is for observation purpose only)</t>
  </si>
  <si>
    <t>P5.017</t>
  </si>
  <si>
    <t>Auxiliary Encoder Position</t>
  </si>
  <si>
    <t>Axis Position.Auxiliary Encoder</t>
  </si>
  <si>
    <t>0x0522</t>
  </si>
  <si>
    <t>01/02: NOT Config ?</t>
  </si>
  <si>
    <t>P5.018</t>
  </si>
  <si>
    <t>Pulse Command Position</t>
  </si>
  <si>
    <t>Axis Position.Pulse Command</t>
  </si>
  <si>
    <t>0x0524</t>
  </si>
  <si>
    <t>2019.01.07. Default 1 differ to A3 manual.</t>
  </si>
  <si>
    <t>P5.019</t>
  </si>
  <si>
    <t>E-Cam Curve Scale</t>
  </si>
  <si>
    <t>E-Cam Curve Scaling</t>
  </si>
  <si>
    <t>0x0526</t>
  </si>
  <si>
    <t>P5.020</t>
  </si>
  <si>
    <t>Accel / Decel Time 0</t>
  </si>
  <si>
    <t>Acceleration / Deceleration Time (Number#0)</t>
  </si>
  <si>
    <t>0x0528</t>
  </si>
  <si>
    <t>P5.021</t>
  </si>
  <si>
    <t>Accel / Decel Time 1</t>
  </si>
  <si>
    <t>Acceleration / Deceleration Time (Number#1)</t>
  </si>
  <si>
    <t>0x052A</t>
  </si>
  <si>
    <t>P5.022</t>
  </si>
  <si>
    <t>Accel / Decel Time 2</t>
  </si>
  <si>
    <t>Acceleration / Deceleration Time (Number#2)</t>
  </si>
  <si>
    <t>0x052C</t>
  </si>
  <si>
    <t>P5.023</t>
  </si>
  <si>
    <t>Accel / Decel Time 3</t>
  </si>
  <si>
    <t>Acceleration / Deceleration Time (Number#3)</t>
  </si>
  <si>
    <t>0x052E</t>
  </si>
  <si>
    <t>P5.024</t>
  </si>
  <si>
    <t>Accel / Decel Time 4</t>
  </si>
  <si>
    <t>Acceleration / Deceleration Time (Number#4)</t>
  </si>
  <si>
    <t>0x0530</t>
  </si>
  <si>
    <t>P5.025</t>
  </si>
  <si>
    <t>Accel / Decel Time 5</t>
  </si>
  <si>
    <t>Acceleration / Deceleration Time (Number#5)</t>
  </si>
  <si>
    <t>0x0532</t>
  </si>
  <si>
    <t>P5.026</t>
  </si>
  <si>
    <t>Accel / Decel Time 6</t>
  </si>
  <si>
    <t>Acceleration / Deceleration Time (Number#6)</t>
  </si>
  <si>
    <t>0x0534</t>
  </si>
  <si>
    <t>P5.027</t>
  </si>
  <si>
    <t>Accel / Decel Time 7</t>
  </si>
  <si>
    <t>Acceleration / Deceleration Time (Number#7)</t>
  </si>
  <si>
    <t>0x0536</t>
  </si>
  <si>
    <t>P5.028</t>
  </si>
  <si>
    <t>Accel / Decel Time 8</t>
  </si>
  <si>
    <t>Acceleration / Deceleration Time (Number#8)</t>
  </si>
  <si>
    <t>0x0538</t>
  </si>
  <si>
    <t>P5.029</t>
  </si>
  <si>
    <t>Accel / Decel Time 9</t>
  </si>
  <si>
    <t>Acceleration / Deceleration Time (Number#9)</t>
  </si>
  <si>
    <t>0x053A</t>
  </si>
  <si>
    <t>P5.030</t>
  </si>
  <si>
    <t>Accel / Decel Time 10</t>
  </si>
  <si>
    <t>Acceleration / Deceleration Time (Number#10)</t>
  </si>
  <si>
    <t>0x053C</t>
  </si>
  <si>
    <t>P5.031</t>
  </si>
  <si>
    <t>Accel / Decel Time 11</t>
  </si>
  <si>
    <t>Acceleration / Deceleration Time (Number#11)</t>
  </si>
  <si>
    <t>0x053E</t>
  </si>
  <si>
    <t>P5.032</t>
  </si>
  <si>
    <t>Accel / Decel Time 12</t>
  </si>
  <si>
    <t>Acceleration / Deceleration Time (Number#12)</t>
  </si>
  <si>
    <t>0x0540</t>
  </si>
  <si>
    <t>P5.033</t>
  </si>
  <si>
    <t>Accel / Decel Time 13</t>
  </si>
  <si>
    <t>Acceleration / Deceleration Time (Number#13)</t>
  </si>
  <si>
    <t>0x0542</t>
  </si>
  <si>
    <t>P5.034</t>
  </si>
  <si>
    <t>Accel / Decel Time 14</t>
  </si>
  <si>
    <t>Acceleration / Deceleration Time (Number#14)</t>
  </si>
  <si>
    <t>0x0544</t>
  </si>
  <si>
    <t>2019.01.30. max changed to 1500?
2019.03.29. Confirmed the change.</t>
  </si>
  <si>
    <t>P5.035</t>
  </si>
  <si>
    <t>Accel / Decel Time 15</t>
  </si>
  <si>
    <t>Acceleration / Deceleration Time (Number#15)</t>
  </si>
  <si>
    <t>0x0546</t>
  </si>
  <si>
    <t>2019.01.30. max changed to 1200??
2019.03.29. Confirmed the change.</t>
  </si>
  <si>
    <t>P5.036</t>
  </si>
  <si>
    <t>CAPTURE Start Address (DI9)</t>
  </si>
  <si>
    <t>CAPTURE-Start Address of Data Array</t>
  </si>
  <si>
    <t>0x0548</t>
  </si>
  <si>
    <t>In manual: max value is (P5.010 -1), for parameter object max value is 65535
12/18: Delta modified Max 65535 to 1999.</t>
  </si>
  <si>
    <t>P5.037</t>
  </si>
  <si>
    <t>CAPTURE Axis Position (DI9)</t>
  </si>
  <si>
    <t>CAPTURE-Axis Position CNT</t>
  </si>
  <si>
    <t>0x054A</t>
  </si>
  <si>
    <t>2019.01.07. Default -1  differ to A3 manual
…delta will confirm….</t>
  </si>
  <si>
    <t>P5.038</t>
  </si>
  <si>
    <t>CAPTURE Remained Count (DI9)</t>
  </si>
  <si>
    <t>CAPTURE-The Number of Capturing Times</t>
  </si>
  <si>
    <t>0x054C</t>
  </si>
  <si>
    <t>In manual: max value is (P5.010-P5.036), for parameter object max value is 65535
12/18: Delta modified Max 65535 to 1999.
2019.04.08. Default is 1 which is unresonable. Change min to 0??
2019.04.24. Min changed from 1 to 0. Set 0 will return "Device state conflict"</t>
  </si>
  <si>
    <t>P5.039</t>
  </si>
  <si>
    <t>0x00000000</t>
    <phoneticPr fontId="0" type="noConversion"/>
  </si>
  <si>
    <t>0x6F00F13F</t>
    <phoneticPr fontId="0" type="noConversion"/>
  </si>
  <si>
    <t>0x32002010</t>
    <phoneticPr fontId="0" type="noConversion"/>
  </si>
  <si>
    <t>CAPTURE Control (DI9)</t>
  </si>
  <si>
    <t>CAPTURE-Activate CAP Control</t>
  </si>
  <si>
    <t>0x054E</t>
  </si>
  <si>
    <t>P5.040</t>
  </si>
  <si>
    <t>Position Completed Delay 0</t>
  </si>
  <si>
    <t>Delay Time After Position Completed (Number#0)</t>
  </si>
  <si>
    <t>0x0550</t>
  </si>
  <si>
    <t>P5.041</t>
  </si>
  <si>
    <t>Position Completed Delay 1</t>
  </si>
  <si>
    <t>Delay Time After Position Completed (Number#1)</t>
  </si>
  <si>
    <t>0x0552</t>
  </si>
  <si>
    <t>P5.042</t>
  </si>
  <si>
    <t>Position Completed Delay 2</t>
  </si>
  <si>
    <t>Delay Time After Position Completed (Number#2)</t>
  </si>
  <si>
    <t>0x0554</t>
  </si>
  <si>
    <t>P5.043</t>
  </si>
  <si>
    <t>Position Completed Delay 3</t>
  </si>
  <si>
    <t>Delay Time After Position Completed (Number#3)</t>
  </si>
  <si>
    <t>0x0556</t>
  </si>
  <si>
    <t>P5.044</t>
  </si>
  <si>
    <t>Position Completed Delay 4</t>
  </si>
  <si>
    <t>Delay Time After Position Completed (Number#4)</t>
  </si>
  <si>
    <t>0x0558</t>
  </si>
  <si>
    <t>P5.045</t>
  </si>
  <si>
    <t>Position Completed Delay 5</t>
  </si>
  <si>
    <t>Delay Time After Position Completed (Number#5)</t>
  </si>
  <si>
    <t>0x055A</t>
  </si>
  <si>
    <t>P5.046</t>
  </si>
  <si>
    <t>Position Completed Delay 6</t>
  </si>
  <si>
    <t>Delay Time After Position Completed (Number#6)</t>
  </si>
  <si>
    <t>0x055C</t>
  </si>
  <si>
    <t>P5.047</t>
  </si>
  <si>
    <t>Position Completed Delay 7</t>
  </si>
  <si>
    <t>Delay Time After Position Completed (Number#7)</t>
  </si>
  <si>
    <t>0x055E</t>
  </si>
  <si>
    <t>P5.048</t>
  </si>
  <si>
    <t>Position Completed Delay 8</t>
  </si>
  <si>
    <t>Delay Time After Position Completed (Number#8)</t>
  </si>
  <si>
    <t>0x0560</t>
  </si>
  <si>
    <t>P5.049</t>
  </si>
  <si>
    <t>Position Completed Delay 9</t>
  </si>
  <si>
    <t>Delay Time After Position Completed (Number#9)</t>
  </si>
  <si>
    <t>0x0562</t>
  </si>
  <si>
    <t>P5.050</t>
  </si>
  <si>
    <t>Position Completed Delay 10</t>
  </si>
  <si>
    <t>Delay Time After Position Completed (Number#10)</t>
  </si>
  <si>
    <t>0x0564</t>
  </si>
  <si>
    <t>P5.051</t>
  </si>
  <si>
    <t>Position Completed Delay 11</t>
  </si>
  <si>
    <t>Delay Time After Position Completed (Number#11)</t>
  </si>
  <si>
    <t>0x0566</t>
  </si>
  <si>
    <t>P5.052</t>
  </si>
  <si>
    <t>Position Completed Delay 12</t>
  </si>
  <si>
    <t>Delay Time After Position Completed (Number#12)</t>
  </si>
  <si>
    <t>0x0568</t>
  </si>
  <si>
    <t>P5.053</t>
  </si>
  <si>
    <t>Position Completed Delay 13</t>
  </si>
  <si>
    <t>Delay Time After Position Completed (Number#13)</t>
  </si>
  <si>
    <t>0x056A</t>
  </si>
  <si>
    <t>P5.054</t>
  </si>
  <si>
    <t>Position Completed Delay 14</t>
  </si>
  <si>
    <t>Delay Time After Position Completed (Number#14)</t>
  </si>
  <si>
    <t>0x056C</t>
  </si>
  <si>
    <t>P5.055</t>
  </si>
  <si>
    <t>Position Completed Delay 15</t>
  </si>
  <si>
    <t>Delay Time After Position Completed (Number#15)</t>
  </si>
  <si>
    <t>0x056E</t>
  </si>
  <si>
    <t>P5.056</t>
  </si>
  <si>
    <t>COMPARE Start Address</t>
  </si>
  <si>
    <t>COMPARE-Start Address of Data Array</t>
  </si>
  <si>
    <t>0x0570</t>
  </si>
  <si>
    <t>P5.057</t>
  </si>
  <si>
    <t>COMPARE Axis Position</t>
  </si>
  <si>
    <t>COMPARE-Axis Position</t>
  </si>
  <si>
    <t>0x0572</t>
  </si>
  <si>
    <t>2019.01.07. No motor, 400W Drive, no power board, default -2, with power board is -16431</t>
  </si>
  <si>
    <t>P5.058</t>
  </si>
  <si>
    <t>COMPARE Remained Count</t>
  </si>
  <si>
    <t>COMPARE-Compare Amount</t>
  </si>
  <si>
    <t>0x0574</t>
  </si>
  <si>
    <t>P5.059</t>
  </si>
  <si>
    <t>0x00010000</t>
  </si>
  <si>
    <t>0x0FFF313F</t>
  </si>
  <si>
    <t>0x00640010</t>
  </si>
  <si>
    <t>COMPARE Control</t>
  </si>
  <si>
    <t>COMPARE-Activate CMP Control</t>
  </si>
  <si>
    <t>0x0576</t>
  </si>
  <si>
    <t>2019.01.17. Min value is 0 differ to A3 manual
2019.04.19. Delta confirmed min is 0x00010000.</t>
  </si>
  <si>
    <t>P5.060</t>
  </si>
  <si>
    <t>80000
15999999</t>
    <phoneticPr fontId="0" type="noConversion"/>
  </si>
  <si>
    <t>200
200</t>
    <phoneticPr fontId="0" type="noConversion"/>
  </si>
  <si>
    <t>PresetVelocity0</t>
    <phoneticPr fontId="0" type="noConversion"/>
  </si>
  <si>
    <t>Preset Velocity 0</t>
    <phoneticPr fontId="0" type="noConversion"/>
  </si>
  <si>
    <t>Target Speed Setting #0</t>
  </si>
  <si>
    <t>0x0578</t>
  </si>
  <si>
    <t>Follow A3 range: (1)Panel/Soft: 0.1-6000.0(rotary), 0.1-1599999.9(linear) 
(2)Communication(parameter object): 1-60000()rotary, 1-15999999(linear). Need to check the range per the motor type.
2021.02.17: The rotation max speed does not same as P1.009 because position move need consider electric gear ratio, if user want use higher speed, we suggest fine tune electric gear ratio.</t>
    <phoneticPr fontId="0" type="noConversion"/>
  </si>
  <si>
    <t>P5.061</t>
  </si>
  <si>
    <t>500
500</t>
    <phoneticPr fontId="0" type="noConversion"/>
  </si>
  <si>
    <t>PresetVelocity1</t>
  </si>
  <si>
    <t>Preset Velocity 1</t>
  </si>
  <si>
    <t>Target Speed Setting #1</t>
  </si>
  <si>
    <t>0x057A</t>
  </si>
  <si>
    <t>P5.062</t>
  </si>
  <si>
    <t>PresetVelocity2</t>
  </si>
  <si>
    <t>Preset Velocity 2</t>
  </si>
  <si>
    <t>Target Speed Setting #2</t>
  </si>
  <si>
    <t>0x057C</t>
  </si>
  <si>
    <t>Follow A3 range: (1)Panel/Soft: 0.1-6000.0(rotary), 0.1-1599999.9(linear) 
(2)Communication(parameter object): 1-60000()rotary, 1-15999999(linear)
2021.02.17: The rotation max speed does not same as P1.009 because position move need consider electric gear ratio, if user want use higher speed, we suggest fine tune electric gear ratio.</t>
    <phoneticPr fontId="0" type="noConversion"/>
  </si>
  <si>
    <t>P5.063</t>
  </si>
  <si>
    <t>PresetVelocity3</t>
  </si>
  <si>
    <t>Preset Velocity 3</t>
  </si>
  <si>
    <t>Target Speed Setting #3</t>
  </si>
  <si>
    <t>0x057E</t>
  </si>
  <si>
    <t>P5.064</t>
  </si>
  <si>
    <t>PresetVelocity4</t>
  </si>
  <si>
    <t>Preset Velocity 4</t>
  </si>
  <si>
    <t>Target Speed Setting #4</t>
  </si>
  <si>
    <t>0x0580</t>
  </si>
  <si>
    <t>P5.065</t>
  </si>
  <si>
    <t>5000
5000</t>
    <phoneticPr fontId="0" type="noConversion"/>
  </si>
  <si>
    <t>PresetVelocity5</t>
  </si>
  <si>
    <t>Preset Velocity 5</t>
  </si>
  <si>
    <t>Target Speed Setting #5</t>
  </si>
  <si>
    <t>0x0582</t>
  </si>
  <si>
    <t>P5.066</t>
  </si>
  <si>
    <t>6000
6000</t>
    <phoneticPr fontId="0" type="noConversion"/>
  </si>
  <si>
    <t>PresetVelocity6</t>
  </si>
  <si>
    <t>Preset Velocity 6</t>
  </si>
  <si>
    <t>Target Speed Setting #6</t>
  </si>
  <si>
    <t>0x0584</t>
  </si>
  <si>
    <t>P5.067</t>
  </si>
  <si>
    <t>PresetVelocity7</t>
  </si>
  <si>
    <t>Preset Velocity 7</t>
  </si>
  <si>
    <t>Target Speed Setting #7</t>
  </si>
  <si>
    <t>0x0586</t>
  </si>
  <si>
    <t>P5.068</t>
  </si>
  <si>
    <t>10000
10000</t>
    <phoneticPr fontId="0" type="noConversion"/>
  </si>
  <si>
    <t>PresetVelocity8</t>
  </si>
  <si>
    <t>Preset Velocity 8</t>
  </si>
  <si>
    <t>Target Speed Setting #8</t>
  </si>
  <si>
    <t>0x0588</t>
  </si>
  <si>
    <t>P5.069</t>
  </si>
  <si>
    <t>13000
13000</t>
    <phoneticPr fontId="0" type="noConversion"/>
  </si>
  <si>
    <t>PresetVelocity9</t>
  </si>
  <si>
    <t>Preset Velocity 9</t>
  </si>
  <si>
    <t>Target Speed Setting #9</t>
  </si>
  <si>
    <t>0x058A</t>
  </si>
  <si>
    <t>P5.070</t>
  </si>
  <si>
    <t>15000
15000</t>
    <phoneticPr fontId="0" type="noConversion"/>
  </si>
  <si>
    <t>PresetVelocity10</t>
  </si>
  <si>
    <t>Preset Velocity 10</t>
  </si>
  <si>
    <t>Target Speed Setting #10</t>
  </si>
  <si>
    <t>0x058C</t>
  </si>
  <si>
    <t>P5.071</t>
  </si>
  <si>
    <t>18000
18000</t>
    <phoneticPr fontId="0" type="noConversion"/>
  </si>
  <si>
    <t>PresetVelocity11</t>
  </si>
  <si>
    <t>Preset Velocity 11</t>
  </si>
  <si>
    <t>Target Speed Setting #11</t>
  </si>
  <si>
    <t>0x058E</t>
  </si>
  <si>
    <t>P5.072</t>
  </si>
  <si>
    <t>20000
20000</t>
    <phoneticPr fontId="0" type="noConversion"/>
  </si>
  <si>
    <t>PresetVelocity12</t>
  </si>
  <si>
    <t>Preset Velocity 12</t>
  </si>
  <si>
    <t>Target Speed Setting #12</t>
  </si>
  <si>
    <t>0x0590</t>
  </si>
  <si>
    <t>P5.073</t>
  </si>
  <si>
    <t>23000
23000</t>
    <phoneticPr fontId="0" type="noConversion"/>
  </si>
  <si>
    <t>PresetVelocity13</t>
  </si>
  <si>
    <t>Preset Velocity 13</t>
  </si>
  <si>
    <t>Target Speed Setting #13</t>
  </si>
  <si>
    <t>0x0592</t>
  </si>
  <si>
    <t>P5.074</t>
  </si>
  <si>
    <t>25000
25000</t>
    <phoneticPr fontId="0" type="noConversion"/>
  </si>
  <si>
    <t>PresetVelocity14</t>
  </si>
  <si>
    <t>Preset Velocity 14</t>
  </si>
  <si>
    <t>Target Speed Setting #14</t>
  </si>
  <si>
    <t>0x0594</t>
  </si>
  <si>
    <t>P5.075</t>
  </si>
  <si>
    <t>30000
30000</t>
    <phoneticPr fontId="0" type="noConversion"/>
  </si>
  <si>
    <t>PresetVelocity15</t>
  </si>
  <si>
    <t>Preset Velocity 15</t>
  </si>
  <si>
    <t>Target Speed Setting #15</t>
  </si>
  <si>
    <t>0x0596</t>
  </si>
  <si>
    <t>P5.076</t>
  </si>
  <si>
    <t>First Capture Reset Position (DI9)</t>
  </si>
  <si>
    <t>CAPTURE.First Position Reset Data</t>
  </si>
  <si>
    <t>0x0598</t>
  </si>
  <si>
    <t>P5.081</t>
  </si>
  <si>
    <t>E-Cam Start Address</t>
  </si>
  <si>
    <t>E-CAM: Start Address of Data Array</t>
  </si>
  <si>
    <t>0x05A2</t>
  </si>
  <si>
    <t>12/18: Delta modified. P5-010.
2019.05.08. max changed from 799 to 795.</t>
  </si>
  <si>
    <t>P5.082</t>
  </si>
  <si>
    <t>E-Cam Area Number</t>
  </si>
  <si>
    <t>E-Cam: E-Cam Area Number N (at least &gt;=5)</t>
  </si>
  <si>
    <t>0x05A4</t>
  </si>
  <si>
    <t>Must &lt;= P5.010-P5.081</t>
  </si>
  <si>
    <t>P5.083</t>
  </si>
  <si>
    <t>E-CAM Slave Cycle Number M</t>
  </si>
  <si>
    <t>E-Cam: Master Gear Ratio Setting M</t>
  </si>
  <si>
    <t>0x05A6</t>
  </si>
  <si>
    <t>2019.05.08. Seems max has changed to 720??
2019.05.15. P5.082 * P5.083 &lt; P5.084. default max is 720 since 5*720&lt;=3600.</t>
  </si>
  <si>
    <t>P5.084</t>
  </si>
  <si>
    <t>E-CAM Master Pulse Number P</t>
  </si>
  <si>
    <t>E-Cam: Master Gear Ratio Setting P</t>
  </si>
  <si>
    <t>0x05A8</t>
  </si>
  <si>
    <t>Special parameter, must bigger than #370 * #371</t>
  </si>
  <si>
    <t>P5.085</t>
  </si>
  <si>
    <t>E-CAM Engaged Area Number</t>
  </si>
  <si>
    <t>E-Cam: Number of Area</t>
  </si>
  <si>
    <t>0x05AA</t>
  </si>
  <si>
    <t>P5.086</t>
  </si>
  <si>
    <t>E-CAM Master Axis Position</t>
  </si>
  <si>
    <t>E-Cam: Master Axis Position</t>
  </si>
  <si>
    <t>0x05AC</t>
  </si>
  <si>
    <t>2019.01.07. Default -1  differ to A3 manual</t>
  </si>
  <si>
    <t>P5.087</t>
  </si>
  <si>
    <t>E-CAM Lead Pulse Before Engaged</t>
  </si>
  <si>
    <t>E-Cam: Lead Pulse</t>
  </si>
  <si>
    <t>0x05AE</t>
  </si>
  <si>
    <t>P5.088</t>
  </si>
  <si>
    <t>0x00000010</t>
  </si>
  <si>
    <t>0x0063F147</t>
  </si>
  <si>
    <t>Enable E-CAM Control</t>
  </si>
  <si>
    <t>E-Cam: Activate E-Cam Control</t>
  </si>
  <si>
    <t>0x05B0</t>
  </si>
  <si>
    <t>Delete the command source of 0: Capture axis, 3: PR command, 5: Synchronous capture axis (P5.077),6: Analog channel 1 (Virtual axis, Unit: 1M pulse/s per 10V) 
Delete the Engaging time of 2: Any one position data is captured
2019.04.24. max changed from 0x203FF257 to 0x203FF267.
2019.05.08.max changed from 0x203FF267 to 0x203FF147. Min and Default changed from 0x0 to 0x00000010.
2019.05.15. Fixed.
2019.10.30. Delta removed E-Cam State (byte7) and removed volatile property.</t>
  </si>
  <si>
    <t>P5.089</t>
  </si>
  <si>
    <t>E-CAM Master Position to Disengage</t>
  </si>
  <si>
    <t>E-Cam: Information of Disengaging Time</t>
  </si>
  <si>
    <t>0x05B2</t>
  </si>
  <si>
    <t>P5.090</t>
  </si>
  <si>
    <t>ECam DO.Cam Area1 Rising Edge Angle</t>
  </si>
  <si>
    <t>E-Cam: Area No. + The Point of DO ON</t>
  </si>
  <si>
    <t>0x05B4</t>
  </si>
  <si>
    <t>P5.091</t>
  </si>
  <si>
    <t>ECam DO.Cam Area1 Falling Edge Angle</t>
  </si>
  <si>
    <t>E-Cam: Area No..The Point of DO OFF</t>
  </si>
  <si>
    <t>0x05B6</t>
  </si>
  <si>
    <t>P5.092</t>
  </si>
  <si>
    <t>E-CAM Skipped Master Position Pulses before Re-Engage</t>
  </si>
  <si>
    <t>E-Cam: Pre-engaged Time of Each Cycle</t>
  </si>
  <si>
    <t>0x05B8</t>
  </si>
  <si>
    <t>P5.093</t>
  </si>
  <si>
    <t>Macro Command Parameter 4</t>
  </si>
  <si>
    <t>Motion Control Macro Command: Command Parameter #4</t>
  </si>
  <si>
    <t>0x05BA</t>
  </si>
  <si>
    <t>P5.094</t>
  </si>
  <si>
    <t>Macro Command Parameter 3</t>
  </si>
  <si>
    <t>Motion Control Macro Command: Command Parameter #3</t>
  </si>
  <si>
    <t>0x05BC</t>
  </si>
  <si>
    <t>P5.095</t>
  </si>
  <si>
    <t>Macro Command Parameter 2</t>
  </si>
  <si>
    <t>Motion Control Macro Command: Command Parameter #2</t>
  </si>
  <si>
    <t>0x05BE</t>
  </si>
  <si>
    <t>P5.096</t>
  </si>
  <si>
    <t>Macro Command Parameter 1</t>
  </si>
  <si>
    <t>Motion Control Macro Command: Command Parameter #1</t>
  </si>
  <si>
    <t>0x05C0</t>
  </si>
  <si>
    <t>P5.097</t>
  </si>
  <si>
    <t>0xF99F</t>
  </si>
  <si>
    <t>Macro Command Issue / Result</t>
  </si>
  <si>
    <t>Motion Control Macro Command: Issue Command / Executing Result</t>
  </si>
  <si>
    <t>0x05C2</t>
  </si>
  <si>
    <t>e.g. Set 0x0003, read back with 0x1003(success) or 0xF03X(fail) or 0xF001(not support).
01/02: NOT Config (execute Macro Command)
2019.02.18. Modified to return success if set value equal to current value.
01/02: max value issue, set 0x099F will return 0x199F if success, return 0xF99F fail.
2019.02.21. Max changed from 0x099F to 0xF99F</t>
  </si>
  <si>
    <t>P5.098</t>
  </si>
  <si>
    <t>0xDDDD</t>
  </si>
  <si>
    <t>PR Command Number at Event Rising Edge</t>
  </si>
  <si>
    <t>PR# Triggered by Event Rising-Edge</t>
  </si>
  <si>
    <t>0x05C4</t>
  </si>
  <si>
    <t>P5.099</t>
  </si>
  <si>
    <t>PR Command Number at Event Falling Edge</t>
  </si>
  <si>
    <t>PR# Triggered by Event Falling-Edge</t>
  </si>
  <si>
    <t>0x05C6</t>
  </si>
  <si>
    <t>P5.100</t>
  </si>
  <si>
    <t>Data Array Read/Write Value3</t>
  </si>
  <si>
    <t>Data array.Window #3 for reading / writing</t>
  </si>
  <si>
    <t>0x05C8</t>
  </si>
  <si>
    <t>P5.101</t>
  </si>
  <si>
    <t>Data Array Read/Write Value4</t>
  </si>
  <si>
    <t>Data array.Window #4 for reading / writing</t>
  </si>
  <si>
    <t>0x05CA</t>
  </si>
  <si>
    <t>P5.102</t>
  </si>
  <si>
    <t>Data Array Read/Write Value5</t>
  </si>
  <si>
    <t>Data array.Window #5 for reading / writing</t>
  </si>
  <si>
    <t>0x05CC</t>
  </si>
  <si>
    <t>P5.103</t>
  </si>
  <si>
    <t>Data Array Read/Write Value6</t>
  </si>
  <si>
    <t>Data array.Window #6 for reading / writing</t>
  </si>
  <si>
    <t>0x05CE</t>
  </si>
  <si>
    <t>P5.107</t>
  </si>
  <si>
    <t>CAPTURE Start Address (DI10)</t>
  </si>
  <si>
    <t>0x05D6</t>
  </si>
  <si>
    <t>like P5.036, Added for high speed DI8 台达Regroup时候调整
01/02:Delta forgot to update to 1999, refer for P5-036
2019.01.07.Delta update Max from 32767 to 1999.</t>
  </si>
  <si>
    <t>P5.108</t>
  </si>
  <si>
    <t>CAPTURE Axis Position (DI10)</t>
  </si>
  <si>
    <t>0x05D8</t>
  </si>
  <si>
    <t>like P5.037, Added for high speed DI8 台达Regroup时候调整</t>
  </si>
  <si>
    <t>2019.01.07. Default -1?? Refer to P5.037.</t>
  </si>
  <si>
    <t>P5.109</t>
  </si>
  <si>
    <t>CAPTURE Remained Count (DI10)</t>
  </si>
  <si>
    <t>0x05DA</t>
  </si>
  <si>
    <t>like P5.038, Added for high speed DI8 台达Regroup时候调整
01/02:Delta forgot to update to 1999, refer for P5-036
2019.01.07.Delta update Max from 32767 to 1999.
2019.04.08. Default is 1 which is unresonable. Change min to 0??
2019.04.24. Min changed from 1 to 0. Set 0 will return "Device state conflict"</t>
  </si>
  <si>
    <t>P5.110</t>
  </si>
  <si>
    <t>0x6F00F13F</t>
  </si>
  <si>
    <t>0x3C002010</t>
  </si>
  <si>
    <t>CAPTURE Control (DI10)</t>
  </si>
  <si>
    <t>0x05DC</t>
  </si>
  <si>
    <t>like P5.039, Added for high speed DI8 台达Regroup时候调整</t>
  </si>
  <si>
    <t>P5.111</t>
  </si>
  <si>
    <t>First Capture Reset Position (DI10)</t>
  </si>
  <si>
    <t>0x05DE</t>
  </si>
  <si>
    <t>like P5.076, Added for high speed DI8 台达Regroup时候调整</t>
  </si>
  <si>
    <t>P6.000</t>
  </si>
  <si>
    <t>0xFFFFFF63</t>
  </si>
  <si>
    <t>HomingSetting</t>
  </si>
  <si>
    <t>Homing Setting</t>
  </si>
  <si>
    <t>Homing Definition</t>
  </si>
  <si>
    <t>0x0600</t>
  </si>
  <si>
    <t>12/06: Group update 9 to 10.
2019.03.05. Test result shows Max is 0xFFFF_FF63. 0x63=99.
2019.03.29. Confirmed the change.</t>
  </si>
  <si>
    <t>P6.001</t>
  </si>
  <si>
    <t>HomePosition</t>
  </si>
  <si>
    <t>Home Position</t>
  </si>
  <si>
    <t>Origin Definition</t>
  </si>
  <si>
    <t>0x0602</t>
  </si>
  <si>
    <t>12/06: Group update 9 to 10.</t>
  </si>
  <si>
    <t>P6.002</t>
  </si>
  <si>
    <t>PRCmd1Setting</t>
  </si>
  <si>
    <t>PR Command1 Setting</t>
  </si>
  <si>
    <t>PATH#1  Definition</t>
  </si>
  <si>
    <t>0x0604</t>
  </si>
  <si>
    <t>P6.003</t>
  </si>
  <si>
    <t>PRCmd1Data</t>
  </si>
  <si>
    <t>PR Command1 Data</t>
  </si>
  <si>
    <t>PATH#1  Data</t>
  </si>
  <si>
    <t>0x0606</t>
  </si>
  <si>
    <t>P6.004</t>
  </si>
  <si>
    <t>PRCmd2Setting</t>
  </si>
  <si>
    <t>PR Command2 Setting</t>
  </si>
  <si>
    <t>PATH#2  Definition</t>
  </si>
  <si>
    <t>0x0608</t>
  </si>
  <si>
    <t>P6.005</t>
  </si>
  <si>
    <t>PRCmd2Data</t>
  </si>
  <si>
    <t>PR Command2 Data</t>
  </si>
  <si>
    <t>PATH#2  Data</t>
  </si>
  <si>
    <t>0x060A</t>
  </si>
  <si>
    <t>P6.006</t>
  </si>
  <si>
    <t>PRCmd3Setting</t>
  </si>
  <si>
    <t>PR Command3 Setting</t>
  </si>
  <si>
    <t>PATH#3  Definition</t>
  </si>
  <si>
    <t>0x060C</t>
  </si>
  <si>
    <t>P6.007</t>
  </si>
  <si>
    <t>PRCmd3Data</t>
  </si>
  <si>
    <t>PR Command3 Data</t>
  </si>
  <si>
    <t>PATH#3  Data</t>
  </si>
  <si>
    <t>0x060E</t>
  </si>
  <si>
    <t>P6.008</t>
  </si>
  <si>
    <t>PRCmd4Setting</t>
  </si>
  <si>
    <t>PR Command4 Setting</t>
  </si>
  <si>
    <t>PATH#4  Definition</t>
  </si>
  <si>
    <t>0x0610</t>
  </si>
  <si>
    <t>P6.009</t>
  </si>
  <si>
    <t>PRCmd4Data</t>
  </si>
  <si>
    <t>PR Command4 Data</t>
  </si>
  <si>
    <t>PATH#4  Data</t>
  </si>
  <si>
    <t>0x0612</t>
  </si>
  <si>
    <t>P6.010</t>
  </si>
  <si>
    <t>PRCmd5Setting</t>
  </si>
  <si>
    <t>PR Command5 Setting</t>
  </si>
  <si>
    <t>PATH#5  Definition</t>
  </si>
  <si>
    <t>0x0614</t>
  </si>
  <si>
    <t>P6.011</t>
  </si>
  <si>
    <t>PRCmd5Data</t>
  </si>
  <si>
    <t>PR Command5 Data</t>
  </si>
  <si>
    <t>PATH#5  Data</t>
  </si>
  <si>
    <t>0x0616</t>
  </si>
  <si>
    <t>P6.012</t>
  </si>
  <si>
    <t>PRCmd6Setting</t>
  </si>
  <si>
    <t>PR Command6 Setting</t>
  </si>
  <si>
    <t>PATH#6  Definition</t>
  </si>
  <si>
    <t>0x0618</t>
  </si>
  <si>
    <t>P6.013</t>
  </si>
  <si>
    <t>PRCmd6Data</t>
  </si>
  <si>
    <t>PR Command6 Data</t>
  </si>
  <si>
    <t>PATH#6  Data</t>
  </si>
  <si>
    <t>0x061A</t>
  </si>
  <si>
    <t>P6.014</t>
  </si>
  <si>
    <t>PRCmd7Setting</t>
  </si>
  <si>
    <t>PR Command7 Setting</t>
  </si>
  <si>
    <t>PATH#7  Definition</t>
  </si>
  <si>
    <t>0x061C</t>
  </si>
  <si>
    <t>P6.015</t>
  </si>
  <si>
    <t>PRCmd7Data</t>
  </si>
  <si>
    <t>PR Command7 Data</t>
  </si>
  <si>
    <t>PATH#7  Data</t>
  </si>
  <si>
    <t>0x061E</t>
  </si>
  <si>
    <t>P6.016</t>
  </si>
  <si>
    <t>PRCmd8Setting</t>
  </si>
  <si>
    <t>PR Command8 Setting</t>
  </si>
  <si>
    <t>PATH#8  Definition</t>
  </si>
  <si>
    <t>0x0620</t>
  </si>
  <si>
    <t>P6.017</t>
  </si>
  <si>
    <t>PRCmd8Data</t>
  </si>
  <si>
    <t>PR Command8 Data</t>
  </si>
  <si>
    <t>PATH#8  Data</t>
  </si>
  <si>
    <t>0x0622</t>
  </si>
  <si>
    <t>P6.018</t>
  </si>
  <si>
    <t>PRCmd9Setting</t>
  </si>
  <si>
    <t>PR Command9 Setting</t>
  </si>
  <si>
    <t>PATH#9  Definition</t>
  </si>
  <si>
    <t>0x0624</t>
  </si>
  <si>
    <t>P6.019</t>
  </si>
  <si>
    <t>PRCmd9Data</t>
  </si>
  <si>
    <t>PR Command9 Data</t>
  </si>
  <si>
    <t>PATH#9  Data</t>
  </si>
  <si>
    <t>0x0626</t>
  </si>
  <si>
    <t>P6.020</t>
  </si>
  <si>
    <t>PRCmd10Setting</t>
  </si>
  <si>
    <t>PR Command10 Setting</t>
  </si>
  <si>
    <t>PATH#10  Definition</t>
  </si>
  <si>
    <t>0x0628</t>
  </si>
  <si>
    <t>P6.021</t>
  </si>
  <si>
    <t>PRCmd10Data</t>
  </si>
  <si>
    <t>PR Command10 Data</t>
  </si>
  <si>
    <t>PATH#10  Data</t>
  </si>
  <si>
    <t>0x062A</t>
  </si>
  <si>
    <t>P6.022</t>
  </si>
  <si>
    <t>PRCmd11Setting</t>
  </si>
  <si>
    <t>PR Command11 Setting</t>
  </si>
  <si>
    <t>PATH#11  Definition</t>
  </si>
  <si>
    <t>0x062C</t>
  </si>
  <si>
    <t>P6.023</t>
  </si>
  <si>
    <t>PRCmd11Data</t>
  </si>
  <si>
    <t>PR Command11 Data</t>
  </si>
  <si>
    <t>PATH#11  Data</t>
  </si>
  <si>
    <t>0x062E</t>
  </si>
  <si>
    <t>P6.024</t>
  </si>
  <si>
    <t>PRCmd12Setting</t>
  </si>
  <si>
    <t>PR Command12 Setting</t>
  </si>
  <si>
    <t>PATH#12  Definition</t>
  </si>
  <si>
    <t>0x0630</t>
  </si>
  <si>
    <t>P6.025</t>
  </si>
  <si>
    <t>PRCmd12Data</t>
  </si>
  <si>
    <t>PR Command12 Data</t>
  </si>
  <si>
    <t>PATH#12  Data</t>
  </si>
  <si>
    <t>0x0632</t>
  </si>
  <si>
    <t>P6.026</t>
  </si>
  <si>
    <t>PRCmd13Setting</t>
  </si>
  <si>
    <t>PR Command13 Setting</t>
  </si>
  <si>
    <t>PATH#13  Definition</t>
  </si>
  <si>
    <t>0x0634</t>
  </si>
  <si>
    <t>P6.027</t>
  </si>
  <si>
    <t>PRCmd13Data</t>
  </si>
  <si>
    <t>PR Command13 Data</t>
  </si>
  <si>
    <t>PATH#13  Data</t>
  </si>
  <si>
    <t>0x0636</t>
  </si>
  <si>
    <t>P6.028</t>
  </si>
  <si>
    <t>PRCmd14Setting</t>
  </si>
  <si>
    <t>PR Command14 Setting</t>
  </si>
  <si>
    <t>PATH#14  Definition</t>
  </si>
  <si>
    <t>0x0638</t>
  </si>
  <si>
    <t>P6.029</t>
  </si>
  <si>
    <t>PRCmd14Data</t>
  </si>
  <si>
    <t>PR Command14 Data</t>
  </si>
  <si>
    <t>PATH#14  Data</t>
  </si>
  <si>
    <t>0x063A</t>
  </si>
  <si>
    <t>P6.030</t>
  </si>
  <si>
    <t>PRCmd15Setting</t>
  </si>
  <si>
    <t>PR Command15 Setting</t>
  </si>
  <si>
    <t>PATH#15  Definition</t>
  </si>
  <si>
    <t>0x063C</t>
  </si>
  <si>
    <t>P6.031</t>
  </si>
  <si>
    <t>PRCmd15Data</t>
  </si>
  <si>
    <t>PR Command15 Data</t>
  </si>
  <si>
    <t>PATH#15  Data</t>
  </si>
  <si>
    <t>0x063E</t>
  </si>
  <si>
    <t>P6.032</t>
  </si>
  <si>
    <t>PRCmd16Setting</t>
  </si>
  <si>
    <t>PR Command16 Setting</t>
  </si>
  <si>
    <t>PATH#16  Definition</t>
  </si>
  <si>
    <t>0x0640</t>
  </si>
  <si>
    <t>P6.033</t>
  </si>
  <si>
    <t>PRCmd16Data</t>
  </si>
  <si>
    <t>PR Command16 Data</t>
  </si>
  <si>
    <t>PATH#16  Data</t>
  </si>
  <si>
    <t>0x0642</t>
  </si>
  <si>
    <t>P6.034</t>
  </si>
  <si>
    <t>PRCmd17Setting</t>
  </si>
  <si>
    <t>PR Command17 Setting</t>
  </si>
  <si>
    <t>PATH#17  Definition</t>
  </si>
  <si>
    <t>0x0644</t>
  </si>
  <si>
    <t>P6.035</t>
  </si>
  <si>
    <t>PRCmd17Data</t>
  </si>
  <si>
    <t>PR Command17 Data</t>
  </si>
  <si>
    <t>PATH#17  Data</t>
  </si>
  <si>
    <t>0x0646</t>
  </si>
  <si>
    <t>P6.036</t>
  </si>
  <si>
    <t>PRCmd18Setting</t>
  </si>
  <si>
    <t>PR Command18 Setting</t>
  </si>
  <si>
    <t>PATH#18  Definition</t>
  </si>
  <si>
    <t>0x0648</t>
  </si>
  <si>
    <t>P6.037</t>
  </si>
  <si>
    <t>PRCmd18Data</t>
  </si>
  <si>
    <t>PR Command18 Data</t>
  </si>
  <si>
    <t>PATH#18  Data</t>
  </si>
  <si>
    <t>0x064A</t>
  </si>
  <si>
    <t>P6.038</t>
  </si>
  <si>
    <t>PRCmd19Setting</t>
  </si>
  <si>
    <t>PR Command19 Setting</t>
  </si>
  <si>
    <t>PATH#19  Definition</t>
  </si>
  <si>
    <t>0x064C</t>
  </si>
  <si>
    <t>P6.039</t>
  </si>
  <si>
    <t>PRCmd19Data</t>
  </si>
  <si>
    <t>PR Command19 Data</t>
  </si>
  <si>
    <t>PATH#19  Data</t>
  </si>
  <si>
    <t>0x064E</t>
  </si>
  <si>
    <t>P6.040</t>
  </si>
  <si>
    <t>PRCmd20Setting</t>
  </si>
  <si>
    <t>PR Command20 Setting</t>
  </si>
  <si>
    <t>PATH#20  Definition</t>
  </si>
  <si>
    <t>0x0650</t>
  </si>
  <si>
    <t>P6.041</t>
  </si>
  <si>
    <t>PRCmd20Data</t>
  </si>
  <si>
    <t>PR Command20 Data</t>
  </si>
  <si>
    <t>PATH#20  Data</t>
  </si>
  <si>
    <t>0x0652</t>
  </si>
  <si>
    <t>P6.042</t>
  </si>
  <si>
    <t>PRCmd21Setting</t>
  </si>
  <si>
    <t>PR Command21 Setting</t>
  </si>
  <si>
    <t>PATH#21  Definition</t>
  </si>
  <si>
    <t>0x0654</t>
  </si>
  <si>
    <t>P6.043</t>
  </si>
  <si>
    <t>PRCmd21Data</t>
  </si>
  <si>
    <t>PR Command21 Data</t>
  </si>
  <si>
    <t>PATH#21  Data</t>
  </si>
  <si>
    <t>0x0656</t>
  </si>
  <si>
    <t>P6.044</t>
  </si>
  <si>
    <t>PRCmd22Setting</t>
  </si>
  <si>
    <t>PR Command22 Setting</t>
  </si>
  <si>
    <t>PATH#22  Definition</t>
  </si>
  <si>
    <t>0x0658</t>
  </si>
  <si>
    <t>P6.045</t>
  </si>
  <si>
    <t>PRCmd22Data</t>
  </si>
  <si>
    <t>PR Command22 Data</t>
  </si>
  <si>
    <t>PATH#22  Data</t>
  </si>
  <si>
    <t>0x065A</t>
  </si>
  <si>
    <t>P6.046</t>
  </si>
  <si>
    <t>PRCmd23Setting</t>
  </si>
  <si>
    <t>PR Command23 Setting</t>
  </si>
  <si>
    <t>PATH#23  Definition</t>
  </si>
  <si>
    <t>0x065C</t>
  </si>
  <si>
    <t>P6.047</t>
  </si>
  <si>
    <t>PRCmd23Data</t>
  </si>
  <si>
    <t>PR Command23 Data</t>
  </si>
  <si>
    <t>PATH#23  Data</t>
  </si>
  <si>
    <t>0x065E</t>
  </si>
  <si>
    <t>P6.048</t>
  </si>
  <si>
    <t>PRCmd24Setting</t>
  </si>
  <si>
    <t>PR Command24 Setting</t>
  </si>
  <si>
    <t>PATH#24  Definition</t>
  </si>
  <si>
    <t>0x0660</t>
  </si>
  <si>
    <t>P6.049</t>
  </si>
  <si>
    <t>PRCmd24Data</t>
  </si>
  <si>
    <t>PR Command24 Data</t>
  </si>
  <si>
    <t>PATH#24  Data</t>
  </si>
  <si>
    <t>0x0662</t>
  </si>
  <si>
    <t>P6.050</t>
  </si>
  <si>
    <t>PRCmd25Setting</t>
  </si>
  <si>
    <t>PR Command25 Setting</t>
  </si>
  <si>
    <t>PATH#25  Definition</t>
  </si>
  <si>
    <t>0x0664</t>
  </si>
  <si>
    <t>P6.051</t>
  </si>
  <si>
    <t>PRCmd25Data</t>
  </si>
  <si>
    <t>PR Command25 Data</t>
  </si>
  <si>
    <t>PATH#25  Data</t>
  </si>
  <si>
    <t>0x0666</t>
  </si>
  <si>
    <t>P6.052</t>
  </si>
  <si>
    <t>PRCmd26Setting</t>
  </si>
  <si>
    <t>PR Command26 Setting</t>
  </si>
  <si>
    <t>PATH#26  Definition</t>
  </si>
  <si>
    <t>0x0668</t>
  </si>
  <si>
    <t>P6.053</t>
  </si>
  <si>
    <t>PRCmd26Data</t>
  </si>
  <si>
    <t>PR Command26 Data</t>
  </si>
  <si>
    <t>PATH#26  Data</t>
  </si>
  <si>
    <t>0x066A</t>
  </si>
  <si>
    <t>P6.054</t>
  </si>
  <si>
    <t>PRCmd27Setting</t>
  </si>
  <si>
    <t>PR Command27 Setting</t>
  </si>
  <si>
    <t>PATH#27  Definition</t>
  </si>
  <si>
    <t>0x066C</t>
  </si>
  <si>
    <t>P6.055</t>
  </si>
  <si>
    <t>PRCmd27Data</t>
  </si>
  <si>
    <t>PR Command27 Data</t>
  </si>
  <si>
    <t>PATH#27  Data</t>
  </si>
  <si>
    <t>0x066E</t>
  </si>
  <si>
    <t>P6.056</t>
  </si>
  <si>
    <t>PRCmd28Setting</t>
  </si>
  <si>
    <t>PR Command28 Setting</t>
  </si>
  <si>
    <t>PATH#28  Definition</t>
  </si>
  <si>
    <t>0x0670</t>
  </si>
  <si>
    <t>P6.057</t>
  </si>
  <si>
    <t>PRCmd28Data</t>
  </si>
  <si>
    <t>PR Command28 Data</t>
  </si>
  <si>
    <t>PATH#28  Data</t>
  </si>
  <si>
    <t>0x0672</t>
  </si>
  <si>
    <t>P6.058</t>
  </si>
  <si>
    <t>PRCmd29Setting</t>
  </si>
  <si>
    <t>PR Command29 Setting</t>
  </si>
  <si>
    <t>PATH#29  Definition</t>
  </si>
  <si>
    <t>0x0674</t>
  </si>
  <si>
    <t>P6.059</t>
  </si>
  <si>
    <t>PRCmd29Data</t>
  </si>
  <si>
    <t>PR Command29 Data</t>
  </si>
  <si>
    <t>PATH#29  Data</t>
  </si>
  <si>
    <t>0x0676</t>
  </si>
  <si>
    <t>P6.060</t>
  </si>
  <si>
    <t>PRCmd30Setting</t>
  </si>
  <si>
    <t>PR Command30 Setting</t>
  </si>
  <si>
    <t>PATH#30  Definition</t>
  </si>
  <si>
    <t>0x0678</t>
  </si>
  <si>
    <t>P6.061</t>
  </si>
  <si>
    <t>PRCmd30Data</t>
  </si>
  <si>
    <t>PR Command30 Data</t>
  </si>
  <si>
    <t>PATH#30  Data</t>
  </si>
  <si>
    <t>0x067A</t>
  </si>
  <si>
    <t>P6.062</t>
  </si>
  <si>
    <t>PRCmd31Setting</t>
  </si>
  <si>
    <t>PR Command31 Setting</t>
  </si>
  <si>
    <t>PATH#31  Definition</t>
  </si>
  <si>
    <t>0x067C</t>
  </si>
  <si>
    <t>P6.063</t>
  </si>
  <si>
    <t>PRCmd31Data</t>
  </si>
  <si>
    <t>PR Command31 Data</t>
  </si>
  <si>
    <t>PATH#31  Data</t>
  </si>
  <si>
    <t>0x067E</t>
  </si>
  <si>
    <t>P6.064</t>
  </si>
  <si>
    <t>PRCmd32Setting</t>
  </si>
  <si>
    <t>PR Command32 Setting</t>
  </si>
  <si>
    <t>PATH#32  Definition</t>
  </si>
  <si>
    <t>0x0680</t>
  </si>
  <si>
    <t>P6.065</t>
  </si>
  <si>
    <t>PRCmd32Data</t>
  </si>
  <si>
    <t>PR Command32 Data</t>
  </si>
  <si>
    <t>PATH#32  Data</t>
  </si>
  <si>
    <t>0x0682</t>
  </si>
  <si>
    <t>P6.066</t>
  </si>
  <si>
    <t>PRCmd33Setting</t>
  </si>
  <si>
    <t>PR Command33 Setting</t>
  </si>
  <si>
    <t>PATH#33  Definition</t>
  </si>
  <si>
    <t>0x0684</t>
  </si>
  <si>
    <t>P6.067</t>
  </si>
  <si>
    <t>PRCmd33Data</t>
  </si>
  <si>
    <t>PR Command33 Data</t>
  </si>
  <si>
    <t>PATH#33  Data</t>
  </si>
  <si>
    <t>0x0686</t>
  </si>
  <si>
    <t>P6.068</t>
  </si>
  <si>
    <t>PRCmd34Setting</t>
  </si>
  <si>
    <t>PR Command34 Setting</t>
  </si>
  <si>
    <t>PATH#34  Definition</t>
  </si>
  <si>
    <t>0x0688</t>
  </si>
  <si>
    <t>P6.069</t>
  </si>
  <si>
    <t>PRCmd34Data</t>
  </si>
  <si>
    <t>PR Command34 Data</t>
  </si>
  <si>
    <t>PATH#34  Data</t>
  </si>
  <si>
    <t>0x068A</t>
  </si>
  <si>
    <t>P6.070</t>
  </si>
  <si>
    <t>PRCmd35Setting</t>
  </si>
  <si>
    <t>PR Command35 Setting</t>
  </si>
  <si>
    <t>PATH#35  Definition</t>
  </si>
  <si>
    <t>0x068C</t>
  </si>
  <si>
    <t>P6.071</t>
  </si>
  <si>
    <t>PRCmd35Data</t>
  </si>
  <si>
    <t>PR Command35 Data</t>
  </si>
  <si>
    <t>PATH#35  Data</t>
  </si>
  <si>
    <t>0x068E</t>
  </si>
  <si>
    <t>P6.072</t>
  </si>
  <si>
    <t>PRCmd36Setting</t>
  </si>
  <si>
    <t>PR Command36 Setting</t>
  </si>
  <si>
    <t>PATH#36  Definition</t>
  </si>
  <si>
    <t>0x0690</t>
  </si>
  <si>
    <t>P6.073</t>
  </si>
  <si>
    <t>PRCmd36Data</t>
  </si>
  <si>
    <t>PR Command36 Data</t>
  </si>
  <si>
    <t>PATH#36  Data</t>
  </si>
  <si>
    <t>0x0692</t>
  </si>
  <si>
    <t>P6.074</t>
  </si>
  <si>
    <t>PRCmd37Setting</t>
  </si>
  <si>
    <t>PR Command37 Setting</t>
  </si>
  <si>
    <t>PATH#37  Definition</t>
  </si>
  <si>
    <t>0x0694</t>
  </si>
  <si>
    <t>P6.075</t>
  </si>
  <si>
    <t>PRCmd37Data</t>
  </si>
  <si>
    <t>PR Command37 Data</t>
  </si>
  <si>
    <t>PATH#37  Data</t>
  </si>
  <si>
    <t>0x0696</t>
  </si>
  <si>
    <t>P6.076</t>
  </si>
  <si>
    <t>PRCmd38Setting</t>
  </si>
  <si>
    <t>PR Command38 Setting</t>
  </si>
  <si>
    <t>PATH#38  Definition</t>
  </si>
  <si>
    <t>0x0698</t>
  </si>
  <si>
    <t>P6.077</t>
  </si>
  <si>
    <t>PRCmd38Data</t>
  </si>
  <si>
    <t>PR Command38 Data</t>
  </si>
  <si>
    <t>PATH#38  Data</t>
  </si>
  <si>
    <t>0x069A</t>
  </si>
  <si>
    <t>P6.078</t>
  </si>
  <si>
    <t>PRCmd39Setting</t>
  </si>
  <si>
    <t>PR Command39 Setting</t>
  </si>
  <si>
    <t>PATH#39  Definition</t>
  </si>
  <si>
    <t>0x069C</t>
  </si>
  <si>
    <t>P6.079</t>
  </si>
  <si>
    <t>PRCmd39Data</t>
  </si>
  <si>
    <t>PR Command39 Data</t>
  </si>
  <si>
    <t>PATH#39  Data</t>
  </si>
  <si>
    <t>0x069E</t>
  </si>
  <si>
    <t>P6.080</t>
  </si>
  <si>
    <t>PRCmd40Setting</t>
  </si>
  <si>
    <t>PR Command40 Setting</t>
  </si>
  <si>
    <t>PATH#40  Definition</t>
  </si>
  <si>
    <t>0x06A0</t>
  </si>
  <si>
    <t>P6.081</t>
  </si>
  <si>
    <t>PRCmd40Data</t>
  </si>
  <si>
    <t>PR Command40 Data</t>
  </si>
  <si>
    <t>PATH#40  Data</t>
  </si>
  <si>
    <t>0x06A2</t>
  </si>
  <si>
    <t>P6.082</t>
  </si>
  <si>
    <t>PRCmd41Setting</t>
  </si>
  <si>
    <t>PR Command41 Setting</t>
  </si>
  <si>
    <t>PATH#41  Definition</t>
  </si>
  <si>
    <t>0x06A4</t>
  </si>
  <si>
    <t>P6.083</t>
  </si>
  <si>
    <t>PRCmd41Data</t>
  </si>
  <si>
    <t>PR Command41 Data</t>
  </si>
  <si>
    <t>PATH#41  Data</t>
  </si>
  <si>
    <t>0x06A6</t>
  </si>
  <si>
    <t>P6.084</t>
  </si>
  <si>
    <t>PRCmd42Setting</t>
  </si>
  <si>
    <t>PR Command42 Setting</t>
  </si>
  <si>
    <t>PATH#42  Definition</t>
  </si>
  <si>
    <t>0x06A8</t>
  </si>
  <si>
    <t>P6.085</t>
  </si>
  <si>
    <t>PRCmd42Data</t>
  </si>
  <si>
    <t>PR Command42 Data</t>
  </si>
  <si>
    <t>PATH#42  Data</t>
  </si>
  <si>
    <t>0x06AA</t>
  </si>
  <si>
    <t>P6.086</t>
  </si>
  <si>
    <t>PRCmd43Setting</t>
  </si>
  <si>
    <t>PR Command43 Setting</t>
  </si>
  <si>
    <t>PATH#43  Definition</t>
  </si>
  <si>
    <t>0x06AC</t>
  </si>
  <si>
    <t>P6.087</t>
  </si>
  <si>
    <t>PRCmd43Data</t>
  </si>
  <si>
    <t>PR Command43 Data</t>
  </si>
  <si>
    <t>PATH#43  Data</t>
  </si>
  <si>
    <t>0x06AE</t>
  </si>
  <si>
    <t>P6.088</t>
  </si>
  <si>
    <t>PRCmd44Setting</t>
  </si>
  <si>
    <t>PR Command44 Setting</t>
  </si>
  <si>
    <t>PATH#44  Definition</t>
  </si>
  <si>
    <t>0x06B0</t>
  </si>
  <si>
    <t>P6.089</t>
  </si>
  <si>
    <t>PRCmd44Data</t>
  </si>
  <si>
    <t>PR Command44 Data</t>
  </si>
  <si>
    <t>PATH#44  Data</t>
  </si>
  <si>
    <t>0x06B2</t>
  </si>
  <si>
    <t>P6.090</t>
  </si>
  <si>
    <t>PRCmd45Setting</t>
  </si>
  <si>
    <t>PR Command45 Setting</t>
  </si>
  <si>
    <t>PATH#45  Definition</t>
  </si>
  <si>
    <t>0x06B4</t>
  </si>
  <si>
    <t>P6.091</t>
  </si>
  <si>
    <t>PRCmd45Data</t>
  </si>
  <si>
    <t>PR Command45 Data</t>
  </si>
  <si>
    <t>PATH#45  Data</t>
  </si>
  <si>
    <t>0x06B6</t>
  </si>
  <si>
    <t>P6.092</t>
  </si>
  <si>
    <t>PRCmd46Setting</t>
  </si>
  <si>
    <t>PR Command46 Setting</t>
  </si>
  <si>
    <t>PATH#46  Definition</t>
  </si>
  <si>
    <t>0x06B8</t>
  </si>
  <si>
    <t>P6.093</t>
  </si>
  <si>
    <t>PRCmd46Data</t>
  </si>
  <si>
    <t>PR Command46 Data</t>
  </si>
  <si>
    <t>PATH#46  Data</t>
  </si>
  <si>
    <t>0x06BA</t>
  </si>
  <si>
    <t>P6.094</t>
  </si>
  <si>
    <t>PRCmd47Setting</t>
  </si>
  <si>
    <t>PR Command47 Setting</t>
  </si>
  <si>
    <t>PATH#47  Definition</t>
  </si>
  <si>
    <t>0x06BC</t>
  </si>
  <si>
    <t>P6.095</t>
  </si>
  <si>
    <t>PRCmd47Data</t>
  </si>
  <si>
    <t>PR Command47 Data</t>
  </si>
  <si>
    <t>PATH#47  Data</t>
  </si>
  <si>
    <t>0x06BE</t>
  </si>
  <si>
    <t>P6.096</t>
  </si>
  <si>
    <t>PRCmd48Setting</t>
  </si>
  <si>
    <t>PR Command48 Setting</t>
  </si>
  <si>
    <t>PATH#48  Definition</t>
  </si>
  <si>
    <t>0x06C0</t>
  </si>
  <si>
    <t>P6.097</t>
  </si>
  <si>
    <t>PRCmd48Data</t>
  </si>
  <si>
    <t>PR Command48 Data</t>
  </si>
  <si>
    <t>PATH#48  Data</t>
  </si>
  <si>
    <t>0x06C2</t>
  </si>
  <si>
    <t>P6.098</t>
  </si>
  <si>
    <t>PRCmd49Setting</t>
  </si>
  <si>
    <t>PR Command49 Setting</t>
  </si>
  <si>
    <t>PATH#49  Definition</t>
  </si>
  <si>
    <t>0x06C4</t>
  </si>
  <si>
    <t>P6.099</t>
  </si>
  <si>
    <t>PRCmd49Data</t>
  </si>
  <si>
    <t>PR Command49 Data</t>
  </si>
  <si>
    <t>PATH#49  Data</t>
  </si>
  <si>
    <t>0x06C6</t>
  </si>
  <si>
    <t>P7.000</t>
  </si>
  <si>
    <t>PRCmd50Setting</t>
  </si>
  <si>
    <t>PR Command50 Setting</t>
  </si>
  <si>
    <t>PATH#50  Definition</t>
  </si>
  <si>
    <t>0x0700</t>
  </si>
  <si>
    <t>P7.001</t>
  </si>
  <si>
    <t>PRCmd50Data</t>
  </si>
  <si>
    <t>PR Command50 Data</t>
  </si>
  <si>
    <t>PATH#50  Data</t>
  </si>
  <si>
    <t>0x0702</t>
  </si>
  <si>
    <t>P7.002</t>
  </si>
  <si>
    <t>PRCmd51Setting</t>
  </si>
  <si>
    <t>PR Command51 Setting</t>
  </si>
  <si>
    <t>PATH#51  Definition</t>
  </si>
  <si>
    <t>0x0704</t>
  </si>
  <si>
    <t>P7.003</t>
  </si>
  <si>
    <t>PRCmd51Data</t>
  </si>
  <si>
    <t>PR Command51 Data</t>
  </si>
  <si>
    <t>PATH#51  Data</t>
  </si>
  <si>
    <t>0x0706</t>
  </si>
  <si>
    <t>P7.004</t>
  </si>
  <si>
    <t>PRCmd52Setting</t>
  </si>
  <si>
    <t>PR Command52 Setting</t>
  </si>
  <si>
    <t>PATH#52  Definition</t>
  </si>
  <si>
    <t>0x0708</t>
  </si>
  <si>
    <t>P7.005</t>
  </si>
  <si>
    <t>PRCmd52Data</t>
  </si>
  <si>
    <t>PR Command52 Data</t>
  </si>
  <si>
    <t>PATH#52  Data</t>
  </si>
  <si>
    <t>0x070A</t>
  </si>
  <si>
    <t>P7.006</t>
  </si>
  <si>
    <t>PRCmd53Setting</t>
  </si>
  <si>
    <t>PR Command53 Setting</t>
  </si>
  <si>
    <t>PATH#53  Definition</t>
  </si>
  <si>
    <t>0x070C</t>
  </si>
  <si>
    <t>P7.007</t>
  </si>
  <si>
    <t>PRCmd53Data</t>
  </si>
  <si>
    <t>PR Command53 Data</t>
  </si>
  <si>
    <t>PATH#53  Data</t>
  </si>
  <si>
    <t>0x070E</t>
  </si>
  <si>
    <t>P7.008</t>
  </si>
  <si>
    <t>PRCmd54Setting</t>
  </si>
  <si>
    <t>PR Command54 Setting</t>
  </si>
  <si>
    <t>PATH#54  Definition</t>
  </si>
  <si>
    <t>0x0710</t>
  </si>
  <si>
    <t>P7.009</t>
  </si>
  <si>
    <t>PRCmd54Data</t>
  </si>
  <si>
    <t>PR Command54 Data</t>
  </si>
  <si>
    <t>PATH#54  Data</t>
  </si>
  <si>
    <t>0x0712</t>
  </si>
  <si>
    <t>P7.010</t>
  </si>
  <si>
    <t>PRCmd55Setting</t>
  </si>
  <si>
    <t>PR Command55 Setting</t>
  </si>
  <si>
    <t>PATH#55  Definition</t>
  </si>
  <si>
    <t>0x0714</t>
  </si>
  <si>
    <t>P7.011</t>
  </si>
  <si>
    <t>PRCmd55Data</t>
  </si>
  <si>
    <t>PR Command55 Data</t>
  </si>
  <si>
    <t>PATH#55  Data</t>
  </si>
  <si>
    <t>0x0716</t>
  </si>
  <si>
    <t>P7.012</t>
  </si>
  <si>
    <t>PRCmd56Setting</t>
  </si>
  <si>
    <t>PR Command56 Setting</t>
  </si>
  <si>
    <t>PATH#56  Definition</t>
  </si>
  <si>
    <t>0x0718</t>
  </si>
  <si>
    <t>P7.013</t>
  </si>
  <si>
    <t>PRCmd56Data</t>
  </si>
  <si>
    <t>PR Command56 Data</t>
  </si>
  <si>
    <t>PATH#56  Data</t>
  </si>
  <si>
    <t>0x071A</t>
  </si>
  <si>
    <t>P7.014</t>
  </si>
  <si>
    <t>PRCmd57Setting</t>
  </si>
  <si>
    <t>PR Command57 Setting</t>
  </si>
  <si>
    <t>PATH#57  Definition</t>
  </si>
  <si>
    <t>0x071C</t>
  </si>
  <si>
    <t>P7.015</t>
  </si>
  <si>
    <t>PRCmd57Data</t>
  </si>
  <si>
    <t>PR Command57 Data</t>
  </si>
  <si>
    <t>PATH#57  Data</t>
  </si>
  <si>
    <t>0x071E</t>
  </si>
  <si>
    <t>P7.016</t>
  </si>
  <si>
    <t>PRCmd58Setting</t>
  </si>
  <si>
    <t>PR Command58 Setting</t>
  </si>
  <si>
    <t>PATH#58  Definition</t>
  </si>
  <si>
    <t>0x0720</t>
  </si>
  <si>
    <t>P7.017</t>
  </si>
  <si>
    <t>PRCmd58Data</t>
  </si>
  <si>
    <t>PR Command58 Data</t>
  </si>
  <si>
    <t>PATH#58  Data</t>
  </si>
  <si>
    <t>0x0722</t>
  </si>
  <si>
    <t>P7.018</t>
  </si>
  <si>
    <t>PRCmd59Setting</t>
  </si>
  <si>
    <t>PR Command59 Setting</t>
  </si>
  <si>
    <t>PATH#59  Definition</t>
  </si>
  <si>
    <t>0x0724</t>
  </si>
  <si>
    <t>P7.019</t>
  </si>
  <si>
    <t>PRCmd59Data</t>
  </si>
  <si>
    <t>PR Command59 Data</t>
  </si>
  <si>
    <t>PATH#59  Data</t>
  </si>
  <si>
    <t>0x0726</t>
  </si>
  <si>
    <t>P7.020</t>
  </si>
  <si>
    <t>PRCmd60Setting</t>
  </si>
  <si>
    <t>PR Command60 Setting</t>
  </si>
  <si>
    <t>PATH#60  Definition</t>
  </si>
  <si>
    <t>0x0728</t>
  </si>
  <si>
    <t>P7.021</t>
  </si>
  <si>
    <t>PRCmd60Data</t>
  </si>
  <si>
    <t>PR Command60 Data</t>
  </si>
  <si>
    <t>PATH#60  Data</t>
  </si>
  <si>
    <t>0x072A</t>
  </si>
  <si>
    <t>P7.022</t>
  </si>
  <si>
    <t>PRCmd61Setting</t>
  </si>
  <si>
    <t>PR Command61 Setting</t>
  </si>
  <si>
    <t>PATH#61  Definition</t>
  </si>
  <si>
    <t>0x072C</t>
  </si>
  <si>
    <t>P7.023</t>
  </si>
  <si>
    <t>PRCmd61Data</t>
  </si>
  <si>
    <t>PR Command61 Data</t>
  </si>
  <si>
    <t>PATH#61  Data</t>
  </si>
  <si>
    <t>0x072E</t>
  </si>
  <si>
    <t>P7.024</t>
  </si>
  <si>
    <t>PRCmd62Setting</t>
  </si>
  <si>
    <t>PR Command62 Setting</t>
  </si>
  <si>
    <t>PATH#62  Definition</t>
  </si>
  <si>
    <t>0x0730</t>
  </si>
  <si>
    <t>P7.025</t>
  </si>
  <si>
    <t>PRCmd62Data</t>
  </si>
  <si>
    <t>PR Command62 Data</t>
  </si>
  <si>
    <t>PATH#62  Data</t>
  </si>
  <si>
    <t>0x0732</t>
  </si>
  <si>
    <t>P7.026</t>
  </si>
  <si>
    <t>PRCmd63Setting</t>
  </si>
  <si>
    <t>PR Command63 Setting</t>
  </si>
  <si>
    <t>PATH#63  Definition</t>
  </si>
  <si>
    <t>0x0734</t>
  </si>
  <si>
    <t>P7.027</t>
  </si>
  <si>
    <t>PRCmd63Data</t>
  </si>
  <si>
    <t>PR Command63 Data</t>
  </si>
  <si>
    <t>PATH#63  Data</t>
  </si>
  <si>
    <t>0x0736</t>
  </si>
  <si>
    <t>P7.028</t>
  </si>
  <si>
    <t>PRCmd64Setting</t>
  </si>
  <si>
    <t>PR Command64 Setting</t>
  </si>
  <si>
    <t>PATH#64  Definition</t>
  </si>
  <si>
    <t>0x0738</t>
  </si>
  <si>
    <t>P7.029</t>
  </si>
  <si>
    <t>PRCmd64Data</t>
  </si>
  <si>
    <t>PR Command64 Data</t>
  </si>
  <si>
    <t>PATH#64  Data</t>
  </si>
  <si>
    <t>0x073A</t>
  </si>
  <si>
    <t>P7.030</t>
  </si>
  <si>
    <t>PRCmd65Setting</t>
  </si>
  <si>
    <t>PR Command65 Setting</t>
  </si>
  <si>
    <t>PATH#65  Definition</t>
  </si>
  <si>
    <t>0x073C</t>
  </si>
  <si>
    <t>P7.031</t>
  </si>
  <si>
    <t>PRCmd65Data</t>
  </si>
  <si>
    <t>PR Command65 Data</t>
  </si>
  <si>
    <t>PATH#65  Data</t>
  </si>
  <si>
    <t>0x073E</t>
  </si>
  <si>
    <t>P7.032</t>
  </si>
  <si>
    <t>PRCmd66Setting</t>
  </si>
  <si>
    <t>PR Command66 Setting</t>
  </si>
  <si>
    <t>PATH#66  Definition</t>
  </si>
  <si>
    <t>0x0740</t>
  </si>
  <si>
    <t>P7.033</t>
  </si>
  <si>
    <t>PRCmd66Data</t>
  </si>
  <si>
    <t>PR Command66 Data</t>
  </si>
  <si>
    <t>PATH#66  Data</t>
  </si>
  <si>
    <t>0x0742</t>
  </si>
  <si>
    <t>P7.034</t>
  </si>
  <si>
    <t>PRCmd67Setting</t>
  </si>
  <si>
    <t>PR Command67 Setting</t>
  </si>
  <si>
    <t>PATH#67  Definition</t>
  </si>
  <si>
    <t>0x0744</t>
  </si>
  <si>
    <t>P7.035</t>
  </si>
  <si>
    <t>PRCmd67Data</t>
  </si>
  <si>
    <t>PR Command67 Data</t>
  </si>
  <si>
    <t>PATH#67  Data</t>
  </si>
  <si>
    <t>0x0746</t>
  </si>
  <si>
    <t>P7.036</t>
  </si>
  <si>
    <t>PRCmd68Setting</t>
  </si>
  <si>
    <t>PR Command68 Setting</t>
  </si>
  <si>
    <t>PATH#68  Definition</t>
  </si>
  <si>
    <t>0x0748</t>
  </si>
  <si>
    <t>P7.037</t>
  </si>
  <si>
    <t>PRCmd68Data</t>
  </si>
  <si>
    <t>PR Command68 Data</t>
  </si>
  <si>
    <t>PATH#68  Data</t>
  </si>
  <si>
    <t>0x074A</t>
  </si>
  <si>
    <t>P7.038</t>
  </si>
  <si>
    <t>PRCmd69Setting</t>
  </si>
  <si>
    <t>PR Command69 Setting</t>
  </si>
  <si>
    <t>PATH#69  Definition</t>
  </si>
  <si>
    <t>0x074C</t>
  </si>
  <si>
    <t>P7.039</t>
  </si>
  <si>
    <t>PRCmd69Data</t>
  </si>
  <si>
    <t>PR Command69 Data</t>
  </si>
  <si>
    <t>PATH#69  Data</t>
  </si>
  <si>
    <t>0x074E</t>
  </si>
  <si>
    <t>P7.040</t>
  </si>
  <si>
    <t>PRCmd70Setting</t>
  </si>
  <si>
    <t>PR Command70 Setting</t>
  </si>
  <si>
    <t>PATH#70  Definition</t>
  </si>
  <si>
    <t>0x0750</t>
  </si>
  <si>
    <t>P7.041</t>
  </si>
  <si>
    <t>PRCmd70Data</t>
  </si>
  <si>
    <t>PR Command70 Data</t>
  </si>
  <si>
    <t>PATH#70  Data</t>
  </si>
  <si>
    <t>0x0752</t>
  </si>
  <si>
    <t>P7.042</t>
  </si>
  <si>
    <t>PRCmd71Setting</t>
  </si>
  <si>
    <t>PR Command71 Setting</t>
  </si>
  <si>
    <t>PATH#71  Definition</t>
  </si>
  <si>
    <t>0x0754</t>
  </si>
  <si>
    <t>P7.043</t>
  </si>
  <si>
    <t>PRCmd71Data</t>
  </si>
  <si>
    <t>PR Command71 Data</t>
  </si>
  <si>
    <t>PATH#71  Data</t>
  </si>
  <si>
    <t>0x0756</t>
  </si>
  <si>
    <t>P7.044</t>
  </si>
  <si>
    <t>PRCmd72Setting</t>
  </si>
  <si>
    <t>PR Command72 Setting</t>
  </si>
  <si>
    <t>PATH#72  Definition</t>
  </si>
  <si>
    <t>0x0758</t>
  </si>
  <si>
    <t>P7.045</t>
  </si>
  <si>
    <t>PRCmd72Data</t>
  </si>
  <si>
    <t>PR Command72 Data</t>
  </si>
  <si>
    <t>PATH#72  Data</t>
  </si>
  <si>
    <t>0x075A</t>
  </si>
  <si>
    <t>P7.046</t>
  </si>
  <si>
    <t>PRCmd73Setting</t>
  </si>
  <si>
    <t>PR Command73 Setting</t>
  </si>
  <si>
    <t>PATH#73  Definition</t>
  </si>
  <si>
    <t>0x075C</t>
  </si>
  <si>
    <t>P7.047</t>
  </si>
  <si>
    <t>PRCmd73Data</t>
  </si>
  <si>
    <t>PR Command73 Data</t>
  </si>
  <si>
    <t>PATH#73  Data</t>
  </si>
  <si>
    <t>0x075E</t>
  </si>
  <si>
    <t>P7.048</t>
  </si>
  <si>
    <t>PRCmd74Setting</t>
  </si>
  <si>
    <t>PR Command74 Setting</t>
  </si>
  <si>
    <t>PATH#74  Definition</t>
  </si>
  <si>
    <t>0x0760</t>
  </si>
  <si>
    <t>P7.049</t>
  </si>
  <si>
    <t>PRCmd74Data</t>
  </si>
  <si>
    <t>PR Command74 Data</t>
  </si>
  <si>
    <t>PATH#74  Data</t>
  </si>
  <si>
    <t>0x0762</t>
  </si>
  <si>
    <t>P7.050</t>
  </si>
  <si>
    <t>PRCmd75Setting</t>
  </si>
  <si>
    <t>PR Command75 Setting</t>
  </si>
  <si>
    <t>PATH#75  Definition</t>
  </si>
  <si>
    <t>0x0764</t>
  </si>
  <si>
    <t>P7.051</t>
  </si>
  <si>
    <t>PRCmd75Data</t>
  </si>
  <si>
    <t>PR Command75 Data</t>
  </si>
  <si>
    <t>PATH#75  Data</t>
  </si>
  <si>
    <t>0x0766</t>
  </si>
  <si>
    <t>P7.052</t>
  </si>
  <si>
    <t>PRCmd76Setting</t>
  </si>
  <si>
    <t>PR Command76 Setting</t>
  </si>
  <si>
    <t>PATH#76  Definition</t>
  </si>
  <si>
    <t>0x0768</t>
  </si>
  <si>
    <t>P7.053</t>
  </si>
  <si>
    <t>PRCmd76Data</t>
  </si>
  <si>
    <t>PR Command76 Data</t>
  </si>
  <si>
    <t>PATH#76  Data</t>
  </si>
  <si>
    <t>0x076A</t>
  </si>
  <si>
    <t>P7.054</t>
  </si>
  <si>
    <t>PRCmd77Setting</t>
  </si>
  <si>
    <t>PR Command77 Setting</t>
  </si>
  <si>
    <t>PATH#77  Definition</t>
  </si>
  <si>
    <t>0x076C</t>
  </si>
  <si>
    <t>P7.055</t>
  </si>
  <si>
    <t>PRCmd77Data</t>
  </si>
  <si>
    <t>PR Command77 Data</t>
  </si>
  <si>
    <t>PATH#77  Data</t>
  </si>
  <si>
    <t>0x076E</t>
  </si>
  <si>
    <t>P7.056</t>
  </si>
  <si>
    <t>PRCmd78Setting</t>
  </si>
  <si>
    <t>PR Command78 Setting</t>
  </si>
  <si>
    <t>PATH#78  Definition</t>
  </si>
  <si>
    <t>0x0770</t>
  </si>
  <si>
    <t>P7.057</t>
  </si>
  <si>
    <t>PRCmd78Data</t>
  </si>
  <si>
    <t>PR Command78 Data</t>
  </si>
  <si>
    <t>PATH#78  Data</t>
  </si>
  <si>
    <t>0x0772</t>
  </si>
  <si>
    <t>P7.058</t>
  </si>
  <si>
    <t>PRCmd79Setting</t>
  </si>
  <si>
    <t>PR Command79 Setting</t>
  </si>
  <si>
    <t>PATH#79  Definition</t>
  </si>
  <si>
    <t>0x0774</t>
  </si>
  <si>
    <t>P7.059</t>
  </si>
  <si>
    <t>PRCmd79Data</t>
  </si>
  <si>
    <t>PR Command79 Data</t>
  </si>
  <si>
    <t>PATH#79  Data</t>
  </si>
  <si>
    <t>0x0776</t>
  </si>
  <si>
    <t>P7.060</t>
  </si>
  <si>
    <t>PRCmd80Setting</t>
  </si>
  <si>
    <t>PR Command80 Setting</t>
  </si>
  <si>
    <t>PATH#80  Definition</t>
  </si>
  <si>
    <t>0x0778</t>
  </si>
  <si>
    <t>P7.061</t>
  </si>
  <si>
    <t>PRCmd80Data</t>
  </si>
  <si>
    <t>PR Command80 Data</t>
  </si>
  <si>
    <t>PATH#80  Data</t>
  </si>
  <si>
    <t>0x077A</t>
  </si>
  <si>
    <t>P7.062</t>
  </si>
  <si>
    <t>PRCmd81Setting</t>
  </si>
  <si>
    <t>PR Command81 Setting</t>
  </si>
  <si>
    <t>PATH#81  Definition</t>
  </si>
  <si>
    <t>0x077C</t>
  </si>
  <si>
    <t>P7.063</t>
  </si>
  <si>
    <t>PRCmd81Data</t>
  </si>
  <si>
    <t>PR Command81 Data</t>
  </si>
  <si>
    <t>PATH#81  Data</t>
  </si>
  <si>
    <t>0x077E</t>
  </si>
  <si>
    <t>P7.064</t>
  </si>
  <si>
    <t>PRCmd82Setting</t>
  </si>
  <si>
    <t>PR Command82 Setting</t>
  </si>
  <si>
    <t>PATH#82  Definition</t>
  </si>
  <si>
    <t>0x0780</t>
  </si>
  <si>
    <t>P7.065</t>
  </si>
  <si>
    <t>PRCmd82Data</t>
  </si>
  <si>
    <t>PR Command82 Data</t>
  </si>
  <si>
    <t>PATH#82  Data</t>
  </si>
  <si>
    <t>0x0782</t>
  </si>
  <si>
    <t>P7.066</t>
  </si>
  <si>
    <t>PRCmd83Setting</t>
  </si>
  <si>
    <t>PR Command83 Setting</t>
  </si>
  <si>
    <t>PATH#83  Definition</t>
  </si>
  <si>
    <t>0x0784</t>
  </si>
  <si>
    <t>P7.067</t>
  </si>
  <si>
    <t>PRCmd83Data</t>
  </si>
  <si>
    <t>PR Command83 Data</t>
  </si>
  <si>
    <t>PATH#83  Data</t>
  </si>
  <si>
    <t>0x0786</t>
  </si>
  <si>
    <t>P7.068</t>
  </si>
  <si>
    <t>PRCmd84Setting</t>
  </si>
  <si>
    <t>PR Command84 Setting</t>
  </si>
  <si>
    <t>PATH#84  Definition</t>
  </si>
  <si>
    <t>0x0788</t>
  </si>
  <si>
    <t>P7.069</t>
  </si>
  <si>
    <t>PRCmd84Data</t>
  </si>
  <si>
    <t>PR Command84 Data</t>
  </si>
  <si>
    <t>PATH#84  Data</t>
  </si>
  <si>
    <t>0x078A</t>
  </si>
  <si>
    <t>P7.070</t>
  </si>
  <si>
    <t>PRCmd85Setting</t>
  </si>
  <si>
    <t>PR Command85 Setting</t>
  </si>
  <si>
    <t>PATH#85  Definition</t>
  </si>
  <si>
    <t>0x078C</t>
  </si>
  <si>
    <t>P7.071</t>
  </si>
  <si>
    <t>PRCmd85Data</t>
  </si>
  <si>
    <t>PR Command85 Data</t>
  </si>
  <si>
    <t>PATH#85  Data</t>
  </si>
  <si>
    <t>0x078E</t>
  </si>
  <si>
    <t>P7.072</t>
  </si>
  <si>
    <t>PRCmd86Setting</t>
  </si>
  <si>
    <t>PR Command86 Setting</t>
  </si>
  <si>
    <t>PATH#86  Definition</t>
  </si>
  <si>
    <t>0x0790</t>
  </si>
  <si>
    <t>P7.073</t>
  </si>
  <si>
    <t>PRCmd86Data</t>
  </si>
  <si>
    <t>PR Command86 Data</t>
  </si>
  <si>
    <t>PATH#86  Data</t>
  </si>
  <si>
    <t>0x0792</t>
  </si>
  <si>
    <t>P7.074</t>
  </si>
  <si>
    <t>PRCmd87Setting</t>
  </si>
  <si>
    <t>PR Command87 Setting</t>
  </si>
  <si>
    <t>PATH#87  Definition</t>
  </si>
  <si>
    <t>0x0794</t>
  </si>
  <si>
    <t>P7.075</t>
  </si>
  <si>
    <t>PRCmd87Data</t>
  </si>
  <si>
    <t>PR Command87 Data</t>
  </si>
  <si>
    <t>PATH#87  Data</t>
  </si>
  <si>
    <t>0x0796</t>
  </si>
  <si>
    <t>P7.076</t>
  </si>
  <si>
    <t>PRCmd88Setting</t>
  </si>
  <si>
    <t>PR Command88 Setting</t>
  </si>
  <si>
    <t>PATH#88  Definition</t>
  </si>
  <si>
    <t>0x0798</t>
  </si>
  <si>
    <t>P7.077</t>
  </si>
  <si>
    <t>PRCmd88Data</t>
  </si>
  <si>
    <t>PR Command88 Data</t>
  </si>
  <si>
    <t>PATH#88  Data</t>
  </si>
  <si>
    <t>0x079A</t>
  </si>
  <si>
    <t>P7.078</t>
  </si>
  <si>
    <t>PRCmd89Setting</t>
  </si>
  <si>
    <t>PR Command89 Setting</t>
  </si>
  <si>
    <t>PATH#89  Definition</t>
  </si>
  <si>
    <t>0x079C</t>
  </si>
  <si>
    <t>P7.079</t>
  </si>
  <si>
    <t>PRCmd89Data</t>
  </si>
  <si>
    <t>PR Command89 Data</t>
  </si>
  <si>
    <t>PATH#89  Data</t>
  </si>
  <si>
    <t>0x079E</t>
  </si>
  <si>
    <t>P7.080</t>
  </si>
  <si>
    <t>PRCmd90Setting</t>
  </si>
  <si>
    <t>PR Command90 Setting</t>
  </si>
  <si>
    <t>PATH#90  Definition</t>
  </si>
  <si>
    <t>0x07A0</t>
  </si>
  <si>
    <t>P7.081</t>
  </si>
  <si>
    <t>PRCmd90Data</t>
  </si>
  <si>
    <t>PR Command90 Data</t>
  </si>
  <si>
    <t>PATH#90  Data</t>
  </si>
  <si>
    <t>0x07A2</t>
  </si>
  <si>
    <t>P7.082</t>
  </si>
  <si>
    <t>PRCmd91Setting</t>
  </si>
  <si>
    <t>PR Command91 Setting</t>
  </si>
  <si>
    <t>PATH#91  Definition</t>
  </si>
  <si>
    <t>0x07A4</t>
  </si>
  <si>
    <t>P7.083</t>
  </si>
  <si>
    <t>PRCmd91Data</t>
  </si>
  <si>
    <t>PR Command91 Data</t>
  </si>
  <si>
    <t>PATH#91  Data</t>
  </si>
  <si>
    <t>0x07A6</t>
  </si>
  <si>
    <t>P7.084</t>
  </si>
  <si>
    <t>PRCmd92Setting</t>
  </si>
  <si>
    <t>PR Command92 Setting</t>
  </si>
  <si>
    <t>PATH#92  Definition</t>
  </si>
  <si>
    <t>0x07A8</t>
  </si>
  <si>
    <t>P7.085</t>
  </si>
  <si>
    <t>PRCmd92Data</t>
  </si>
  <si>
    <t>PR Command92 Data</t>
  </si>
  <si>
    <t>PATH#92  Data</t>
  </si>
  <si>
    <t>0x07AA</t>
  </si>
  <si>
    <t>P7.086</t>
  </si>
  <si>
    <t>PRCmd93Setting</t>
  </si>
  <si>
    <t>PR Command93 Setting</t>
  </si>
  <si>
    <t>PATH#93  Definition</t>
  </si>
  <si>
    <t>0x07AC</t>
  </si>
  <si>
    <t>P7.087</t>
  </si>
  <si>
    <t>PRCmd93Data</t>
  </si>
  <si>
    <t>PR Command93 Data</t>
  </si>
  <si>
    <t>PATH#93  Data</t>
  </si>
  <si>
    <t>0x07AE</t>
  </si>
  <si>
    <t>P7.088</t>
  </si>
  <si>
    <t>PRCmd94Setting</t>
  </si>
  <si>
    <t>PR Command94 Setting</t>
  </si>
  <si>
    <t>PATH#94  Definition</t>
  </si>
  <si>
    <t>0x07B0</t>
  </si>
  <si>
    <t>P7.089</t>
  </si>
  <si>
    <t>PRCmd94Data</t>
  </si>
  <si>
    <t>PR Command94 Data</t>
  </si>
  <si>
    <t>PATH#94  Data</t>
  </si>
  <si>
    <t>0x07B2</t>
  </si>
  <si>
    <t>P7.090</t>
  </si>
  <si>
    <t>PRCmd95Setting</t>
  </si>
  <si>
    <t>PR Command95 Setting</t>
  </si>
  <si>
    <t>PATH#95  Definition</t>
  </si>
  <si>
    <t>0x07B4</t>
  </si>
  <si>
    <t>P7.091</t>
  </si>
  <si>
    <t>PRCmd95Data</t>
  </si>
  <si>
    <t>PR Command95 Data</t>
  </si>
  <si>
    <t>PATH#95  Data</t>
  </si>
  <si>
    <t>0x07B6</t>
  </si>
  <si>
    <t>P7.092</t>
  </si>
  <si>
    <t>PRCmd96Setting</t>
  </si>
  <si>
    <t>PR Command96 Setting</t>
  </si>
  <si>
    <t>PATH#96  Definition</t>
  </si>
  <si>
    <t>0x07B8</t>
  </si>
  <si>
    <t>P7.093</t>
  </si>
  <si>
    <t>PRCmd96Data</t>
  </si>
  <si>
    <t>PR Command96 Data</t>
  </si>
  <si>
    <t>PATH#96  Data</t>
  </si>
  <si>
    <t>0x07BA</t>
  </si>
  <si>
    <t>P7.094</t>
  </si>
  <si>
    <t>PRCmd97Setting</t>
  </si>
  <si>
    <t>PR Command97 Setting</t>
  </si>
  <si>
    <t>PATH#97  Definition</t>
  </si>
  <si>
    <t>0x07BC</t>
  </si>
  <si>
    <t>P7.095</t>
  </si>
  <si>
    <t>PRCmd97Data</t>
  </si>
  <si>
    <t>PR Command97 Data</t>
  </si>
  <si>
    <t>PATH#97  Data</t>
  </si>
  <si>
    <t>0x07BE</t>
  </si>
  <si>
    <t>P7.096</t>
  </si>
  <si>
    <t>PRCmd98Setting</t>
  </si>
  <si>
    <t>PR Command98 Setting</t>
  </si>
  <si>
    <t>PATH#98  Definition</t>
  </si>
  <si>
    <t>0x07C0</t>
  </si>
  <si>
    <t>P7.097</t>
  </si>
  <si>
    <t>PRCmd98Data</t>
  </si>
  <si>
    <t>PR Command98 Data</t>
  </si>
  <si>
    <t>PATH#98  Data</t>
  </si>
  <si>
    <t>0x07C2</t>
  </si>
  <si>
    <t>P7.098</t>
  </si>
  <si>
    <t>PRCmd99Setting</t>
  </si>
  <si>
    <t>PR Command99 Setting</t>
  </si>
  <si>
    <t>PATH#99  Definition</t>
  </si>
  <si>
    <t>0x07C4</t>
  </si>
  <si>
    <t>P7.099</t>
  </si>
  <si>
    <t>PRCmd99Data</t>
  </si>
  <si>
    <t>PR Command99 Data</t>
  </si>
  <si>
    <t>PATH#99  Data</t>
  </si>
  <si>
    <t>0x07C6</t>
  </si>
  <si>
    <t>PM.001</t>
  </si>
  <si>
    <t>MotorAutoIdentify</t>
  </si>
  <si>
    <t>Motor Automatic Identification</t>
  </si>
  <si>
    <t>Automatic identification of motor parameter</t>
  </si>
  <si>
    <t>0xFD02</t>
  </si>
  <si>
    <t>Set 0/2 success, but 1 fail…
12/18：此參數的設定有條件，需搭配特定Motor Selection選項
12/18：Delta提供設定條件於Note處
-------------------------------
2018.01.07
設定需有特定條件，否則無法寫入
PM-01=1 設定條件：PN-00=2(Nameplate Datasheet)
PM-01=2 設定條件：PN-09=2(Manual Input)
寫入後servo on 即進入識別功能
2019.04.24. Delta added "Volatile parameter"</t>
  </si>
  <si>
    <t>PM.002</t>
  </si>
  <si>
    <t>MotorParameterConfirmation</t>
  </si>
  <si>
    <t>Motor Parameter Confirmation</t>
  </si>
  <si>
    <t>Confirmation of motor parameter</t>
  </si>
  <si>
    <t>0xFD04</t>
  </si>
  <si>
    <t>12/19: Delta modified property (★ and ●)
Can't be set, Change to ReadOnly??
12/18：Delta已改為ReadOnly
12/31: descriptor changed to 0x0010
2019.04.24. Delta removed "Valid after re-power on"
2019.05.23. Default changed from 0 to 1. Default is nv with TLP motor, this parameter is used for nameplate motor.</t>
  </si>
  <si>
    <t>PM.003</t>
  </si>
  <si>
    <t>EncoderType</t>
  </si>
  <si>
    <t>Encoder Type</t>
  </si>
  <si>
    <t>Encoder type</t>
  </si>
  <si>
    <t>0xFD06</t>
  </si>
  <si>
    <t>Should refuse 0x0001 to 0x000F
12/18：Delta進行FW修改
2019.01.07. Fixed
2018.01.10. with TLP motor is 0x0000. with power board is 0x0010.</t>
  </si>
  <si>
    <t>PM.004</t>
  </si>
  <si>
    <t>EncoderResolution</t>
  </si>
  <si>
    <t>Encoder resolution</t>
  </si>
  <si>
    <t>0xFD08</t>
  </si>
  <si>
    <t>PM-006 Rotary motor
2019.01.07: Shold be  PM-004
PN-003 Linear Motor nm/Count(L)
Default value: Set to TLP motor encoder resolution??
12/18：Delta先內部確認修改是否有疑慮，若有疑慮再提出與RA討論；若無一濾則依照RA需求進行修改
2019.01.07. Delta update default from 2500 to 16777216.</t>
  </si>
  <si>
    <t>PM.006</t>
  </si>
  <si>
    <t>0x0111</t>
  </si>
  <si>
    <t>PhaseSequence</t>
  </si>
  <si>
    <t>Phase Sequence</t>
  </si>
  <si>
    <t>UVW phase sequence and Hall sensor</t>
  </si>
  <si>
    <t>0xFD0C</t>
  </si>
  <si>
    <t>12/06: add property(⌂)
12/18：Delta內部確認格式
2019.01.07. Delta：目前已为Hex</t>
  </si>
  <si>
    <t>PM.007</t>
  </si>
  <si>
    <t>CommutationOffset</t>
  </si>
  <si>
    <t>Commutation Offset</t>
  </si>
  <si>
    <t>Offset angle of Hall sensor</t>
  </si>
  <si>
    <t>0xFD0E</t>
  </si>
  <si>
    <t>mapped to "Commutation Offset" in Encoder Memory Map
2019.01.16.Setable condiction? Can't set when PN009=2
2019.02.19 Offset寫入保護功能：當Motor Selection為Catalog Number(PN-00=1)且Commutataion Alignment為Drive Offset(PN-09=2)情況下，程式會參考馬達內部資料預設的電氣角偏移量，若設定值相差太多則會禁止寫入</t>
  </si>
  <si>
    <t>PM.008</t>
  </si>
  <si>
    <t>HallHystersisWidth</t>
  </si>
  <si>
    <t>Hysteresis width of Hall sensor moving back and forth</t>
  </si>
  <si>
    <t>0xFD10</t>
  </si>
  <si>
    <t>PM.009</t>
  </si>
  <si>
    <t>ElectricalAngleCorrection</t>
  </si>
  <si>
    <t>Electrical Angle Correction</t>
  </si>
  <si>
    <t>Correction of electrical angle when reached Z axis</t>
  </si>
  <si>
    <t>0xFD12</t>
  </si>
  <si>
    <t>12/18：Delta內部確認格式
2019.01.07. Delta：目前已为Hex
2019.01.07. Default 0x0010 differ to A3 manual
2019.02.19 Delta check(健宏確認是否與接馬達有關)
2019.02.25 此參數在未接馬達下數值為0x0010
2019.02.27.RA确认v4101_9072下未连马达也为0x0000.该版本下此问题已解决。</t>
  </si>
  <si>
    <t>PM.015</t>
  </si>
  <si>
    <r>
      <t xml:space="preserve">1023000
</t>
    </r>
    <r>
      <rPr>
        <sz val="10"/>
        <color rgb="FFFF0000"/>
        <rFont val="Arial"/>
        <family val="2"/>
      </rPr>
      <t>16383000</t>
    </r>
  </si>
  <si>
    <t>CurrentLoopProportionalGain</t>
  </si>
  <si>
    <t>Current Loop Proportional Gain</t>
  </si>
  <si>
    <t>Proportional gain of current loop</t>
  </si>
  <si>
    <t>0xFD1E</t>
  </si>
  <si>
    <t>Reserved in Delta's new PM parameters, 但K800适用，这个参数还是需要的
2019.01.10. default is 26351
2019.04.19. default is 0 already.</t>
  </si>
  <si>
    <t>2019.05.16. Set PN.000=2,its value is 21928(with motor) or 62(without motor).</t>
  </si>
  <si>
    <t>PM.016</t>
  </si>
  <si>
    <t>CurrentLoopIntegralGain</t>
  </si>
  <si>
    <t>Current Loop Integral Gain</t>
  </si>
  <si>
    <t>Integral gain of current loop</t>
  </si>
  <si>
    <t>0xFD20</t>
  </si>
  <si>
    <t>Reserved in Delta's new PM parameters, 但K800适用，这个参数还是需要的
2019.01.10. default is 469 with motor.
2019.04.19. default is 0 already.</t>
  </si>
  <si>
    <t>2019.05.16. Set PN.000=2,its value is 469(with motor).</t>
  </si>
  <si>
    <t>PM.019</t>
  </si>
  <si>
    <t>OverloadRisingGain</t>
  </si>
  <si>
    <t>Overload Rising Gain</t>
  </si>
  <si>
    <t>Overload gain (temperature rises)</t>
  </si>
  <si>
    <t>0xFD26</t>
  </si>
  <si>
    <t>PM.020</t>
  </si>
  <si>
    <t>OverloadFallingGain</t>
  </si>
  <si>
    <t>Overload Falling Gain</t>
  </si>
  <si>
    <t>Overload gain (temperature falls)</t>
  </si>
  <si>
    <t>0xFD28</t>
  </si>
  <si>
    <t>PM.022</t>
  </si>
  <si>
    <t>MotorTempSensor</t>
  </si>
  <si>
    <t>Motor Temperature Sensor Type</t>
  </si>
  <si>
    <t>Motor temperature sensor</t>
  </si>
  <si>
    <t>0xFD2C</t>
  </si>
  <si>
    <t>Reserved, but keep it here.</t>
  </si>
  <si>
    <t>PM.024</t>
  </si>
  <si>
    <t>MotorTempSensorResistance</t>
  </si>
  <si>
    <t>Motor Temperature Sensor Resistance</t>
  </si>
  <si>
    <t>Motor temperature sensor resistance</t>
  </si>
  <si>
    <t>12/18：Delta內部確認格式
2019.01.07.Delta changed to readonly (External Temperature Sensor, not used in RA)
2019.01.07. No motor, 400W, default 10, still writeable
2019.01.30. max changed from 50000 to 500.
2019.05.02. Reserved, but keep it here. Change default from 10 to 0.
Reserved, but keep it here.</t>
  </si>
  <si>
    <t>PM.030</t>
  </si>
  <si>
    <t>MotorRatedPeakCurrent</t>
  </si>
  <si>
    <t>Motor Rated Peak Current</t>
  </si>
  <si>
    <t>Max. current of PM motor</t>
  </si>
  <si>
    <t>0xFD3C</t>
  </si>
  <si>
    <t>Combined with PM047, PM070. Need to confirm min/max value.
Real range 1 to  65535
0 will fail.
Default value needs update
12/18：Delta內部討論預設值部分(PM-29也是)，再發信回覆
12/18：此參數最小值限制與PM-29相同
2019.01.07. No motor, no power board 400W, default 270. No motors with power board 400W, ??
Min same with 4/PM.029
2019.01.07. No motor, no power board 400W, default 270. No motors with power board 400W, 780. with TLP motor is 950.
2019.04.19. Default changed from 0 to 650.
Min should no less than Imax /8, varies by catalog:
Catalog / RatedContCurrent / RatedPeakCurrent / Min
2198-E1004-ERS / 2.60  /  6.50    /  33
2198-E1007-ERS / 5.10  /  15.41  /  64
2198-E1015-ERS / 7.90  /   23.7   /  99
2198-E1020-ERS / 13.40 /  53.03  / 168
2198-E1030-ERS / 17.90 /  55.95  /  224
2198-E2055-ERS / 41.30 /  91.40  /  517
2198-E2075-ERS / 49.00 /  127.49 / 613
2198-E2150-ERS / 78.00 /  162.00 / 975</t>
  </si>
  <si>
    <t>PM.035</t>
  </si>
  <si>
    <t>PMMotorResistance</t>
  </si>
  <si>
    <t>PM motor phase resistance</t>
  </si>
  <si>
    <t>0xFD46</t>
  </si>
  <si>
    <t>Combined with PM050, PM074
Why not use UINT?
12/18：維持Delta現有格式</t>
  </si>
  <si>
    <t>PM.036</t>
  </si>
  <si>
    <t>H</t>
    <phoneticPr fontId="0" type="noConversion"/>
  </si>
  <si>
    <t>PMMotorInductance</t>
  </si>
  <si>
    <t>PM motor phase inductance</t>
  </si>
  <si>
    <t>0xFD48</t>
  </si>
  <si>
    <t>Combined with PM051
Why not use UINT?
12/18：維持Delta現有格式</t>
  </si>
  <si>
    <t>PM.038</t>
  </si>
  <si>
    <t>Volts (RMS)/KRPM</t>
  </si>
  <si>
    <t>PMMotorVoltageConstant</t>
    <phoneticPr fontId="0" type="noConversion"/>
  </si>
  <si>
    <t>Permenent Magnet Motor Bemf Voltage Constant</t>
  </si>
  <si>
    <t>PM motor back EMF constant</t>
  </si>
  <si>
    <t>0xFD4C</t>
  </si>
  <si>
    <t>Combined with PM053</t>
  </si>
  <si>
    <t>PM.045</t>
  </si>
  <si>
    <t>DINT</t>
    <phoneticPr fontId="0" type="noConversion"/>
  </si>
  <si>
    <t>mm</t>
  </si>
  <si>
    <t>LinearMotorPolePitch</t>
  </si>
  <si>
    <t>Linear Motor Pole Pitch</t>
  </si>
  <si>
    <t>Linear motor pole pitch</t>
  </si>
  <si>
    <t>0xFD5A</t>
  </si>
  <si>
    <t>Change name to Pole Pitch
2019.04.24. Delta added "set when servo off"</t>
  </si>
  <si>
    <t>2019.04.25. For Linear motor, temporary "Read-only"</t>
  </si>
  <si>
    <t>PM.049</t>
  </si>
  <si>
    <t>N/Amps (RMS)</t>
    <phoneticPr fontId="0" type="noConversion"/>
  </si>
  <si>
    <t>PMMotorForceConstant</t>
  </si>
  <si>
    <t>Permanent Magnet Motor Force Constant</t>
  </si>
  <si>
    <t>Linear motor torque constant</t>
  </si>
  <si>
    <t>0xFD62</t>
  </si>
  <si>
    <t>Change name to Force Constant</t>
  </si>
  <si>
    <t>PM.066</t>
  </si>
  <si>
    <t>InductionMotorRatedFrequency</t>
  </si>
  <si>
    <t>Induction Motor Rated Frequency</t>
  </si>
  <si>
    <t>IM rated Electrical Frequency</t>
  </si>
  <si>
    <t>0xFD84</t>
  </si>
  <si>
    <t>Change name to Induction Motor Rated Frequency</t>
  </si>
  <si>
    <t>PM.075</t>
  </si>
  <si>
    <t>InductionMotorRotorResistance</t>
  </si>
  <si>
    <t>Induction Motor Rotor Resistance</t>
  </si>
  <si>
    <t>IM motor rotor resistance(Rr)</t>
  </si>
  <si>
    <t>0xFD96</t>
  </si>
  <si>
    <t>PM.076</t>
  </si>
  <si>
    <t>H</t>
  </si>
  <si>
    <t>InductionMotorLeakageInductance</t>
  </si>
  <si>
    <t>Induction Motor Leakage Inductance</t>
  </si>
  <si>
    <t>IM motor leakage inductance(Li)</t>
  </si>
  <si>
    <t>0xFD98</t>
  </si>
  <si>
    <t>PM.077</t>
  </si>
  <si>
    <t>InductionMotorMutualInductance</t>
  </si>
  <si>
    <t>Induction Motor Mutual Inductance</t>
  </si>
  <si>
    <t>IM馬達互感Lm (Lm)</t>
  </si>
  <si>
    <t>0xFD9A</t>
  </si>
  <si>
    <t>PM.078</t>
  </si>
  <si>
    <t>InductionMotorFluxCurrent</t>
  </si>
  <si>
    <t>Induction Motor Flux Current</t>
  </si>
  <si>
    <t>IM No-load current</t>
  </si>
  <si>
    <t>0xFD9C</t>
  </si>
  <si>
    <t>PM.079</t>
  </si>
  <si>
    <t>InductionMotorFluxProportionalGain</t>
  </si>
  <si>
    <t>Induction Motor Flux Proportional Gain</t>
  </si>
  <si>
    <t>IM flux Proportional gain(Kp)</t>
  </si>
  <si>
    <t>0xFD9E</t>
  </si>
  <si>
    <t>PM.080</t>
  </si>
  <si>
    <t>InductionMotorFluxIntegralGain</t>
  </si>
  <si>
    <t>Induction Motor Flux Integral Gain</t>
  </si>
  <si>
    <t>IM flux Integral gain (ki)</t>
  </si>
  <si>
    <t>0xFDA0</t>
  </si>
  <si>
    <t>PM.090</t>
  </si>
  <si>
    <t>Reserved623</t>
    <phoneticPr fontId="0" type="noConversion"/>
  </si>
  <si>
    <t>過電流檢出準位1</t>
  </si>
  <si>
    <t>0xFDB4</t>
  </si>
  <si>
    <t>In K800 Parameters NameUnit 20180110.xls: [0110]Delta：V/F Control. Change to Reserved?
2020.09.17 RA removed function</t>
  </si>
  <si>
    <t>PM.091</t>
  </si>
  <si>
    <t>Reserved624</t>
    <phoneticPr fontId="0" type="noConversion"/>
  </si>
  <si>
    <t>過電流檢出時間1</t>
  </si>
  <si>
    <t>0xFDB6</t>
  </si>
  <si>
    <t>PM.092</t>
  </si>
  <si>
    <t>Reserved625</t>
    <phoneticPr fontId="0" type="noConversion"/>
  </si>
  <si>
    <t>過電流檢出準位2</t>
  </si>
  <si>
    <t>0xFDB8</t>
  </si>
  <si>
    <t>PM.093</t>
  </si>
  <si>
    <t>Reserved626</t>
    <phoneticPr fontId="0" type="noConversion"/>
  </si>
  <si>
    <t>過電流檢出時間2</t>
  </si>
  <si>
    <t>0xFDBA</t>
  </si>
  <si>
    <t>PN.000</t>
  </si>
  <si>
    <t>MotorDataSource</t>
  </si>
  <si>
    <t>Motor Data Source</t>
  </si>
  <si>
    <t>Standard Motor Flag</t>
  </si>
  <si>
    <t>0xFC00</t>
  </si>
  <si>
    <t>0:Motor NV; 1:Catalog Number; 2:Nameplate Datasheet;
12/18: Delta add property(▲)</t>
  </si>
  <si>
    <t>PN.001</t>
  </si>
  <si>
    <t>% Motor Rated</t>
  </si>
  <si>
    <t>MotorOverloadLimit</t>
  </si>
  <si>
    <t>Motor Overload Limit</t>
  </si>
  <si>
    <t>0xFC02</t>
  </si>
  <si>
    <r>
      <t xml:space="preserve">got from encoder memory map, change name to Motor Overload Limit
</t>
    </r>
    <r>
      <rPr>
        <strike/>
        <sz val="10"/>
        <rFont val="Arial"/>
        <family val="2"/>
      </rPr>
      <t>PM: 1~100; IM: 1~200; Set 0 to disable.</t>
    </r>
    <r>
      <rPr>
        <sz val="10"/>
        <rFont val="Arial"/>
        <family val="2"/>
      </rPr>
      <t xml:space="preserve">
Normal overload: 1~100; 3rd overload: 1~200(PN.007 or PN.008 is 0 =&gt; 3rd overload)
</t>
    </r>
  </si>
  <si>
    <t>PN.002</t>
  </si>
  <si>
    <t>kg</t>
    <phoneticPr fontId="0" type="noConversion"/>
  </si>
  <si>
    <t>LinearMotorMass</t>
    <phoneticPr fontId="0" type="noConversion"/>
  </si>
  <si>
    <t>Linear Motor Mass</t>
    <phoneticPr fontId="0" type="noConversion"/>
  </si>
  <si>
    <t>Motor Mass</t>
  </si>
  <si>
    <t>0xFC04</t>
  </si>
  <si>
    <t>2019.04.24. Delta added "Set when servo off"</t>
  </si>
  <si>
    <t>PN.003</t>
  </si>
  <si>
    <t>Lines/Meter</t>
    <phoneticPr fontId="0" type="noConversion"/>
  </si>
  <si>
    <t>LinearEncoderResolution</t>
    <phoneticPr fontId="0" type="noConversion"/>
  </si>
  <si>
    <t>Encoder Lines / Meter</t>
  </si>
  <si>
    <t>0xFC06</t>
  </si>
  <si>
    <t>PM-006 Rotary motor
2019.01.07: Shold be  PM-004
PN-003 Linear Motor
2019.04.24. Delta added "Set when servo off"
2021.05.21 Range Limit: 18 ~ 50000 for AqB encoder; 25000 ~ 62500000 for sin/cos encoder</t>
    <phoneticPr fontId="0" type="noConversion"/>
  </si>
  <si>
    <t>PN.004</t>
  </si>
  <si>
    <t>MotorThermostat</t>
  </si>
  <si>
    <t>Motor Thermostat</t>
  </si>
  <si>
    <t>0xFC08</t>
  </si>
  <si>
    <t>0 - Disable, 1 - Enable
2019.04.24. Delta update properties. But keep it for ODVA test, since the reply is not corret.</t>
  </si>
  <si>
    <t>PN.005</t>
  </si>
  <si>
    <r>
      <rPr>
        <vertAlign val="superscript"/>
        <sz val="10"/>
        <rFont val="Arial"/>
        <family val="2"/>
      </rPr>
      <t>o</t>
    </r>
    <r>
      <rPr>
        <sz val="10"/>
        <rFont val="Arial"/>
        <family val="2"/>
      </rPr>
      <t>C/Watt</t>
    </r>
  </si>
  <si>
    <t>MotorWindingToEncoderResistance</t>
  </si>
  <si>
    <t>Motor Thermal Resistance, Winding to Encoder Rth (w-e)</t>
  </si>
  <si>
    <t>0xFC0A</t>
  </si>
  <si>
    <t>12/06: Delta add property(▲)</t>
  </si>
  <si>
    <t>PN.006</t>
  </si>
  <si>
    <r>
      <t>J/</t>
    </r>
    <r>
      <rPr>
        <vertAlign val="superscript"/>
        <sz val="10"/>
        <rFont val="Arial"/>
        <family val="2"/>
      </rPr>
      <t>o</t>
    </r>
    <r>
      <rPr>
        <sz val="10"/>
        <rFont val="Arial"/>
        <family val="2"/>
      </rPr>
      <t>C</t>
    </r>
  </si>
  <si>
    <t>MotorWindingToEncoderCapacitance</t>
  </si>
  <si>
    <t>Motor Thermal Capacitance, Winding to Encoder Cth (w-e)</t>
  </si>
  <si>
    <t>0xFC0C</t>
  </si>
  <si>
    <t>PN.007</t>
  </si>
  <si>
    <t>MotorWindingToAmbientResistance</t>
  </si>
  <si>
    <t>Motor Thermal Resistance, Winding to Ambient</t>
  </si>
  <si>
    <t>0xFC0E</t>
  </si>
  <si>
    <t>PN.008</t>
  </si>
  <si>
    <t>MotorWindingToAmbientCapacitance</t>
  </si>
  <si>
    <t>Motor Thermal Capacitance, Winding to Ambient</t>
  </si>
  <si>
    <t>0xFC10</t>
  </si>
  <si>
    <t>PN.009</t>
  </si>
  <si>
    <t>CommutationAlignment</t>
  </si>
  <si>
    <t xml:space="preserve">Commutation Alignment (Startup) </t>
  </si>
  <si>
    <t>Start-up Commutation</t>
  </si>
  <si>
    <t>0xFC12</t>
  </si>
  <si>
    <r>
      <t xml:space="preserve">0:Motor Offset; 1:Self-sense; 2: Manual Input; 3: Database Input;
12/06: Delta add property(▲)
2019.04.17: Delta changed max value from 3 to 2.
</t>
    </r>
    <r>
      <rPr>
        <b/>
        <sz val="10"/>
        <color rgb="FFFF0000"/>
        <rFont val="Arial"/>
        <family val="2"/>
      </rPr>
      <t>2019.11.27 Update Information, remove 3rd value and change 2nd value description</t>
    </r>
  </si>
  <si>
    <t>PN.014</t>
  </si>
  <si>
    <t>FluxSaturation1_8thPeakCurrent</t>
  </si>
  <si>
    <t>Flux Saturation Data 1/8 Peak Current</t>
  </si>
  <si>
    <t>0xFC1C</t>
  </si>
  <si>
    <t>Used for the MP motor. 
2019.01.10. Default value is 10000 with no motor.  0 with TLP motor and out of range. Need updates for TLP BLOB fle.
2019/04/17: change min value to 1</t>
  </si>
  <si>
    <t>PN.015</t>
  </si>
  <si>
    <t>FluxSaturation1_4thPeakCurrent</t>
  </si>
  <si>
    <t>Flux Saturation Data 1/4 Peak Current</t>
  </si>
  <si>
    <t>0xFC1E</t>
  </si>
  <si>
    <t>PN.016</t>
  </si>
  <si>
    <t>FluxSaturation3_8thPeakCurrent</t>
  </si>
  <si>
    <t>Flux Saturation Data 3/8 Peak Current</t>
  </si>
  <si>
    <t>0xFC20</t>
  </si>
  <si>
    <t>PN.017</t>
  </si>
  <si>
    <t>FluxSaturation1_2ndPeakCurrent</t>
  </si>
  <si>
    <t>Flux Saturation Data 1/2 Peak Current</t>
  </si>
  <si>
    <t>0xFC22</t>
  </si>
  <si>
    <t>PN.018</t>
  </si>
  <si>
    <t>FluxSaturation5_8thPeakCurrent</t>
  </si>
  <si>
    <t>Flux Saturation Data 5/8 Peak Current</t>
  </si>
  <si>
    <t>0xFC24</t>
  </si>
  <si>
    <t>PN.019</t>
  </si>
  <si>
    <t>FluxSaturation3_4thPeakCurrent</t>
  </si>
  <si>
    <t>Flux Saturation Data 3/4 Peak Current</t>
  </si>
  <si>
    <t>0xFC26</t>
  </si>
  <si>
    <t>PN.020</t>
  </si>
  <si>
    <t>FluxSaturation7_8thPeakCurrent</t>
  </si>
  <si>
    <t>Flux Saturation Data 7/8 Peak Current</t>
  </si>
  <si>
    <t>0xFC28</t>
  </si>
  <si>
    <t>PN.021</t>
  </si>
  <si>
    <t>FluxSaturationPeakCurrent</t>
  </si>
  <si>
    <t xml:space="preserve"> Flux Saturation Data Peak Current</t>
  </si>
  <si>
    <t>0xFC2A</t>
  </si>
  <si>
    <t>PN.022</t>
  </si>
  <si>
    <t>MotorDateCode</t>
  </si>
  <si>
    <t>Motor Date Code</t>
  </si>
  <si>
    <t>Motor Manufacturing Date Code</t>
  </si>
  <si>
    <t>0xFC2C</t>
  </si>
  <si>
    <t>From the highest byte, Month(8bit), Day(8bit), Year MSB(8bit), Year LSB(8bit), used for website</t>
  </si>
  <si>
    <t>PN.023</t>
  </si>
  <si>
    <t>N-m</t>
  </si>
  <si>
    <t>PMMotorRatedTorque</t>
  </si>
  <si>
    <t>Continuous Torque</t>
  </si>
  <si>
    <t>0xFC2E</t>
  </si>
  <si>
    <t>got from encoder memory map, need for motor selection</t>
  </si>
  <si>
    <t>PN.024</t>
  </si>
  <si>
    <t>UDINT</t>
    <phoneticPr fontId="0" type="noConversion"/>
  </si>
  <si>
    <t>N</t>
  </si>
  <si>
    <t>PMMotorRatedForce</t>
  </si>
  <si>
    <t>Permanent Magnet Motor Rated Force</t>
  </si>
  <si>
    <t>Continuous Force</t>
  </si>
  <si>
    <t>0xFC30</t>
  </si>
  <si>
    <t>got from encoder memory map, need for motor selection
2019.01.07: For Linear motor, Delta changed to Read-only.
2019.01.16. Already Read-only</t>
  </si>
  <si>
    <t>PN.025</t>
  </si>
  <si>
    <t>MaxContinuousTorqueLimit</t>
  </si>
  <si>
    <t>0xFC32</t>
  </si>
  <si>
    <t>PN.026</t>
  </si>
  <si>
    <t>0xC107</t>
  </si>
  <si>
    <t>EnableCommunicationPorts</t>
  </si>
  <si>
    <t>Enable Communication Ports</t>
  </si>
  <si>
    <t>0xFC34</t>
  </si>
  <si>
    <t>got from DFS checklist
01/02: NOT Config (disable/enable comm ports)
(1) write 0xC100 to Enable USB Port, 0xC000 to Disable USB Port.
(2) write 0x4100 to Enable EIP Port1, 0x4000 to Disable EIP Port1.
(3) write 0x8100 to Enable EIP Port2, 0x8000 to Disable EIP Port2.</t>
  </si>
  <si>
    <t>PN.027</t>
  </si>
  <si>
    <t>20.01.24.01.30.65</t>
  </si>
  <si>
    <t>HardwareRevision</t>
  </si>
  <si>
    <t>Hardware Revision</t>
  </si>
  <si>
    <t>0xFC36</t>
  </si>
  <si>
    <t>PN.028</t>
  </si>
  <si>
    <t>DriveName</t>
  </si>
  <si>
    <t>Drive Name, String[0]~[3]</t>
  </si>
  <si>
    <t>0xFC38</t>
  </si>
  <si>
    <t>Previous 7-segment LED only shows the character '0'~'F', four bits of one parameter represent one character. In order to express more english character or even special symbols, eight bits of one parameter will represent one character. The drive stores the ascii code of this character. All parameters are 32bits, so one parameter only express four characters. How to access the Drive name? ('0x72697665)
1) 7-segment LED can only show the character of the Drive name, cannot change it.
2) ASDA configuration software will add one TEXT control to change these parameters for Drive Name at one time.
3) When change the explicit message to access the Drive name, it will translated to access these eight parameters together.</t>
  </si>
  <si>
    <t>PN.036</t>
  </si>
  <si>
    <t>20.01.24.01.30.06</t>
  </si>
  <si>
    <t>DriveSerialNumber</t>
  </si>
  <si>
    <t>Drive Serial No.</t>
  </si>
  <si>
    <t>0xFC48</t>
  </si>
  <si>
    <t>represent 8bit number, Used in the website. UDINT, follow PDG to request. Unique value.</t>
  </si>
  <si>
    <t>PN.037</t>
  </si>
  <si>
    <t>OutputCurrent</t>
  </si>
  <si>
    <t>Output Current(Amps-rms)</t>
  </si>
  <si>
    <t>used in website Monitor signals page. It can be also added to the monitor variable. In the Monitor signal page, write the monitor variable to P0.017, then read P0.009. Sec 8.3 (055 - 37h)
The drive already has the AL083 (Servo drive outputs excessive current)</t>
  </si>
  <si>
    <t>PN.038</t>
  </si>
  <si>
    <t>MotorCapacity</t>
  </si>
  <si>
    <t>Motor Capacity(% Motor Rated)</t>
  </si>
  <si>
    <t>used in website Monitor signals page. It can be also added to the monitor variable. In the Monitor signal page, write the monitor variable to P0.017, then read P0.009. Sec 8.3 (012 - 0Ch)
The drive already has the AL083 (Servo drive outputs excessive curr
2019.01.07. No motor, with powerboard, default is 65535??. with TLP motor is 0.
2019.04.19. Default without a motor is 0 now.</t>
  </si>
  <si>
    <t>PN.039</t>
  </si>
  <si>
    <r>
      <rPr>
        <vertAlign val="superscript"/>
        <sz val="10"/>
        <color theme="1"/>
        <rFont val="Arial"/>
        <family val="2"/>
      </rPr>
      <t>o</t>
    </r>
    <r>
      <rPr>
        <sz val="10"/>
        <color theme="1"/>
        <rFont val="Arial"/>
        <family val="2"/>
      </rPr>
      <t>C</t>
    </r>
  </si>
  <si>
    <t>InverterTemperature</t>
  </si>
  <si>
    <t>Inverter Temperature(°C)</t>
  </si>
  <si>
    <t>PN.043</t>
  </si>
  <si>
    <t>EncoderTemperature</t>
  </si>
  <si>
    <t>used in website</t>
  </si>
  <si>
    <t>PN.044</t>
  </si>
  <si>
    <t>10^-4kg-m^2
kg</t>
    <phoneticPr fontId="0" type="noConversion"/>
  </si>
  <si>
    <t>TotalInertia</t>
  </si>
  <si>
    <t>Total Inertia</t>
  </si>
  <si>
    <t>2019.02.20. Both for rotary and linear motor.
2019.04.15 mininum value will depend on motor(motor inertia)</t>
    <phoneticPr fontId="0" type="noConversion"/>
  </si>
  <si>
    <t>PN.045</t>
  </si>
  <si>
    <t>UseLoadRatio</t>
  </si>
  <si>
    <t>Use Load Ratio</t>
  </si>
  <si>
    <t xml:space="preserve">2019.02.20. Both for rotary and linear motor.
</t>
    <phoneticPr fontId="0" type="noConversion"/>
  </si>
  <si>
    <t>PN.046</t>
  </si>
  <si>
    <t>EncCommProtocol</t>
  </si>
  <si>
    <t>Encoder Communication Protocol</t>
  </si>
  <si>
    <t>No Encoder/AqB: 0x0000; Nikon: 0x0003;
Hiperface: SKS(0x3209); SKM(0x3709); SRS(0x2209); SRM(0x2709);</t>
  </si>
  <si>
    <t>PN.047</t>
  </si>
  <si>
    <t>UINT</t>
    <phoneticPr fontId="0" type="noConversion"/>
  </si>
  <si>
    <t>ProductCode</t>
  </si>
  <si>
    <t>Product Code</t>
  </si>
  <si>
    <t>Used for Identity object, Defined for each drive catalog number. DSP is not ready for Product Code.
2019.04.17. Delta changed Max from 0xFFFF to 65535
2019.05.15. Datatype changed from UINT to Int.</t>
  </si>
  <si>
    <t>P0.009</t>
  </si>
  <si>
    <t>SystemVariableMonitor1Value</t>
  </si>
  <si>
    <t>System Variable Monitor 1 Value</t>
  </si>
  <si>
    <t>2019.04.24. Delta added "Volatile parameter"</t>
  </si>
  <si>
    <t>P0.010</t>
  </si>
  <si>
    <t>SystemVariableMonitor2Value</t>
  </si>
  <si>
    <t>System Variable Monitor 2 Value</t>
  </si>
  <si>
    <t>0x0014</t>
  </si>
  <si>
    <t>P0.011</t>
  </si>
  <si>
    <t>SystemVariableMonitor3Value</t>
  </si>
  <si>
    <t>System Variable Monitor 3 Value</t>
  </si>
  <si>
    <t>0x0016</t>
  </si>
  <si>
    <t>P0.012</t>
  </si>
  <si>
    <t>SystemVariableMonitor4Value</t>
  </si>
  <si>
    <t>System Variable Monitor 4 Value</t>
  </si>
  <si>
    <t>P0.013</t>
  </si>
  <si>
    <t>SystemVariableMonitor5Value</t>
  </si>
  <si>
    <t>System Variable Monitor 5 Value</t>
  </si>
  <si>
    <t>0x001A</t>
  </si>
  <si>
    <t>P0.017</t>
  </si>
  <si>
    <t>SystemVariableMonitor1Selection</t>
  </si>
  <si>
    <t>System Variable Monitor 1 Selection</t>
  </si>
  <si>
    <t>1/31: change back to -300 ~ 127 per Delta's request</t>
  </si>
  <si>
    <t>P0.018</t>
  </si>
  <si>
    <t>SystemVariableMonitor2Selection</t>
  </si>
  <si>
    <t>System Variable Monitor 2 Selection</t>
  </si>
  <si>
    <t>0x0024</t>
  </si>
  <si>
    <t>P0.019</t>
  </si>
  <si>
    <t>SystemVariableMonitor3Selection</t>
  </si>
  <si>
    <t>System Variable Monitor 3 Selection</t>
  </si>
  <si>
    <t>0x0026</t>
  </si>
  <si>
    <t>P0.020</t>
  </si>
  <si>
    <t>SystemVariableMonitor4Selection</t>
  </si>
  <si>
    <t>System Variable Monitor 4 Selection</t>
  </si>
  <si>
    <t>0x0028</t>
  </si>
  <si>
    <t>P0.021</t>
  </si>
  <si>
    <t>SystemVariableMonitor5Selection</t>
  </si>
  <si>
    <t>System Variable Monitor 5 Selection</t>
  </si>
  <si>
    <t>0x002A</t>
  </si>
  <si>
    <t>PN.048</t>
  </si>
  <si>
    <t>FwRevision</t>
  </si>
  <si>
    <t>High 8bit-Major Revision, Low 8bit-Minor Revision
2019.04.25. Will change to decimal and do special handling for marjor and minor version.
2019.05.02.done.
2019.05.16. =Vh*1000+VL (decimal). Removed Linkpath and NEO-S parameter peoperty.</t>
  </si>
  <si>
    <t>PN.049</t>
  </si>
  <si>
    <t>FwSubminorRevision</t>
  </si>
  <si>
    <t>Firmware Subminor Revision</t>
  </si>
  <si>
    <t>2019.04.25. Will change to decimal.
2019.05.02.done.
2019.05.16. Removed Linkpath and NEO-S parameter peoperty.</t>
  </si>
  <si>
    <t>P1.032</t>
  </si>
  <si>
    <t>0x0030</t>
    <phoneticPr fontId="0" type="noConversion"/>
  </si>
  <si>
    <t>0x0010</t>
    <phoneticPr fontId="0" type="noConversion"/>
  </si>
  <si>
    <t>MotorStopMode</t>
  </si>
  <si>
    <t>Motor Stop Mode</t>
  </si>
  <si>
    <t>Bit 4-7:
0 - Use dynamic brake; 1 - Motor runs freely; 2 - Use dynamic brake first.</t>
  </si>
  <si>
    <t>Reserved676</t>
  </si>
  <si>
    <r>
      <t xml:space="preserve">2019.04.17. Delta added it for Full-closed function
</t>
    </r>
    <r>
      <rPr>
        <b/>
        <sz val="10"/>
        <rFont val="Arial"/>
        <family val="2"/>
      </rPr>
      <t>2019.11.27. Delta changed it to Reserved.</t>
    </r>
  </si>
  <si>
    <t>P1.085</t>
  </si>
  <si>
    <t>0x7FFF</t>
  </si>
  <si>
    <t>FullClosedLoopPositionErrorAutoResetThreshold</t>
  </si>
  <si>
    <t>Full Closed Loop Position Error Auto Reset Threshold</t>
  </si>
  <si>
    <t xml:space="preserve">AutoClearingSettingOfThePositionErrorBetweenTheLinearScaleFeedbackAndEncoder </t>
  </si>
  <si>
    <t>0x01AA</t>
  </si>
  <si>
    <t>PT</t>
  </si>
  <si>
    <t>2019.04.17. Delta added it for Full-closed function</t>
  </si>
  <si>
    <t>P1.060</t>
  </si>
  <si>
    <t>%</t>
    <phoneticPr fontId="0" type="noConversion"/>
  </si>
  <si>
    <t>HomingCollisionTorqueLimitOffset</t>
    <phoneticPr fontId="0" type="noConversion"/>
  </si>
  <si>
    <t>Homing Collision Torque Limit Offset</t>
  </si>
  <si>
    <t>CrashProtectionOffsetSetting</t>
  </si>
  <si>
    <t>0x0178</t>
    <phoneticPr fontId="0" type="noConversion"/>
  </si>
  <si>
    <t>All</t>
    <phoneticPr fontId="0" type="noConversion"/>
  </si>
  <si>
    <t>2019.05.09. Delta added it for crash function</t>
    <phoneticPr fontId="0" type="noConversion"/>
  </si>
  <si>
    <t>P1.081</t>
  </si>
  <si>
    <t>AnalogToVelocityScale2</t>
  </si>
  <si>
    <t>Analog To Velocity Scale 2</t>
  </si>
  <si>
    <t>Max. Speed of 2nd Analog Speed Command</t>
    <phoneticPr fontId="0" type="noConversion"/>
  </si>
  <si>
    <t>0x01A2</t>
    <phoneticPr fontId="0" type="noConversion"/>
  </si>
  <si>
    <t>S</t>
    <phoneticPr fontId="0" type="noConversion"/>
  </si>
  <si>
    <t>2019.05.09. Delta added it for analog speed switch</t>
    <phoneticPr fontId="0" type="noConversion"/>
  </si>
  <si>
    <t>P1.082</t>
  </si>
  <si>
    <t>ms</t>
    <phoneticPr fontId="0" type="noConversion"/>
  </si>
  <si>
    <t>FilterSwitchingTimeOfAnalogToVelocityScale1and2</t>
  </si>
  <si>
    <t>Filter Switching Time of Analog To Velocity Scale 1 and 2</t>
  </si>
  <si>
    <t>Filter Switching Time between P1-40 and P1-81</t>
    <phoneticPr fontId="0" type="noConversion"/>
  </si>
  <si>
    <t>0x01A4</t>
    <phoneticPr fontId="0" type="noConversion"/>
  </si>
  <si>
    <t>2019.05.09. Delta added it for analog speed switch</t>
  </si>
  <si>
    <t>P2.084</t>
  </si>
  <si>
    <t>0x111F</t>
    <phoneticPr fontId="0" type="noConversion"/>
  </si>
  <si>
    <t>SpecialFunctionConfiguration5</t>
    <phoneticPr fontId="0" type="noConversion"/>
  </si>
  <si>
    <t>Special Function Configuration 5</t>
  </si>
  <si>
    <t>0x02A8</t>
    <phoneticPr fontId="0" type="noConversion"/>
  </si>
  <si>
    <t>2019.05.09. Delta added it for linear motor (future)</t>
    <phoneticPr fontId="0" type="noConversion"/>
  </si>
  <si>
    <t>P2.088</t>
  </si>
  <si>
    <t>0x003F</t>
    <phoneticPr fontId="0" type="noConversion"/>
  </si>
  <si>
    <t>SpecialFunctionConfiguration6</t>
    <phoneticPr fontId="0" type="noConversion"/>
  </si>
  <si>
    <t>Special Function Configuration 6</t>
  </si>
  <si>
    <t>0x02B0</t>
    <phoneticPr fontId="0" type="noConversion"/>
  </si>
  <si>
    <t>P1.107</t>
  </si>
  <si>
    <t>AnalogInputDeadbandToTorque</t>
  </si>
  <si>
    <t>0x01D6</t>
  </si>
  <si>
    <t>P1.110</t>
  </si>
  <si>
    <t>AnalogInputDeadbandToVelocityAndPosition</t>
  </si>
  <si>
    <t>0x01DC</t>
  </si>
  <si>
    <t>PT/S/Sz//IO</t>
  </si>
  <si>
    <t>P2.080</t>
    <phoneticPr fontId="0" type="noConversion"/>
  </si>
  <si>
    <t>0x0011</t>
    <phoneticPr fontId="0" type="noConversion"/>
  </si>
  <si>
    <t>ZPhaseSourceOfHoming</t>
  </si>
  <si>
    <t>Z Phase Source of Homing</t>
  </si>
  <si>
    <t>0x02A0</t>
    <phoneticPr fontId="0" type="noConversion"/>
  </si>
  <si>
    <t>PR</t>
    <phoneticPr fontId="0" type="noConversion"/>
  </si>
  <si>
    <t>X: Full Closed Loop Z phase source of Homing:
0=Aux encoder; 1=MFB encoder.
Y: Non Full Closed Loop Z phase source of Homing:
0=MFB encoder; 1=Aux encoder.</t>
  </si>
  <si>
    <t>Design logic for byte0 and byte 1 is not unified</t>
  </si>
  <si>
    <t>P3.013</t>
    <phoneticPr fontId="0" type="noConversion"/>
  </si>
  <si>
    <t>0x0022</t>
    <phoneticPr fontId="0" type="noConversion"/>
  </si>
  <si>
    <t>FullClosedLoopMonitoringConfiguration</t>
  </si>
  <si>
    <t>Full Closed Loop Monitoring Configuration</t>
  </si>
  <si>
    <t>0x031A</t>
    <phoneticPr fontId="0" type="noConversion"/>
  </si>
  <si>
    <t>X: Source of feedback position for System Variable 00h monitoring:
0=MFB; 1=AUX; 2=MFB under Non Full Closed Loop mode and AUX under Full Closed Loop mode.
Y: Source of Z phase for System Variable 27h monitoring:
0=MFB; 1=AUX; 2=MFB under Non Full Closed Loop mode and AUX under Full Closed Loop mode.</t>
  </si>
  <si>
    <t>P1.022</t>
  </si>
  <si>
    <t>0x107F</t>
  </si>
  <si>
    <t>PRCmdFilterTime</t>
  </si>
  <si>
    <t>PR Command Filter Time</t>
  </si>
  <si>
    <t>0x012C</t>
  </si>
  <si>
    <t>PR</t>
  </si>
  <si>
    <t>2019.11.21 Recover this for E-CAM Macro#0x10</t>
  </si>
  <si>
    <t>PM.074</t>
    <phoneticPr fontId="0" type="noConversion"/>
  </si>
  <si>
    <t>InductionMotorStatorResistance</t>
    <phoneticPr fontId="0" type="noConversion"/>
  </si>
  <si>
    <t>0xFD94</t>
    <phoneticPr fontId="0" type="noConversion"/>
  </si>
  <si>
    <t>P2.085</t>
    <phoneticPr fontId="0" type="noConversion"/>
  </si>
  <si>
    <t>INT</t>
    <phoneticPr fontId="0" type="noConversion"/>
  </si>
  <si>
    <t>0x0001</t>
    <phoneticPr fontId="0" type="noConversion"/>
  </si>
  <si>
    <t>PositionSpeedSwitchFunction</t>
    <phoneticPr fontId="0" type="noConversion"/>
  </si>
  <si>
    <t>Position Speed Switch Function</t>
    <phoneticPr fontId="0" type="noConversion"/>
  </si>
  <si>
    <t>0x02AA</t>
    <phoneticPr fontId="0" type="noConversion"/>
  </si>
  <si>
    <t>PT/PR</t>
    <phoneticPr fontId="0" type="noConversion"/>
  </si>
  <si>
    <t>P2.086</t>
    <phoneticPr fontId="0" type="noConversion"/>
  </si>
  <si>
    <t>RPM</t>
    <phoneticPr fontId="0" type="noConversion"/>
  </si>
  <si>
    <t>PositionSpeedSwitchLowLevel</t>
    <phoneticPr fontId="0" type="noConversion"/>
  </si>
  <si>
    <t>Position Speed Switch Level Low</t>
  </si>
  <si>
    <t>0x02AC</t>
    <phoneticPr fontId="0" type="noConversion"/>
  </si>
  <si>
    <t>P2.087</t>
    <phoneticPr fontId="0" type="noConversion"/>
  </si>
  <si>
    <t>PositionSpeedSwitchHighLevel</t>
    <phoneticPr fontId="0" type="noConversion"/>
  </si>
  <si>
    <t>Position Speed Switch Level High</t>
  </si>
  <si>
    <t>0x02AE</t>
    <phoneticPr fontId="0" type="noConversion"/>
  </si>
  <si>
    <t>PM.047</t>
    <phoneticPr fontId="0" type="noConversion"/>
  </si>
  <si>
    <t>mm/s</t>
    <phoneticPr fontId="0" type="noConversion"/>
  </si>
  <si>
    <t>LinearMotorRatedVelocity</t>
    <phoneticPr fontId="0" type="noConversion"/>
  </si>
  <si>
    <t>0xFD5E</t>
    <phoneticPr fontId="0" type="noConversion"/>
  </si>
  <si>
    <t>PM.048</t>
    <phoneticPr fontId="0" type="noConversion"/>
  </si>
  <si>
    <t>LinearMotorMaxVelocity</t>
    <phoneticPr fontId="0" type="noConversion"/>
  </si>
  <si>
    <t>0xFD60</t>
    <phoneticPr fontId="0" type="noConversion"/>
  </si>
  <si>
    <t>PM.053</t>
    <phoneticPr fontId="0" type="noConversion"/>
  </si>
  <si>
    <t>Vrms/(m/s)</t>
    <phoneticPr fontId="0" type="noConversion"/>
  </si>
  <si>
    <t>LinearMotorVoltageConstant</t>
    <phoneticPr fontId="0" type="noConversion"/>
  </si>
  <si>
    <t>0xFD6A</t>
    <phoneticPr fontId="0" type="noConversion"/>
  </si>
  <si>
    <t>PN.050</t>
    <phoneticPr fontId="0" type="noConversion"/>
  </si>
  <si>
    <t>EncoderSerialNumber</t>
    <phoneticPr fontId="0" type="noConversion"/>
  </si>
  <si>
    <t>Encoder Serial Number [0]-[8]</t>
    <phoneticPr fontId="0" type="noConversion"/>
  </si>
  <si>
    <t>PN.053</t>
    <phoneticPr fontId="0" type="noConversion"/>
  </si>
  <si>
    <t>Hz</t>
    <phoneticPr fontId="0" type="noConversion"/>
  </si>
  <si>
    <t>MotorOverloadDerateHz</t>
    <phoneticPr fontId="0" type="noConversion"/>
  </si>
  <si>
    <t>Hidden Parameters</t>
  </si>
  <si>
    <t>H1-000</t>
  </si>
  <si>
    <t>0xFF00</t>
  </si>
  <si>
    <t>H1-001</t>
  </si>
  <si>
    <t>0x200D</t>
  </si>
  <si>
    <t>0xFF02</t>
  </si>
  <si>
    <t>1:50W  2:100W  3:400W, 4:750W</t>
  </si>
  <si>
    <t>H1-015</t>
  </si>
  <si>
    <t>0xFF1E</t>
  </si>
  <si>
    <t>H1-017</t>
  </si>
  <si>
    <t>0xFF22</t>
  </si>
  <si>
    <t>H1-020</t>
  </si>
  <si>
    <t>0xFF28</t>
  </si>
  <si>
    <t>H1-023</t>
  </si>
  <si>
    <t>0xFF2E</t>
  </si>
  <si>
    <t>H1-024</t>
  </si>
  <si>
    <t>0xFF30</t>
  </si>
  <si>
    <t>H1-030</t>
  </si>
  <si>
    <t>0xFF3C</t>
  </si>
  <si>
    <t>H1-032</t>
  </si>
  <si>
    <t>0xFF40</t>
  </si>
  <si>
    <t>H1-059</t>
  </si>
  <si>
    <t>0xFF76</t>
  </si>
  <si>
    <t>H1-060</t>
  </si>
  <si>
    <t>0xFF78</t>
  </si>
  <si>
    <t>H1-061</t>
  </si>
  <si>
    <t>0xFF7A</t>
  </si>
  <si>
    <t>H1-062</t>
  </si>
  <si>
    <t>0xFF7C</t>
  </si>
  <si>
    <t>H1-081</t>
  </si>
  <si>
    <t>0xFFA2</t>
  </si>
  <si>
    <t>H1-082</t>
  </si>
  <si>
    <t>0xFFA4</t>
  </si>
  <si>
    <t>H1-083</t>
  </si>
  <si>
    <t>0xFFA6</t>
  </si>
  <si>
    <t>H1-084</t>
  </si>
  <si>
    <t>0xFFA8</t>
  </si>
  <si>
    <t>H1-085</t>
  </si>
  <si>
    <t>0xFFAA</t>
  </si>
  <si>
    <t>H2-010</t>
  </si>
  <si>
    <t>0xFE14</t>
  </si>
  <si>
    <t>H2-012</t>
  </si>
  <si>
    <t>0xFE18</t>
  </si>
  <si>
    <t>H2-013</t>
  </si>
  <si>
    <t>0xFE1A</t>
  </si>
  <si>
    <t>H2-015</t>
  </si>
  <si>
    <t>0xFE1E</t>
  </si>
  <si>
    <t>H2-016</t>
  </si>
  <si>
    <t>0xFE20</t>
  </si>
  <si>
    <t>H2-017</t>
  </si>
  <si>
    <t>0xFE22</t>
  </si>
  <si>
    <t>H2-071</t>
  </si>
  <si>
    <t>0xFE8E</t>
  </si>
  <si>
    <t>H2-072</t>
  </si>
  <si>
    <t>0xFE90</t>
  </si>
  <si>
    <t>H2-073</t>
  </si>
  <si>
    <t>0xFE92</t>
  </si>
  <si>
    <t>H2-074</t>
  </si>
  <si>
    <t>0xFE94</t>
  </si>
  <si>
    <t>H2-075</t>
  </si>
  <si>
    <t>0xFE96</t>
  </si>
  <si>
    <t>H2-076</t>
  </si>
  <si>
    <t>0xFE98</t>
  </si>
  <si>
    <t>H2-077</t>
  </si>
  <si>
    <t>0xFE9A</t>
  </si>
  <si>
    <t>P1-032</t>
  </si>
  <si>
    <t>0x0020</t>
  </si>
  <si>
    <t>P1-031</t>
  </si>
  <si>
    <t>BarCodeSwitch</t>
  </si>
  <si>
    <t>Bar Code Switch</t>
  </si>
  <si>
    <t>P3-005</t>
  </si>
  <si>
    <t>P3-000</t>
  </si>
  <si>
    <t>0x007F</t>
  </si>
  <si>
    <t>P3-001</t>
  </si>
  <si>
    <t>0x0405</t>
  </si>
  <si>
    <t>P3-002</t>
  </si>
  <si>
    <t>0x0008</t>
  </si>
  <si>
    <t>Settings:
D</t>
  </si>
  <si>
    <t xml:space="preserve">
C</t>
  </si>
  <si>
    <t xml:space="preserve">
B</t>
  </si>
  <si>
    <t xml:space="preserve">
A</t>
  </si>
  <si>
    <t xml:space="preserve">
U</t>
  </si>
  <si>
    <t xml:space="preserve">
Z</t>
  </si>
  <si>
    <t xml:space="preserve">
Y</t>
  </si>
  <si>
    <t xml:space="preserve">
X</t>
  </si>
  <si>
    <t>—</t>
  </si>
  <si>
    <t xml:space="preserve">Homing Method
Defines the homing method.
</t>
  </si>
  <si>
    <t xml:space="preserve">0=Homing in forward direction and regard PL as homing origin, Return to Z pulse.
1=Homing in forward direction and regard PL as homing origin, Go forward to Z pulse.
2=Homing in forward direction and regard PL as homing origin, Do not look for Z pulse.
3=Homing in reverse direction and regard NL as homing origin, Return to Z pulse.
4=Homing in reverse direction and regard NL as homing origin, Go forward to Z pulse.
5=Homing in reverse direction and regard NL as homing origin, Do not look for Z pulse.
</t>
  </si>
  <si>
    <t>6=Homing in forward direction, ORG:OFF→ON as homing origin, Return to Z pulse, Shows error when encounter limit.
7=Homing in forward direction, ORG:OFF→ON as homing origin, Return to Z pulse, Reverse direction when encounter limit.
8=Homing in forward direction, ORG:OFF→ON as homing origin, Go forward to Z pulse, Shows error when encounter limit.
9=Homing in forward direction, ORG:OFF→ON as homing origin, Go forward to Z pulse, Reverse direction when encounter limit.
10=Homing in forward direction, ORG:OFF→ON as homing origin, Do not look for Z pulse, Shows error when encounter limit.</t>
  </si>
  <si>
    <t>11=Homing in forward direction, ORG:OFF→ON as homing origin, Do not look for Z pulse, Reverse direction when encounter limit.
12=Homing in reverse direction, ORG:OFF→ON as homing origin, Return to Z pulse, Shows error when encounter limit.
13=Homing in reverse direction, ORG:OFF→ON as homing origin, Return to Z pulse, Reverse direction when encounter limit.
14=Homing in reverse direction, ORG:OFF→ON as homing origin, Go forward to Z pulse, Shows error when encounter limit.
15=Homing in reverse direction, ORG:OFF→ON as homing origin, Go forward to Z pulse, Reverse direction when encounter limit.</t>
  </si>
  <si>
    <t>16=Homing in reverse direction, ORG:OFF→ON as homing origin, Do not look for Z pulse, Shows error when encounter limit.
17=Homing in reverse direction, ORG:OFF→ON as homing origin, Do not look for Z pulse, Reverse direction when encounter limit.
18=Look for Z pulse in forward direction and regard it as homing origin, Shows error when encounter limit.
19=Look for Z pulse in forward direction and regard it as homing origin, Reverse direction when encounter limit.
20=Look for Z pulse in reverse direction and regard it as homing origin, Shows error when encounter limit.</t>
  </si>
  <si>
    <t>21=Look for Z pulse in reverse direction and regard it as homing origin, Reverse direction when encounter limit.
22=Homing in forward direction, ORG:ON→OFF as homing origin, Return to Z pulse, Shows error when encounter limit.
23=Homing in forward direction, ORG:ON→OFF as homing origin, Return to Z pulse, Reverse direction when encounter limit.
24=Homing in forward direction, ORG:ON→OFF as homing origin, Go forward to Z pulse, Shows error when encounter limit.
25=Homing in forward direction, ORG:ON→OFF as homing origin, Go forward to Z pulse, Reverse direction when encounter limit.</t>
  </si>
  <si>
    <t>26=Homing in forward direction, ORG:ON→OFF as homing origin, Do not look for Z pulse, Shows error when encounter limit.
27=Homing in forward direction, ORG:ON→OFF as homing origin, Do not look for Z pulse, Reverse direction when encounter limit.
28=Homing in reverse direction, ORG:ON→OFF as homing origin, Return to Z pulse, Shows error when encounter limit.
29=Homing in reverse direction, ORG:ON→OFF as homing origin, Return to Z pulse, Reverse direction when encounter limit.
30=Homing in reverse direction, ORG:ON→OFF as homing origin, Go forward to Z pulse, Shows error when encounter limit.</t>
  </si>
  <si>
    <t>31=Homing in reverse direction, ORG:ON→OFF as homing origin, Go forward to Z pulse, Reverse direction when encounter limit.
32=Homing in reverse direction, ORG:ON→OFF as homing origin, Do not look for Z pulse, Shows error when encounter limit.
33=Homing in reverse direction, ORG:ON→OFF as homing origin, Do not look for Z pulse, Reverse direction when encounter limit.
34=Define current position as the origin.
35=Look for the collision point in forward direction and regard it as the origin, Return to Z pulse.</t>
  </si>
  <si>
    <t xml:space="preserve">36=Look for the collision point in forward direction and regard it as the origin, Do not look for Z pulse.
37=Look for the collision point in reverse direction and regard it as the origin, Return to Z pulse.
38=Look for the collision point in reverse direction and regard it as the origin, Do not look for Z pulse.
</t>
  </si>
  <si>
    <t>ExtPulseInputType</t>
  </si>
  <si>
    <t>External Pulse Input Type
Defines the Command Source (X), Logic Type (Z), and Filter Width (UY) of the external pulse.
See PT Mode (Position Command with Terminal Block Input) in user manual.</t>
  </si>
  <si>
    <t>U=0 or 1, See Y.</t>
  </si>
  <si>
    <t>Z:
0=Positive Logic (1=high; 0=low)
1=Negative Logic (0=high; 1=low)</t>
  </si>
  <si>
    <t xml:space="preserve">Y when U = 0
0=no filter function
1=2µs (250kHz)
2=3µs (166kHz)
3=4µs (125kHz)
4=5µs (100kHz)
5=6µs (83kHz)
6=7µs (71kHz)
</t>
  </si>
  <si>
    <t>0=AB phase pulse (x)
1=Clockwise and counterclockwise pulse
2=Pulse+symbol</t>
  </si>
  <si>
    <t>7=8µs (62kHz)
8=9µs  (55kHz)
9=10µs (50kHz)
A=11µs (45kHz)
B=12µs (41kHz)
C=13µs (38kHz)
D=14µs (35kHz)
E=15µs (33kHz)</t>
  </si>
  <si>
    <t>Y when U=1
0=none 
1=0.2µs (2500kHz)
2=0.3µs (1666kHz)
3=0.4µs (1250kHz)
4=0.5µs (1000kHz)
5=0.6µs (833kHz)
6=0.7µs (714kHz)</t>
  </si>
  <si>
    <t>7=0.8µs (625kHz)
8=0.9µs  (555kHz)
9=1µs (500kHz)
A=1.1µs (454kHz)
B=1.2µs (416kHz)
C=1.3µs (384kHz)
D=1.4µs (357kHz)
E=1.5µs (333kHz)</t>
  </si>
  <si>
    <t>Special Function Configuration 1
Enables special functions. 
See ZCLAMP Function and Pulse Command Input Inhibitor (INHP) in the user manual.</t>
  </si>
  <si>
    <r>
      <rPr>
        <u/>
        <sz val="8"/>
        <color theme="1"/>
        <rFont val="Calibri"/>
        <family val="2"/>
        <scheme val="minor"/>
      </rPr>
      <t>Bit0…Bit2, Bit4, Bit5, Bit7, Bit 14:Reserved</t>
    </r>
    <r>
      <rPr>
        <sz val="8"/>
        <color theme="1"/>
        <rFont val="Calibri"/>
        <family val="2"/>
        <scheme val="minor"/>
      </rPr>
      <t xml:space="preserve">
</t>
    </r>
    <r>
      <rPr>
        <u/>
        <sz val="8"/>
        <color theme="1"/>
        <rFont val="Calibri"/>
        <family val="2"/>
        <scheme val="minor"/>
      </rPr>
      <t>Bit3: Determine mechanism of regenerative energy consumption</t>
    </r>
    <r>
      <rPr>
        <sz val="8"/>
        <color theme="1"/>
        <rFont val="Calibri"/>
        <family val="2"/>
        <scheme val="minor"/>
      </rPr>
      <t xml:space="preserve">
0=internal servo algorithm
1=DC Bus voltage
</t>
    </r>
    <r>
      <rPr>
        <u/>
        <sz val="8"/>
        <color theme="1"/>
        <rFont val="Calibri"/>
        <family val="2"/>
        <scheme val="minor"/>
      </rPr>
      <t>Bit6: In PT mode, pulse error protection function (pulse frequency too high)</t>
    </r>
    <r>
      <rPr>
        <sz val="8"/>
        <color theme="1"/>
        <rFont val="Calibri"/>
        <family val="2"/>
        <scheme val="minor"/>
      </rPr>
      <t xml:space="preserve">
0=Enable
1=Disable
</t>
    </r>
    <r>
      <rPr>
        <u/>
        <sz val="8"/>
        <color theme="1"/>
        <rFont val="Calibri"/>
        <family val="2"/>
        <scheme val="minor"/>
      </rPr>
      <t>Bit8: U, V, W wiring error detection function</t>
    </r>
    <r>
      <rPr>
        <sz val="8"/>
        <color theme="1"/>
        <rFont val="Calibri"/>
        <family val="2"/>
        <scheme val="minor"/>
      </rPr>
      <t xml:space="preserve">
0=Enable
1=Disable
</t>
    </r>
    <r>
      <rPr>
        <u/>
        <sz val="8"/>
        <color theme="1"/>
        <rFont val="Calibri"/>
        <family val="2"/>
        <scheme val="minor"/>
      </rPr>
      <t>Bit9: U, V, W wiring cut-off detection function</t>
    </r>
    <r>
      <rPr>
        <sz val="8"/>
        <color theme="1"/>
        <rFont val="Calibri"/>
        <family val="2"/>
        <scheme val="minor"/>
      </rPr>
      <t xml:space="preserve">
0=Enable
1=Disable
</t>
    </r>
    <r>
      <rPr>
        <u/>
        <sz val="10"/>
        <color rgb="FFC00000"/>
        <rFont val="Calibri"/>
        <family val="2"/>
        <scheme val="minor"/>
      </rPr>
      <t/>
    </r>
  </si>
  <si>
    <t>Bit10: ZCLAMP function selection. 
When the following conditions are met, the ZCLAMP functions enabled: 1. Speed mode; 2. DI.ZCLAMP is on; 3. Speed Command is slower than the value of ID145 (P1.038).
When command source is the analog speed command and the command (before analog command filter) is slower than the value of ID145 (P1.038):
0=Motor is clamped at the position it was at when ZCLAMP conditions are met.
1=Analog speed command is set to 0 rpm, the motor speed decelerates to 0 rpm follow by the output of analog command filter.
When the command source is the register speed command and the command (after S-curve filter) is slower than the value of ID145 (P1.038):
0=Motor is clamped at the position it was at when ZCLAMP conditions are met.
1=Register speed command is set to 0 rpm, the motor speed decelerates to 0 rpm follow by the output of  S-curve filter.
Bit11: NL/PL pulse inhibit function
0=Disable
1=Enable
Bit12: RST leak phase detection (E022) function
0=Enable
1=Disable
Bit13: Abnormal signal output detection (E 018) function
0=Enable
1=Disable
Bit15:Friction compensation mode selection
0=If speed &lt; value of ID145 (P1.038) ZeroSpeedWindow, then compensation function remains enabled (using ID165 (P1.062) and ID166 (P1.063) values)
1=If speed &lt; value of ID145 (P1.038) ZeroSpeedWindow, then compensation function is disabled (the compensation value becomes 0)</t>
  </si>
  <si>
    <t>Enable E-CAM Control
See E-Cam in the user manual.</t>
  </si>
  <si>
    <t>D: Display engage status (Read only)
0=Stop status
1=Engage status
2=Pre-engage Status</t>
  </si>
  <si>
    <t>C: Reserved</t>
  </si>
  <si>
    <t>BA: Execute the specified PR command when disengage
0=No action
1..99=PR commands number.</t>
  </si>
  <si>
    <t>U: Disengagement timing
Bit[2:0]: Disengage setting
0=Do not disengage
1=Disengage and stop the slave when DI.CAM is off
2=Disengage and stop the slave when Master axis reaches the setting value of ID377 (P5.089)
3=Disengage and stop the slave when DI.CAM is off or when Master axis reaches the setting value of ID377 (P5.089)</t>
  </si>
  <si>
    <t>Z: Engagement timing
0=Engage immediately
1=Trigger by DI.CAM</t>
  </si>
  <si>
    <t>Y: Command source
1=Auxiliary encoder (Aux)
2=Pulse command
4=Servo drive timeline (1ms)</t>
  </si>
  <si>
    <t>X: E-Cam command (set 1 to enable each bit function)
Bit0=Enable E-Cam
Bit1=Not Disengage when servo-off
Bit2=ID311 (P5.019) is effective immediately when set to 1, ID311 (P5.019) is effective after next engagement when set to 0</t>
  </si>
  <si>
    <t xml:space="preserve">4=Disengage and entering cycle mode when master axis reaches the setting value of ID377 (P5.089), then engage after master reaches the setting value of ID380 (P5.092).
5=Disengage and entering cycle mode when master axis reaches the setting value of ID377 (P5.089), then engage after master reaches the setting value of ID380 (P5.092). But will Disengage and stop the slave when DI.CAM is off
</t>
  </si>
  <si>
    <t>6=Disengage when master axis reaches the setting value of ID377 (P5.089), and the slave decelerate to stop.
7=Disengage when DI.CAM is off or when master axis reaches the setting value of ID377 (P5.089), and the slave decelerate to stop.</t>
  </si>
  <si>
    <t>BIT3   : Disable E-CAM after disengage.
0=E-CAM is still enable after Disengage
1=E-CAM is disable after Disengage</t>
  </si>
  <si>
    <t>399…495
and 497…595</t>
  </si>
  <si>
    <t>P6.002…
P6.098
and 
P7.000…
P7.098</t>
  </si>
  <si>
    <r>
      <t>PRCmd</t>
    </r>
    <r>
      <rPr>
        <sz val="8"/>
        <rFont val="Calibri"/>
        <family val="2"/>
        <scheme val="minor"/>
      </rPr>
      <t>#S</t>
    </r>
    <r>
      <rPr>
        <sz val="8"/>
        <color theme="1"/>
        <rFont val="Calibri"/>
        <family val="2"/>
        <scheme val="minor"/>
      </rPr>
      <t>etting</t>
    </r>
  </si>
  <si>
    <t>PR Command# Setting
Setting descriptions for even-numbered parameters ID399 (P6.002)…ID495 (P6.098) and ID497 (P7.000)…ID595 (P7.098). 
See PR Command Setting and Data Definitions in the user manual for details on these settings and see the Motion Control in PR Mode chapter.</t>
  </si>
  <si>
    <r>
      <rPr>
        <u/>
        <sz val="8"/>
        <color theme="1"/>
        <rFont val="Calibri"/>
        <family val="2"/>
        <scheme val="minor"/>
      </rPr>
      <t>AUTO, once current command finishes, load next command automatically</t>
    </r>
    <r>
      <rPr>
        <sz val="8"/>
        <color theme="1"/>
        <rFont val="Calibri"/>
        <family val="2"/>
        <scheme val="minor"/>
      </rPr>
      <t xml:space="preserve">
Bit0, Bit1=Reserved
Bit2=Disable (0) or Enable (1) AUTO function</t>
    </r>
  </si>
  <si>
    <r>
      <rPr>
        <u/>
        <sz val="8"/>
        <color theme="1"/>
        <rFont val="Calibri"/>
        <family val="2"/>
        <scheme val="minor"/>
      </rPr>
      <t>DLY, Delay time index in ms (corresponding parameters)</t>
    </r>
    <r>
      <rPr>
        <sz val="8"/>
        <color theme="1"/>
        <rFont val="Calibri"/>
        <family val="2"/>
        <scheme val="minor"/>
      </rPr>
      <t xml:space="preserve">
0=0 [ID332 (P5.040)]
1=100 [ID332 (P5.040)]
2=200 [ID332 (P5.040)]
 3=400 [ID332 (P5.040)]
4=500 [ID332 (P5.040)]
5=800 [ID332 (P5.040)]
6=1000 [ID332 (P5.040)]
7=1500 [ID332 (P5.040)]
8=2000 [ID332 (P5.040)]
9=2500 [ID332 (P5.040)]
10=3000 [ID332 (P5.040)]
11=3500 [ID332 (P5.040)]
12=4000 [ID332 (P5.040)]
13=4500 [ID332 (P5.040)]
14=5000 [ID332 (P5.040)]
15=5500 [ID332 (P5.040)]</t>
    </r>
  </si>
  <si>
    <r>
      <rPr>
        <u/>
        <sz val="8"/>
        <color theme="1"/>
        <rFont val="Calibri"/>
        <family val="2"/>
        <scheme val="minor"/>
      </rPr>
      <t>SPD, target speed index in ms (corresponding parameters)</t>
    </r>
    <r>
      <rPr>
        <sz val="8"/>
        <color theme="1"/>
        <rFont val="Calibri"/>
        <family val="2"/>
        <scheme val="minor"/>
      </rPr>
      <t xml:space="preserve">
0=20 [ID352 (P5.060)]
1=50 [ID352 (P5.060)]
2=100 [ID352 (P5.060)]
3=200 [ID352 (P5.060)]
4=300 [ID352 (P5.060)]
5=500 [ID352 (P5.060)]
6=600 [ID352 (P5.060)]
7=800 [ID352 (P5.060)]
8=1000 [ID352 (P5.060)]
9=1300 [ID352 (P5.060)]
10=1500 [ID352 (P5.060)]
11=1800 [ID352 (P5.060)]
12=2000 [ID352 (P5.060)]
13=2300 [ID352 (P5.060)]
14=2500 [ID352 (P5.060)]
15=3000 [ID352 (P5.060)]</t>
    </r>
  </si>
  <si>
    <r>
      <rPr>
        <u/>
        <sz val="8"/>
        <color theme="1"/>
        <rFont val="Calibri"/>
        <family val="2"/>
        <scheme val="minor"/>
      </rPr>
      <t>Deceleration time in ms (corresponding parameters</t>
    </r>
    <r>
      <rPr>
        <sz val="8"/>
        <color theme="1"/>
        <rFont val="Calibri"/>
        <family val="2"/>
        <scheme val="minor"/>
      </rPr>
      <t>)
0=200 [ID312(P5.020)]
1=300 [ID313 (P5.021)]
2=500 [ID314 (P5.022)]
3=600 [ID315 (P5.023)]
4=800 [ID316 (P5.024)]
5=900 [ID317 (P5.025)]
6=100 [ID318 (P5.026)]
7=1200 [ID319 (P5.027)]
8=1500 [ID320 (P5.028)]
9=2000 [ID321 (P5.029)]
10=2500 [ID322 (P5.030)]
11=3000 [ID323 (P5.031)]
12=5000 [ID324 (P5.032)]
13=8000 [ID325 (P5.033)]
14=50 [ID326 (P5.034)]
15=30 [ID327 (P5.035)]</t>
    </r>
  </si>
  <si>
    <r>
      <rPr>
        <u/>
        <sz val="8"/>
        <color theme="1"/>
        <rFont val="Calibri"/>
        <family val="2"/>
        <scheme val="minor"/>
      </rPr>
      <t>Acceleration time in ms (corresponding parameters)</t>
    </r>
    <r>
      <rPr>
        <sz val="8"/>
        <color theme="1"/>
        <rFont val="Calibri"/>
        <family val="2"/>
        <scheme val="minor"/>
      </rPr>
      <t xml:space="preserve">
0=200 [ID312 (P5.020)]
1=300 [ID313 (P5.021)]
2=500 [ID314 (P5.022)]
3=600 [ID315 (P5.023)]
4=800 [ID316 (P5.024)]
5=900 [ID317 (P5.025)]
6=100 [ID318 (P5.026)]
7=1200 [ID319 (P5.027)]
8=1500 [ID320 (P5.028)]
9=2000 [ID321 (P5.029)]
10=2500 [ID322 (P5.030)]
11=3000 [ID323 (P5.031)]
12=5000 [ID324 (P5.032)]
13=8000 [ID325 (P5.033)]
14=50 [ID326 (P5.034)]
15=30 [ID327 (P5.035)]</t>
    </r>
  </si>
  <si>
    <r>
      <rPr>
        <u/>
        <sz val="8"/>
        <color theme="1"/>
        <rFont val="Calibri"/>
        <family val="2"/>
        <scheme val="minor"/>
      </rPr>
      <t>Option (not all values valid, depending on X setting)</t>
    </r>
    <r>
      <rPr>
        <sz val="8"/>
        <color theme="1"/>
        <rFont val="Calibri"/>
        <family val="2"/>
        <scheme val="minor"/>
      </rPr>
      <t xml:space="preserve">
Bit0= INS (when X=1, 2, 3, 7, 8, A) 
Bit1=AUTO (when X=1 or 8)
Bit1=OVLP (when X=2, 3, or A) 
Bit2=UNIT (when X=1)
Bit2=ROM (when X=8) 
Bit2, Bit3=CMD (when X=2 or 3) 
Bit2, Bit3=DIR (when X=A)</t>
    </r>
  </si>
  <si>
    <r>
      <rPr>
        <u/>
        <sz val="8"/>
        <color theme="1"/>
        <rFont val="Calibri"/>
        <family val="2"/>
        <scheme val="minor"/>
      </rPr>
      <t>X: Command Type</t>
    </r>
    <r>
      <rPr>
        <sz val="8"/>
        <color theme="1"/>
        <rFont val="Calibri"/>
        <family val="2"/>
        <scheme val="minor"/>
      </rPr>
      <t xml:space="preserve">
1=Constant speed control.
2=Point-to-point command.
3=Point-to-point command (proceed to the next command when complete)
7=Jump to the specified PR command.
8=Write to parameter or Data Array.
A=Index position control.
B=Statement/arithmetic operation</t>
    </r>
  </si>
  <si>
    <t>239</t>
  </si>
  <si>
    <t>Bit 0 – Bit 2, Bit 4, Bit 5, Bit 7, and Bit 14: reserved, please set to 0.</t>
  </si>
  <si>
    <t xml:space="preserve">Bit 12: Loss phase detection function
0: enable loss phase (E 022) detection.
1: disable loss phase (E 022) detection.
</t>
  </si>
  <si>
    <t xml:space="preserve">Bit 8: U, V, W wiring error detection function.
1: enable the U, V, W wiring error detection function.
</t>
  </si>
  <si>
    <t>Bit 6: in PT mode, set the pulse error (pulse frequency is too high) protection function.
0: enable the pulse error protection function.
1: disable the pulse error protection function</t>
  </si>
  <si>
    <t>Bit 3: set the method for regenerative energy consumption.
0: determined by the servo’s internal algorithm.
1: determined by the DC bus voltage</t>
  </si>
  <si>
    <t xml:space="preserve">Bit 13: Encoder output error detection function
0: enable encoder output error (A 018) detection function.
1: disable encoder output error (A 018) detection function.
</t>
  </si>
  <si>
    <t xml:space="preserve">Bit 9: U, V, W wiring cut-off detection function.
1: enable the U, V, W wiring cut-off detection function.
</t>
  </si>
  <si>
    <t>Bit 15: Friction compensation mode selection
0: if the speed is slower than the value of ID145 (P1.038), the compensation value remains unchanged.
1: if the speed is slower than the value of ID145 (P1.038), the compensation value becomes 0.</t>
  </si>
  <si>
    <t>Bit 10: ZCLAMP function selection. The ZCLAMP function is enabled when the following conditions are
met. Condition 1: Speed mode; Condition 2: DI.ZCLAMP is on; Condition 3: motor speed is slower
than the value of ID145 (P1.038).
0: command source is the analog voltage. The ZCLAMP function uses the analog Speed
command without acceleration / deceleration to determine if this function should be enabled.
The motor is clamped at the position where ZCLAMP conditions are met.</t>
  </si>
  <si>
    <t>Bit 11: enable pulse inhibit function.
0: disable NL / PL pulse inhibit function. In PT mode, the external Position pulse command is input
to the servo drive under any condition.
1: enable NL / PL pulse inhibit function. In PT mode, if NL exists, the external NL pulse is not input
to the servo drive and the PL Pulse command is accepted. In PT mode, if PL exists, the external PL
pulse is not input to the servo drive and the NL pulse command is accepted.
Note: in DMCNET mode, if both NL and PL exist, neither pulse command is input to the servo drive.</t>
  </si>
  <si>
    <t>Allen-Bradley, expanding human possibility, and Rockwell Automation are trademarks of Rockwell Automation, Inc.
EtherNet/IP is a trademark of ODVA, Inc.
Trademarks not belonging to Rockwell Automation are property of their respective companies.</t>
  </si>
  <si>
    <r>
      <rPr>
        <b/>
        <sz val="11"/>
        <rFont val="Arial"/>
        <family val="2"/>
      </rPr>
      <t>TIP:</t>
    </r>
    <r>
      <rPr>
        <sz val="11"/>
        <rFont val="Arial"/>
        <family val="2"/>
      </rPr>
      <t xml:space="preserve"> When you search for information in a spreadsheet, set the search options to search the workbook, rather than the current sheet (tab).</t>
    </r>
  </si>
  <si>
    <r>
      <rPr>
        <b/>
        <sz val="11"/>
        <rFont val="Arial"/>
        <family val="2"/>
      </rPr>
      <t>Important:</t>
    </r>
    <r>
      <rPr>
        <sz val="11"/>
        <rFont val="Arial"/>
        <family val="2"/>
      </rPr>
      <t xml:space="preserve"> Rockwell Automation is not responsible for any content or format changes made by other parties after downloading this spreadsheet file. The original file can be re-downloaded at any time. </t>
    </r>
  </si>
  <si>
    <t>2198-UM004</t>
  </si>
  <si>
    <t>For more information see: Kinetix 5100 EtherNet/IP Indexing Servo Drives User Manual</t>
  </si>
  <si>
    <t>This publication lists the parameters for Kinetix 5100 EtherNet/IP Indexing Servo Drives</t>
  </si>
  <si>
    <t>About This Publication</t>
  </si>
  <si>
    <t>Kinetix 5100 Servo Drive Parameters Reference Data</t>
  </si>
  <si>
    <t>This is the first revision as publication 2198-RD002A-EN-P.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</si>
</sst>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6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11"/>
      <color indexed="8"/>
      <name val="Calibri"/>
      <family val="2"/>
    </font>
    <font>
      <sz val="10"/>
      <name val="Calibri"/>
      <family val="2"/>
      <scheme val="minor"/>
    </font>
    <font>
      <u/>
      <sz val="11"/>
      <color theme="10"/>
      <name val="Calibri"/>
      <family val="2"/>
      <scheme val="minor"/>
    </font>
    <font>
      <sz val="8"/>
      <color theme="1"/>
      <name val="Calibri"/>
      <family val="2"/>
      <scheme val="minor"/>
    </font>
    <font>
      <b/>
      <sz val="8"/>
      <color theme="1"/>
      <name val="Calibri"/>
      <family val="2"/>
      <scheme val="minor"/>
    </font>
    <font>
      <u/>
      <sz val="8"/>
      <color theme="10"/>
      <name val="Calibri"/>
      <family val="2"/>
      <scheme val="minor"/>
    </font>
    <font>
      <sz val="8"/>
      <name val="Calibri"/>
      <family val="2"/>
      <scheme val="minor"/>
    </font>
    <font>
      <sz val="8"/>
      <color theme="1"/>
      <name val="Calibri"/>
      <family val="2"/>
    </font>
    <font>
      <b/>
      <sz val="8"/>
      <color theme="1"/>
      <name val="Calibri"/>
      <family val="2"/>
    </font>
    <font>
      <sz val="11"/>
      <color theme="1"/>
      <name val="Calibri"/>
      <family val="2"/>
    </font>
    <font>
      <u/>
      <sz val="8"/>
      <color theme="10"/>
      <name val="Calibri"/>
      <family val="2"/>
    </font>
    <font>
      <sz val="8"/>
      <color rgb="FFFF0000"/>
      <name val="Calibri"/>
      <family val="2"/>
      <scheme val="minor"/>
    </font>
    <font>
      <sz val="8"/>
      <color rgb="FF7030A0"/>
      <name val="Calibri"/>
      <family val="2"/>
      <scheme val="minor"/>
    </font>
    <font>
      <sz val="8"/>
      <color rgb="FF000000"/>
      <name val="Calibri"/>
      <family val="2"/>
      <scheme val="minor"/>
    </font>
    <font>
      <u/>
      <sz val="8"/>
      <color theme="1"/>
      <name val="Calibri"/>
      <family val="2"/>
      <scheme val="minor"/>
    </font>
    <font>
      <u/>
      <sz val="10"/>
      <color rgb="FFC00000"/>
      <name val="Calibri"/>
      <family val="2"/>
      <scheme val="minor"/>
    </font>
    <font>
      <strike/>
      <sz val="8"/>
      <color theme="1"/>
      <name val="Calibri"/>
      <family val="2"/>
      <scheme val="minor"/>
    </font>
    <font>
      <sz val="11"/>
      <color theme="1"/>
      <name val="DengXian"/>
      <charset val="134"/>
    </font>
    <font>
      <b/>
      <sz val="10"/>
      <color rgb="FF0070C0"/>
      <name val="Arial"/>
      <family val="2"/>
    </font>
    <font>
      <b/>
      <sz val="10"/>
      <color rgb="FF0070C0"/>
      <name val="細明體"/>
      <family val="3"/>
      <charset val="136"/>
    </font>
    <font>
      <b/>
      <sz val="10"/>
      <color rgb="FFFF0000"/>
      <name val="Arial"/>
      <family val="2"/>
    </font>
    <font>
      <b/>
      <sz val="10"/>
      <color rgb="FFFF0000"/>
      <name val="細明體"/>
      <family val="3"/>
      <charset val="136"/>
    </font>
    <font>
      <b/>
      <sz val="10"/>
      <color rgb="FFFF0000"/>
      <name val="Calibri"/>
      <family val="2"/>
    </font>
    <font>
      <sz val="10"/>
      <color rgb="FFFF0000"/>
      <name val="Arial"/>
      <family val="2"/>
    </font>
    <font>
      <b/>
      <sz val="10"/>
      <name val="Arial"/>
      <family val="2"/>
    </font>
    <font>
      <strike/>
      <sz val="10"/>
      <name val="Arial"/>
      <family val="2"/>
    </font>
    <font>
      <vertAlign val="superscript"/>
      <sz val="10"/>
      <name val="Arial"/>
      <family val="2"/>
    </font>
    <font>
      <sz val="10"/>
      <name val="細明體"/>
      <family val="3"/>
      <charset val="136"/>
    </font>
    <font>
      <sz val="8"/>
      <name val="Arial"/>
      <family val="2"/>
    </font>
    <font>
      <sz val="9"/>
      <name val="細明體"/>
      <family val="3"/>
      <charset val="136"/>
    </font>
    <font>
      <b/>
      <sz val="10"/>
      <color theme="1"/>
      <name val="Arial"/>
      <family val="2"/>
    </font>
    <font>
      <sz val="10"/>
      <color theme="1"/>
      <name val="Arial"/>
      <family val="2"/>
    </font>
    <font>
      <b/>
      <sz val="10"/>
      <color theme="1"/>
      <name val="Calibri"/>
      <family val="2"/>
    </font>
    <font>
      <strike/>
      <sz val="10"/>
      <color theme="1"/>
      <name val="Arial"/>
      <family val="2"/>
    </font>
    <font>
      <b/>
      <sz val="9"/>
      <color indexed="81"/>
      <name val="Tahoma"/>
      <family val="2"/>
    </font>
    <font>
      <sz val="9"/>
      <color indexed="81"/>
      <name val="Tahoma"/>
      <family val="2"/>
    </font>
    <font>
      <vertAlign val="superscript"/>
      <sz val="10"/>
      <color theme="1"/>
      <name val="Arial"/>
      <family val="2"/>
    </font>
    <font>
      <sz val="12"/>
      <name val="Arial"/>
      <family val="2"/>
    </font>
    <font>
      <sz val="14"/>
      <name val="Arial"/>
      <family val="2"/>
    </font>
    <font>
      <sz val="11"/>
      <name val="Arial"/>
      <family val="2"/>
    </font>
    <font>
      <b/>
      <sz val="11"/>
      <name val="Arial"/>
      <family val="2"/>
    </font>
    <font>
      <b/>
      <sz val="14"/>
      <name val="Arial"/>
      <family val="2"/>
    </font>
    <font>
      <u/>
      <sz val="14"/>
      <color theme="10"/>
      <name val="Calibri"/>
      <family val="2"/>
      <scheme val="minor"/>
    </font>
    <font>
      <b/>
      <sz val="12"/>
      <name val="Arial"/>
      <family val="2"/>
    </font>
    <font>
      <b/>
      <sz val="24"/>
      <name val="Arial"/>
      <family val="2"/>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rgb="FF92D050"/>
        <bgColor indexed="64"/>
      </patternFill>
    </fill>
    <fill>
      <patternFill patternType="solid">
        <fgColor theme="7" tint="0.59999389629810485"/>
        <bgColor indexed="64"/>
      </patternFill>
    </fill>
    <fill>
      <patternFill patternType="solid">
        <fgColor theme="9" tint="0.39997558519241921"/>
        <bgColor indexed="64"/>
      </patternFill>
    </fill>
  </fills>
  <borders count="5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s>
  <cellStyleXfs count="52">
    <xf numFmtId="164" fontId="0" fillId="0" borderId="0"/>
    <xf numFmtId="164" fontId="2" fillId="0" borderId="0" applyNumberFormat="0" applyFill="0" applyBorder="0" applyAlignment="0" applyProtection="0"/>
    <xf numFmtId="164" fontId="3" fillId="0" borderId="1" applyNumberFormat="0" applyFill="0" applyAlignment="0" applyProtection="0"/>
    <xf numFmtId="164" fontId="4" fillId="0" borderId="2" applyNumberFormat="0" applyFill="0" applyAlignment="0" applyProtection="0"/>
    <xf numFmtId="164" fontId="5" fillId="0" borderId="3" applyNumberFormat="0" applyFill="0" applyAlignment="0" applyProtection="0"/>
    <xf numFmtId="164" fontId="5" fillId="0" borderId="0" applyNumberFormat="0" applyFill="0" applyBorder="0" applyAlignment="0" applyProtection="0"/>
    <xf numFmtId="164" fontId="6" fillId="2" borderId="0" applyNumberFormat="0" applyBorder="0" applyAlignment="0" applyProtection="0"/>
    <xf numFmtId="164" fontId="7" fillId="3" borderId="0" applyNumberFormat="0" applyBorder="0" applyAlignment="0" applyProtection="0"/>
    <xf numFmtId="164" fontId="8" fillId="4" borderId="0" applyNumberFormat="0" applyBorder="0" applyAlignment="0" applyProtection="0"/>
    <xf numFmtId="164" fontId="9" fillId="5" borderId="4" applyNumberFormat="0" applyAlignment="0" applyProtection="0"/>
    <xf numFmtId="164" fontId="10" fillId="6" borderId="5" applyNumberFormat="0" applyAlignment="0" applyProtection="0"/>
    <xf numFmtId="164" fontId="11" fillId="6" borderId="4" applyNumberFormat="0" applyAlignment="0" applyProtection="0"/>
    <xf numFmtId="164" fontId="12" fillId="0" borderId="6" applyNumberFormat="0" applyFill="0" applyAlignment="0" applyProtection="0"/>
    <xf numFmtId="164" fontId="13" fillId="7" borderId="7" applyNumberFormat="0" applyAlignment="0" applyProtection="0"/>
    <xf numFmtId="164" fontId="14" fillId="0" borderId="0" applyNumberFormat="0" applyFill="0" applyBorder="0" applyAlignment="0" applyProtection="0"/>
    <xf numFmtId="164" fontId="1" fillId="8" borderId="8" applyNumberFormat="0" applyFont="0" applyAlignment="0" applyProtection="0"/>
    <xf numFmtId="164" fontId="15" fillId="0" borderId="0" applyNumberFormat="0" applyFill="0" applyBorder="0" applyAlignment="0" applyProtection="0"/>
    <xf numFmtId="164" fontId="16" fillId="0" borderId="9" applyNumberFormat="0" applyFill="0" applyAlignment="0" applyProtection="0"/>
    <xf numFmtId="164" fontId="17" fillId="9" borderId="0" applyNumberFormat="0" applyBorder="0" applyAlignment="0" applyProtection="0"/>
    <xf numFmtId="164" fontId="1" fillId="10" borderId="0" applyNumberFormat="0" applyBorder="0" applyAlignment="0" applyProtection="0"/>
    <xf numFmtId="164" fontId="1" fillId="11" borderId="0" applyNumberFormat="0" applyBorder="0" applyAlignment="0" applyProtection="0"/>
    <xf numFmtId="164" fontId="17" fillId="12" borderId="0" applyNumberFormat="0" applyBorder="0" applyAlignment="0" applyProtection="0"/>
    <xf numFmtId="164" fontId="17" fillId="13" borderId="0" applyNumberFormat="0" applyBorder="0" applyAlignment="0" applyProtection="0"/>
    <xf numFmtId="164" fontId="1" fillId="14" borderId="0" applyNumberFormat="0" applyBorder="0" applyAlignment="0" applyProtection="0"/>
    <xf numFmtId="164" fontId="1" fillId="15" borderId="0" applyNumberFormat="0" applyBorder="0" applyAlignment="0" applyProtection="0"/>
    <xf numFmtId="164" fontId="17" fillId="16" borderId="0" applyNumberFormat="0" applyBorder="0" applyAlignment="0" applyProtection="0"/>
    <xf numFmtId="164" fontId="17" fillId="17" borderId="0" applyNumberFormat="0" applyBorder="0" applyAlignment="0" applyProtection="0"/>
    <xf numFmtId="164" fontId="1" fillId="18" borderId="0" applyNumberFormat="0" applyBorder="0" applyAlignment="0" applyProtection="0"/>
    <xf numFmtId="164" fontId="1" fillId="19" borderId="0" applyNumberFormat="0" applyBorder="0" applyAlignment="0" applyProtection="0"/>
    <xf numFmtId="164" fontId="17" fillId="20" borderId="0" applyNumberFormat="0" applyBorder="0" applyAlignment="0" applyProtection="0"/>
    <xf numFmtId="164" fontId="17" fillId="21" borderId="0" applyNumberFormat="0" applyBorder="0" applyAlignment="0" applyProtection="0"/>
    <xf numFmtId="164" fontId="1" fillId="22" borderId="0" applyNumberFormat="0" applyBorder="0" applyAlignment="0" applyProtection="0"/>
    <xf numFmtId="164" fontId="1" fillId="23" borderId="0" applyNumberFormat="0" applyBorder="0" applyAlignment="0" applyProtection="0"/>
    <xf numFmtId="164" fontId="17" fillId="24" borderId="0" applyNumberFormat="0" applyBorder="0" applyAlignment="0" applyProtection="0"/>
    <xf numFmtId="164" fontId="17" fillId="25" borderId="0" applyNumberFormat="0" applyBorder="0" applyAlignment="0" applyProtection="0"/>
    <xf numFmtId="164" fontId="1" fillId="26" borderId="0" applyNumberFormat="0" applyBorder="0" applyAlignment="0" applyProtection="0"/>
    <xf numFmtId="164" fontId="1" fillId="27" borderId="0" applyNumberFormat="0" applyBorder="0" applyAlignment="0" applyProtection="0"/>
    <xf numFmtId="164" fontId="17" fillId="28" borderId="0" applyNumberFormat="0" applyBorder="0" applyAlignment="0" applyProtection="0"/>
    <xf numFmtId="164" fontId="17" fillId="29" borderId="0" applyNumberFormat="0" applyBorder="0" applyAlignment="0" applyProtection="0"/>
    <xf numFmtId="164" fontId="1" fillId="30" borderId="0" applyNumberFormat="0" applyBorder="0" applyAlignment="0" applyProtection="0"/>
    <xf numFmtId="164" fontId="1" fillId="31" borderId="0" applyNumberFormat="0" applyBorder="0" applyAlignment="0" applyProtection="0"/>
    <xf numFmtId="164" fontId="17" fillId="32" borderId="0" applyNumberFormat="0" applyBorder="0" applyAlignment="0" applyProtection="0"/>
    <xf numFmtId="164" fontId="18" fillId="0" borderId="0"/>
    <xf numFmtId="164" fontId="18" fillId="0" borderId="0"/>
    <xf numFmtId="164" fontId="19" fillId="0" borderId="0"/>
    <xf numFmtId="0" fontId="1" fillId="0" borderId="0"/>
    <xf numFmtId="0" fontId="21" fillId="0" borderId="0" applyNumberFormat="0" applyFill="0" applyBorder="0" applyAlignment="0" applyProtection="0"/>
    <xf numFmtId="164" fontId="21" fillId="0" borderId="0" applyNumberFormat="0" applyFill="0" applyBorder="0" applyAlignment="0" applyProtection="0"/>
    <xf numFmtId="0" fontId="18" fillId="0" borderId="0">
      <alignment horizontal="left" vertical="top"/>
    </xf>
    <xf numFmtId="0" fontId="18" fillId="0" borderId="0">
      <alignment horizontal="left" vertical="top" wrapText="1"/>
    </xf>
    <xf numFmtId="0" fontId="43" fillId="0" borderId="0">
      <alignment horizontal="left" vertical="top"/>
    </xf>
    <xf numFmtId="0" fontId="62" fillId="0" borderId="0">
      <alignment horizontal="left" vertical="top"/>
    </xf>
  </cellStyleXfs>
  <cellXfs count="296">
    <xf numFmtId="164" fontId="0" fillId="0" borderId="0" xfId="0"/>
    <xf numFmtId="0" fontId="0" fillId="0" borderId="0" xfId="45" applyFont="1" applyAlignment="1">
      <alignment horizontal="left" vertical="top"/>
    </xf>
    <xf numFmtId="0" fontId="0" fillId="0" borderId="0" xfId="45" applyFont="1" applyAlignment="1">
      <alignment horizontal="right" vertical="top"/>
    </xf>
    <xf numFmtId="0" fontId="0" fillId="0" borderId="0" xfId="45" applyFont="1" applyAlignment="1">
      <alignment horizontal="center" vertical="top"/>
    </xf>
    <xf numFmtId="0" fontId="23" fillId="34" borderId="10" xfId="45" applyFont="1" applyFill="1" applyBorder="1" applyAlignment="1">
      <alignment horizontal="center" vertical="center" wrapText="1"/>
    </xf>
    <xf numFmtId="0" fontId="0" fillId="0" borderId="0" xfId="45" applyFont="1" applyAlignment="1">
      <alignment horizontal="center" vertical="center" wrapText="1"/>
    </xf>
    <xf numFmtId="0" fontId="22" fillId="0" borderId="10" xfId="45" applyFont="1" applyBorder="1" applyAlignment="1">
      <alignment horizontal="left" vertical="top"/>
    </xf>
    <xf numFmtId="0" fontId="22" fillId="0" borderId="10" xfId="45" applyFont="1" applyBorder="1" applyAlignment="1">
      <alignment vertical="top" wrapText="1"/>
    </xf>
    <xf numFmtId="0" fontId="25" fillId="0" borderId="10" xfId="45" applyFont="1" applyBorder="1" applyAlignment="1">
      <alignment vertical="top" wrapText="1"/>
    </xf>
    <xf numFmtId="0" fontId="22" fillId="0" borderId="10" xfId="45" applyFont="1" applyBorder="1" applyAlignment="1">
      <alignment horizontal="left" vertical="top" wrapText="1"/>
    </xf>
    <xf numFmtId="0" fontId="24" fillId="0" borderId="10" xfId="46" applyFont="1" applyBorder="1" applyAlignment="1">
      <alignment horizontal="left" vertical="top" wrapText="1"/>
    </xf>
    <xf numFmtId="0" fontId="25" fillId="0" borderId="10" xfId="45" applyFont="1" applyBorder="1" applyAlignment="1">
      <alignment horizontal="left" vertical="top" wrapText="1"/>
    </xf>
    <xf numFmtId="0" fontId="22" fillId="0" borderId="0" xfId="45" applyFont="1" applyAlignment="1">
      <alignment horizontal="left" vertical="top"/>
    </xf>
    <xf numFmtId="0" fontId="24" fillId="0" borderId="10" xfId="46" applyFont="1" applyFill="1" applyBorder="1" applyAlignment="1">
      <alignment horizontal="left" vertical="top" wrapText="1"/>
    </xf>
    <xf numFmtId="0" fontId="23" fillId="34" borderId="10" xfId="45" applyFont="1" applyFill="1" applyBorder="1" applyAlignment="1">
      <alignment horizontal="center" vertical="top" wrapText="1"/>
    </xf>
    <xf numFmtId="0" fontId="0" fillId="0" borderId="0" xfId="45" applyFont="1" applyAlignment="1">
      <alignment horizontal="center" vertical="top" wrapText="1"/>
    </xf>
    <xf numFmtId="0" fontId="22" fillId="0" borderId="0" xfId="45" applyFont="1" applyAlignment="1">
      <alignment horizontal="left" vertical="top" wrapText="1"/>
    </xf>
    <xf numFmtId="0" fontId="22" fillId="33" borderId="10" xfId="45" applyFont="1" applyFill="1" applyBorder="1" applyAlignment="1">
      <alignment vertical="top" wrapText="1"/>
    </xf>
    <xf numFmtId="0" fontId="27" fillId="34" borderId="10" xfId="45" applyFont="1" applyFill="1" applyBorder="1" applyAlignment="1">
      <alignment horizontal="center" vertical="center" wrapText="1"/>
    </xf>
    <xf numFmtId="0" fontId="26" fillId="0" borderId="10" xfId="45" applyFont="1" applyBorder="1" applyAlignment="1">
      <alignment horizontal="left" vertical="top" wrapText="1"/>
    </xf>
    <xf numFmtId="0" fontId="25" fillId="0" borderId="10" xfId="45" applyFont="1" applyBorder="1" applyAlignment="1">
      <alignment vertical="center" wrapText="1"/>
    </xf>
    <xf numFmtId="0" fontId="30" fillId="0" borderId="10" xfId="45" applyFont="1" applyBorder="1" applyAlignment="1">
      <alignment vertical="center" wrapText="1"/>
    </xf>
    <xf numFmtId="0" fontId="22" fillId="0" borderId="10" xfId="45" applyFont="1" applyBorder="1" applyAlignment="1">
      <alignment vertical="center" wrapText="1"/>
    </xf>
    <xf numFmtId="0" fontId="25" fillId="33" borderId="10" xfId="45" applyFont="1" applyFill="1" applyBorder="1" applyAlignment="1">
      <alignment vertical="top" wrapText="1"/>
    </xf>
    <xf numFmtId="0" fontId="24" fillId="0" borderId="10" xfId="46" applyFont="1" applyFill="1" applyBorder="1" applyAlignment="1">
      <alignment vertical="top" wrapText="1"/>
    </xf>
    <xf numFmtId="0" fontId="22" fillId="0" borderId="0" xfId="45" applyFont="1" applyAlignment="1">
      <alignment vertical="top" wrapText="1"/>
    </xf>
    <xf numFmtId="0" fontId="22" fillId="0" borderId="0" xfId="45" applyFont="1" applyAlignment="1">
      <alignment horizontal="center" vertical="top" wrapText="1"/>
    </xf>
    <xf numFmtId="49" fontId="22" fillId="0" borderId="0" xfId="45" applyNumberFormat="1" applyFont="1" applyAlignment="1">
      <alignment horizontal="left" vertical="top" wrapText="1"/>
    </xf>
    <xf numFmtId="0" fontId="23" fillId="35" borderId="11" xfId="45" applyFont="1" applyFill="1" applyBorder="1" applyAlignment="1">
      <alignment horizontal="center" vertical="top" wrapText="1"/>
    </xf>
    <xf numFmtId="49" fontId="23" fillId="35" borderId="11" xfId="45" applyNumberFormat="1" applyFont="1" applyFill="1" applyBorder="1" applyAlignment="1">
      <alignment horizontal="center" vertical="top" wrapText="1"/>
    </xf>
    <xf numFmtId="0" fontId="23" fillId="35" borderId="11" xfId="45" applyFont="1" applyFill="1" applyBorder="1" applyAlignment="1">
      <alignment horizontal="left" vertical="top" wrapText="1"/>
    </xf>
    <xf numFmtId="0" fontId="23" fillId="35" borderId="11" xfId="45" applyFont="1" applyFill="1" applyBorder="1" applyAlignment="1">
      <alignment vertical="top" wrapText="1"/>
    </xf>
    <xf numFmtId="0" fontId="22" fillId="0" borderId="17" xfId="45" applyFont="1" applyBorder="1" applyAlignment="1">
      <alignment vertical="top" wrapText="1"/>
    </xf>
    <xf numFmtId="0" fontId="25" fillId="0" borderId="18" xfId="45" applyFont="1" applyBorder="1" applyAlignment="1">
      <alignment vertical="top" wrapText="1"/>
    </xf>
    <xf numFmtId="0" fontId="22" fillId="0" borderId="18" xfId="45" applyFont="1" applyBorder="1" applyAlignment="1">
      <alignment vertical="top" wrapText="1"/>
    </xf>
    <xf numFmtId="0" fontId="32" fillId="0" borderId="19" xfId="45" applyFont="1" applyBorder="1" applyAlignment="1">
      <alignment vertical="top" wrapText="1"/>
    </xf>
    <xf numFmtId="0" fontId="22" fillId="36" borderId="23" xfId="45" applyFont="1" applyFill="1" applyBorder="1" applyAlignment="1">
      <alignment vertical="top" wrapText="1"/>
    </xf>
    <xf numFmtId="0" fontId="25" fillId="36" borderId="10" xfId="45" applyFont="1" applyFill="1" applyBorder="1" applyAlignment="1">
      <alignment vertical="top" wrapText="1"/>
    </xf>
    <xf numFmtId="0" fontId="22" fillId="36" borderId="10" xfId="45" applyFont="1" applyFill="1" applyBorder="1" applyAlignment="1">
      <alignment vertical="top" wrapText="1"/>
    </xf>
    <xf numFmtId="0" fontId="32" fillId="36" borderId="24" xfId="45" applyFont="1" applyFill="1" applyBorder="1" applyAlignment="1">
      <alignment vertical="top" wrapText="1"/>
    </xf>
    <xf numFmtId="0" fontId="22" fillId="36" borderId="27" xfId="45" applyFont="1" applyFill="1" applyBorder="1" applyAlignment="1">
      <alignment vertical="top" wrapText="1"/>
    </xf>
    <xf numFmtId="0" fontId="25" fillId="36" borderId="28" xfId="45" applyFont="1" applyFill="1" applyBorder="1" applyAlignment="1">
      <alignment vertical="top" wrapText="1"/>
    </xf>
    <xf numFmtId="0" fontId="22" fillId="36" borderId="28" xfId="45" applyFont="1" applyFill="1" applyBorder="1" applyAlignment="1">
      <alignment vertical="top" wrapText="1"/>
    </xf>
    <xf numFmtId="0" fontId="32" fillId="36" borderId="29" xfId="45" applyFont="1" applyFill="1" applyBorder="1" applyAlignment="1">
      <alignment vertical="top" wrapText="1"/>
    </xf>
    <xf numFmtId="49" fontId="22" fillId="0" borderId="12" xfId="45" applyNumberFormat="1" applyFont="1" applyBorder="1" applyAlignment="1">
      <alignment horizontal="center" vertical="top" wrapText="1"/>
    </xf>
    <xf numFmtId="0" fontId="22" fillId="0" borderId="12" xfId="45" applyFont="1" applyBorder="1" applyAlignment="1">
      <alignment vertical="top" wrapText="1"/>
    </xf>
    <xf numFmtId="0" fontId="25" fillId="33" borderId="12" xfId="45" applyFont="1" applyFill="1" applyBorder="1" applyAlignment="1">
      <alignment vertical="top" wrapText="1"/>
    </xf>
    <xf numFmtId="0" fontId="22" fillId="0" borderId="12" xfId="45" applyFont="1" applyBorder="1" applyAlignment="1">
      <alignment horizontal="left" vertical="top" wrapText="1"/>
    </xf>
    <xf numFmtId="0" fontId="22" fillId="0" borderId="34" xfId="45" applyFont="1" applyBorder="1" applyAlignment="1">
      <alignment horizontal="left" vertical="top" wrapText="1"/>
    </xf>
    <xf numFmtId="0" fontId="22" fillId="0" borderId="16" xfId="45" applyFont="1" applyBorder="1" applyAlignment="1">
      <alignment horizontal="left" vertical="top" wrapText="1"/>
    </xf>
    <xf numFmtId="0" fontId="22" fillId="0" borderId="35" xfId="45" applyFont="1" applyBorder="1" applyAlignment="1">
      <alignment horizontal="left" vertical="top" wrapText="1"/>
    </xf>
    <xf numFmtId="0" fontId="22" fillId="36" borderId="36" xfId="45" applyFont="1" applyFill="1" applyBorder="1" applyAlignment="1">
      <alignment horizontal="center" vertical="top" wrapText="1"/>
    </xf>
    <xf numFmtId="49" fontId="22" fillId="36" borderId="16" xfId="45" applyNumberFormat="1" applyFont="1" applyFill="1" applyBorder="1" applyAlignment="1">
      <alignment horizontal="center" vertical="top" wrapText="1"/>
    </xf>
    <xf numFmtId="0" fontId="22" fillId="36" borderId="16" xfId="45" applyFont="1" applyFill="1" applyBorder="1" applyAlignment="1">
      <alignment vertical="top" wrapText="1"/>
    </xf>
    <xf numFmtId="0" fontId="22" fillId="36" borderId="16" xfId="45" applyFont="1" applyFill="1" applyBorder="1" applyAlignment="1">
      <alignment horizontal="left" vertical="top" wrapText="1"/>
    </xf>
    <xf numFmtId="0" fontId="22" fillId="36" borderId="25" xfId="45" applyFont="1" applyFill="1" applyBorder="1" applyAlignment="1">
      <alignment horizontal="left" vertical="top" wrapText="1"/>
    </xf>
    <xf numFmtId="0" fontId="22" fillId="36" borderId="26" xfId="45" applyFont="1" applyFill="1" applyBorder="1" applyAlignment="1">
      <alignment horizontal="left" vertical="top" wrapText="1"/>
    </xf>
    <xf numFmtId="0" fontId="22" fillId="36" borderId="27" xfId="45" applyFont="1" applyFill="1" applyBorder="1" applyAlignment="1">
      <alignment horizontal="center" vertical="top" wrapText="1"/>
    </xf>
    <xf numFmtId="49" fontId="22" fillId="36" borderId="28" xfId="45" applyNumberFormat="1" applyFont="1" applyFill="1" applyBorder="1" applyAlignment="1">
      <alignment horizontal="center" vertical="top" wrapText="1"/>
    </xf>
    <xf numFmtId="0" fontId="22" fillId="36" borderId="28" xfId="45" applyFont="1" applyFill="1" applyBorder="1" applyAlignment="1">
      <alignment horizontal="left" vertical="top" wrapText="1"/>
    </xf>
    <xf numFmtId="0" fontId="22" fillId="36" borderId="29" xfId="45" applyFont="1" applyFill="1" applyBorder="1" applyAlignment="1">
      <alignment horizontal="left" vertical="top" wrapText="1"/>
    </xf>
    <xf numFmtId="0" fontId="22" fillId="0" borderId="37" xfId="45" applyFont="1" applyBorder="1" applyAlignment="1">
      <alignment horizontal="left" vertical="top" wrapText="1"/>
    </xf>
    <xf numFmtId="0" fontId="22" fillId="36" borderId="38" xfId="45" applyFont="1" applyFill="1" applyBorder="1" applyAlignment="1">
      <alignment horizontal="left" vertical="top" wrapText="1"/>
    </xf>
    <xf numFmtId="0" fontId="22" fillId="36" borderId="41" xfId="45" applyFont="1" applyFill="1" applyBorder="1" applyAlignment="1">
      <alignment horizontal="center" vertical="top" wrapText="1"/>
    </xf>
    <xf numFmtId="0" fontId="22" fillId="36" borderId="11" xfId="45" applyFont="1" applyFill="1" applyBorder="1" applyAlignment="1">
      <alignment horizontal="center" vertical="top" wrapText="1"/>
    </xf>
    <xf numFmtId="0" fontId="22" fillId="36" borderId="11" xfId="45" applyFont="1" applyFill="1" applyBorder="1" applyAlignment="1">
      <alignment horizontal="left" vertical="top" wrapText="1"/>
    </xf>
    <xf numFmtId="0" fontId="22" fillId="0" borderId="17" xfId="45" applyFont="1" applyBorder="1" applyAlignment="1">
      <alignment horizontal="center" vertical="top" wrapText="1"/>
    </xf>
    <xf numFmtId="0" fontId="22" fillId="0" borderId="18" xfId="45" applyFont="1" applyBorder="1" applyAlignment="1">
      <alignment horizontal="center" vertical="top" wrapText="1"/>
    </xf>
    <xf numFmtId="0" fontId="22" fillId="0" borderId="45" xfId="45" applyFont="1" applyBorder="1" applyAlignment="1">
      <alignment vertical="top" wrapText="1"/>
    </xf>
    <xf numFmtId="0" fontId="22" fillId="0" borderId="46" xfId="45" applyFont="1" applyBorder="1" applyAlignment="1">
      <alignment vertical="top" wrapText="1"/>
    </xf>
    <xf numFmtId="0" fontId="22" fillId="0" borderId="47" xfId="45" applyFont="1" applyBorder="1" applyAlignment="1">
      <alignment vertical="top" wrapText="1"/>
    </xf>
    <xf numFmtId="0" fontId="22" fillId="36" borderId="23" xfId="45" applyFont="1" applyFill="1" applyBorder="1" applyAlignment="1">
      <alignment horizontal="center" vertical="top" wrapText="1"/>
    </xf>
    <xf numFmtId="49" fontId="22" fillId="36" borderId="10" xfId="45" applyNumberFormat="1" applyFont="1" applyFill="1" applyBorder="1" applyAlignment="1">
      <alignment horizontal="center" vertical="top" wrapText="1"/>
    </xf>
    <xf numFmtId="0" fontId="22" fillId="36" borderId="24" xfId="45" applyFont="1" applyFill="1" applyBorder="1" applyAlignment="1">
      <alignment horizontal="left" vertical="top" wrapText="1"/>
    </xf>
    <xf numFmtId="0" fontId="22" fillId="0" borderId="16" xfId="45" applyFont="1" applyBorder="1" applyAlignment="1">
      <alignment vertical="top" wrapText="1"/>
    </xf>
    <xf numFmtId="0" fontId="22" fillId="36" borderId="48" xfId="45" applyFont="1" applyFill="1" applyBorder="1" applyAlignment="1">
      <alignment vertical="top" wrapText="1"/>
    </xf>
    <xf numFmtId="0" fontId="22" fillId="36" borderId="40" xfId="45" applyFont="1" applyFill="1" applyBorder="1" applyAlignment="1">
      <alignment vertical="top" wrapText="1"/>
    </xf>
    <xf numFmtId="0" fontId="22" fillId="0" borderId="37" xfId="45" applyFont="1" applyBorder="1" applyAlignment="1">
      <alignment vertical="top" wrapText="1"/>
    </xf>
    <xf numFmtId="0" fontId="22" fillId="36" borderId="49" xfId="45" applyFont="1" applyFill="1" applyBorder="1" applyAlignment="1">
      <alignment vertical="top" wrapText="1"/>
    </xf>
    <xf numFmtId="0" fontId="22" fillId="36" borderId="50" xfId="45" applyFont="1" applyFill="1" applyBorder="1" applyAlignment="1">
      <alignment vertical="top" wrapText="1"/>
    </xf>
    <xf numFmtId="0" fontId="22" fillId="0" borderId="13" xfId="45" applyFont="1" applyBorder="1" applyAlignment="1">
      <alignment horizontal="center" vertical="top" wrapText="1"/>
    </xf>
    <xf numFmtId="0" fontId="25" fillId="0" borderId="14" xfId="45" applyFont="1" applyBorder="1" applyAlignment="1">
      <alignment horizontal="center" vertical="top" wrapText="1"/>
    </xf>
    <xf numFmtId="0" fontId="25" fillId="0" borderId="14" xfId="45" applyFont="1" applyBorder="1" applyAlignment="1">
      <alignment vertical="top" wrapText="1"/>
    </xf>
    <xf numFmtId="0" fontId="22" fillId="0" borderId="14" xfId="45" applyFont="1" applyBorder="1" applyAlignment="1">
      <alignment horizontal="left" vertical="top" wrapText="1"/>
    </xf>
    <xf numFmtId="0" fontId="22" fillId="36" borderId="14" xfId="45" applyFont="1" applyFill="1" applyBorder="1" applyAlignment="1">
      <alignment vertical="top" wrapText="1"/>
    </xf>
    <xf numFmtId="0" fontId="22" fillId="0" borderId="14" xfId="45" applyFont="1" applyBorder="1" applyAlignment="1">
      <alignment vertical="top" wrapText="1"/>
    </xf>
    <xf numFmtId="0" fontId="22" fillId="0" borderId="15" xfId="45" applyFont="1" applyBorder="1" applyAlignment="1">
      <alignment vertical="top" wrapText="1"/>
    </xf>
    <xf numFmtId="0" fontId="35" fillId="0" borderId="17" xfId="45" applyFont="1" applyBorder="1" applyAlignment="1">
      <alignment vertical="top" wrapText="1"/>
    </xf>
    <xf numFmtId="49" fontId="35" fillId="0" borderId="18" xfId="45" applyNumberFormat="1" applyFont="1" applyBorder="1" applyAlignment="1">
      <alignment horizontal="center" vertical="top" wrapText="1"/>
    </xf>
    <xf numFmtId="0" fontId="35" fillId="0" borderId="18" xfId="45" applyFont="1" applyBorder="1" applyAlignment="1">
      <alignment vertical="top" wrapText="1"/>
    </xf>
    <xf numFmtId="0" fontId="35" fillId="36" borderId="18" xfId="45" applyFont="1" applyFill="1" applyBorder="1" applyAlignment="1">
      <alignment vertical="top" wrapText="1"/>
    </xf>
    <xf numFmtId="0" fontId="35" fillId="0" borderId="47" xfId="45" applyFont="1" applyBorder="1" applyAlignment="1">
      <alignment vertical="top" wrapText="1"/>
    </xf>
    <xf numFmtId="0" fontId="35" fillId="0" borderId="0" xfId="45" applyFont="1" applyAlignment="1">
      <alignment vertical="top" wrapText="1"/>
    </xf>
    <xf numFmtId="0" fontId="35" fillId="36" borderId="23" xfId="45" applyFont="1" applyFill="1" applyBorder="1" applyAlignment="1">
      <alignment vertical="top" wrapText="1"/>
    </xf>
    <xf numFmtId="49" fontId="35" fillId="36" borderId="10" xfId="45" applyNumberFormat="1" applyFont="1" applyFill="1" applyBorder="1" applyAlignment="1">
      <alignment horizontal="center" vertical="top" wrapText="1"/>
    </xf>
    <xf numFmtId="0" fontId="35" fillId="36" borderId="10" xfId="45" applyFont="1" applyFill="1" applyBorder="1" applyAlignment="1">
      <alignment vertical="top" wrapText="1"/>
    </xf>
    <xf numFmtId="0" fontId="35" fillId="0" borderId="10" xfId="45" applyFont="1" applyBorder="1" applyAlignment="1">
      <alignment vertical="top" wrapText="1"/>
    </xf>
    <xf numFmtId="0" fontId="35" fillId="36" borderId="40" xfId="45" applyFont="1" applyFill="1" applyBorder="1" applyAlignment="1">
      <alignment vertical="top" wrapText="1"/>
    </xf>
    <xf numFmtId="0" fontId="35" fillId="36" borderId="27" xfId="45" applyFont="1" applyFill="1" applyBorder="1" applyAlignment="1">
      <alignment vertical="top" wrapText="1"/>
    </xf>
    <xf numFmtId="49" fontId="35" fillId="36" borderId="28" xfId="45" applyNumberFormat="1" applyFont="1" applyFill="1" applyBorder="1" applyAlignment="1">
      <alignment horizontal="center" vertical="top" wrapText="1"/>
    </xf>
    <xf numFmtId="0" fontId="35" fillId="36" borderId="28" xfId="45" applyFont="1" applyFill="1" applyBorder="1" applyAlignment="1">
      <alignment vertical="top" wrapText="1"/>
    </xf>
    <xf numFmtId="0" fontId="35" fillId="0" borderId="28" xfId="45" applyFont="1" applyBorder="1" applyAlignment="1">
      <alignment vertical="top" wrapText="1"/>
    </xf>
    <xf numFmtId="0" fontId="35" fillId="36" borderId="50" xfId="45" applyFont="1" applyFill="1" applyBorder="1" applyAlignment="1">
      <alignment vertical="top" wrapText="1"/>
    </xf>
    <xf numFmtId="49" fontId="22" fillId="0" borderId="0" xfId="45" applyNumberFormat="1" applyFont="1" applyAlignment="1">
      <alignment horizontal="center" vertical="top" wrapText="1"/>
    </xf>
    <xf numFmtId="164" fontId="0" fillId="0" borderId="0" xfId="0" applyAlignment="1">
      <alignment vertical="center"/>
    </xf>
    <xf numFmtId="0" fontId="22" fillId="0" borderId="0" xfId="45" applyFont="1" applyAlignment="1">
      <alignment horizontal="left" vertical="top" wrapText="1"/>
    </xf>
    <xf numFmtId="0" fontId="18" fillId="40" borderId="10" xfId="0" applyNumberFormat="1" applyFont="1" applyFill="1" applyBorder="1" applyAlignment="1">
      <alignment horizontal="center" vertical="center"/>
    </xf>
    <xf numFmtId="0" fontId="18" fillId="41" borderId="10" xfId="0" applyNumberFormat="1" applyFont="1" applyFill="1" applyBorder="1" applyAlignment="1">
      <alignment horizontal="right" vertical="center"/>
    </xf>
    <xf numFmtId="0" fontId="44" fillId="40" borderId="10" xfId="0" applyNumberFormat="1" applyFont="1" applyFill="1" applyBorder="1" applyAlignment="1">
      <alignment horizontal="center" vertical="center"/>
    </xf>
    <xf numFmtId="0" fontId="18" fillId="37" borderId="10" xfId="0" applyNumberFormat="1" applyFont="1" applyFill="1" applyBorder="1" applyAlignment="1">
      <alignment horizontal="center" vertical="center"/>
    </xf>
    <xf numFmtId="0" fontId="18" fillId="39" borderId="10" xfId="0" applyNumberFormat="1" applyFont="1" applyFill="1" applyBorder="1" applyAlignment="1">
      <alignment horizontal="left" vertical="center"/>
    </xf>
    <xf numFmtId="0" fontId="18" fillId="41" borderId="10" xfId="0" applyNumberFormat="1" applyFont="1" applyFill="1" applyBorder="1" applyAlignment="1">
      <alignment horizontal="left" vertical="center"/>
    </xf>
    <xf numFmtId="0" fontId="18" fillId="37" borderId="10" xfId="0" applyNumberFormat="1" applyFont="1" applyFill="1" applyBorder="1" applyAlignment="1">
      <alignment horizontal="right" vertical="center"/>
    </xf>
    <xf numFmtId="0" fontId="18" fillId="41" borderId="10" xfId="0" applyNumberFormat="1" applyFont="1" applyFill="1" applyBorder="1" applyAlignment="1">
      <alignment vertical="center"/>
    </xf>
    <xf numFmtId="0" fontId="18" fillId="0" borderId="10" xfId="0" applyNumberFormat="1" applyFont="1" applyBorder="1" applyAlignment="1">
      <alignment horizontal="center" vertical="center"/>
    </xf>
    <xf numFmtId="0" fontId="18" fillId="42" borderId="10" xfId="0" applyNumberFormat="1" applyFont="1" applyFill="1" applyBorder="1" applyAlignment="1">
      <alignment vertical="center" wrapText="1"/>
    </xf>
    <xf numFmtId="0" fontId="18" fillId="42" borderId="10" xfId="0" applyNumberFormat="1" applyFont="1" applyFill="1" applyBorder="1" applyAlignment="1">
      <alignment horizontal="left" vertical="center"/>
    </xf>
    <xf numFmtId="0" fontId="18" fillId="42" borderId="10" xfId="0" applyNumberFormat="1" applyFont="1" applyFill="1" applyBorder="1" applyAlignment="1">
      <alignment horizontal="right" vertical="center"/>
    </xf>
    <xf numFmtId="0" fontId="18" fillId="42" borderId="10" xfId="0" applyNumberFormat="1" applyFont="1" applyFill="1" applyBorder="1" applyAlignment="1">
      <alignment vertical="center"/>
    </xf>
    <xf numFmtId="0" fontId="18" fillId="43" borderId="10" xfId="0" applyNumberFormat="1" applyFont="1" applyFill="1" applyBorder="1" applyAlignment="1">
      <alignment horizontal="left" vertical="center"/>
    </xf>
    <xf numFmtId="0" fontId="18" fillId="42" borderId="10" xfId="0" applyNumberFormat="1" applyFont="1" applyFill="1" applyBorder="1" applyAlignment="1">
      <alignment horizontal="center" vertical="center"/>
    </xf>
    <xf numFmtId="0" fontId="50" fillId="0" borderId="0" xfId="0" applyNumberFormat="1" applyFont="1" applyAlignment="1">
      <alignment vertical="center"/>
    </xf>
    <xf numFmtId="0" fontId="18" fillId="41" borderId="10" xfId="0" applyNumberFormat="1" applyFont="1" applyFill="1" applyBorder="1" applyAlignment="1">
      <alignment horizontal="center" vertical="center"/>
    </xf>
    <xf numFmtId="0" fontId="42" fillId="40" borderId="10" xfId="0" applyNumberFormat="1" applyFont="1" applyFill="1" applyBorder="1" applyAlignment="1">
      <alignment horizontal="center" vertical="center"/>
    </xf>
    <xf numFmtId="0" fontId="18" fillId="33" borderId="10" xfId="0" applyNumberFormat="1" applyFont="1" applyFill="1" applyBorder="1" applyAlignment="1">
      <alignment horizontal="center" vertical="center"/>
    </xf>
    <xf numFmtId="0" fontId="50" fillId="41" borderId="10" xfId="0" applyNumberFormat="1" applyFont="1" applyFill="1" applyBorder="1" applyAlignment="1">
      <alignment horizontal="left" vertical="center"/>
    </xf>
    <xf numFmtId="0" fontId="18" fillId="38" borderId="10" xfId="0" applyNumberFormat="1" applyFont="1" applyFill="1" applyBorder="1" applyAlignment="1">
      <alignment horizontal="center" vertical="center"/>
    </xf>
    <xf numFmtId="0" fontId="18" fillId="38" borderId="10" xfId="0" applyNumberFormat="1" applyFont="1" applyFill="1" applyBorder="1" applyAlignment="1">
      <alignment horizontal="right" vertical="center"/>
    </xf>
    <xf numFmtId="0" fontId="18" fillId="38" borderId="10" xfId="0" applyNumberFormat="1" applyFont="1" applyFill="1" applyBorder="1" applyAlignment="1">
      <alignment horizontal="left" vertical="center"/>
    </xf>
    <xf numFmtId="0" fontId="18" fillId="38" borderId="10" xfId="0" applyNumberFormat="1" applyFont="1" applyFill="1" applyBorder="1" applyAlignment="1">
      <alignment vertical="center"/>
    </xf>
    <xf numFmtId="0" fontId="18" fillId="38" borderId="10" xfId="0" applyNumberFormat="1" applyFont="1" applyFill="1" applyBorder="1" applyAlignment="1">
      <alignment vertical="top" wrapText="1"/>
    </xf>
    <xf numFmtId="0" fontId="50" fillId="0" borderId="10" xfId="0" applyNumberFormat="1" applyFont="1" applyBorder="1" applyAlignment="1">
      <alignment horizontal="center" vertical="center"/>
    </xf>
    <xf numFmtId="0" fontId="50" fillId="0" borderId="10" xfId="0" applyNumberFormat="1" applyFont="1" applyBorder="1" applyAlignment="1">
      <alignment vertical="center"/>
    </xf>
    <xf numFmtId="0" fontId="50" fillId="0" borderId="10" xfId="0" applyNumberFormat="1" applyFont="1" applyBorder="1" applyAlignment="1">
      <alignment horizontal="right" vertical="center"/>
    </xf>
    <xf numFmtId="0" fontId="50" fillId="0" borderId="10" xfId="0" applyNumberFormat="1" applyFont="1" applyBorder="1" applyAlignment="1">
      <alignment horizontal="left" vertical="center"/>
    </xf>
    <xf numFmtId="0" fontId="50" fillId="0" borderId="10" xfId="0" applyNumberFormat="1" applyFont="1" applyBorder="1" applyAlignment="1">
      <alignment vertical="center" wrapText="1"/>
    </xf>
    <xf numFmtId="0" fontId="50" fillId="0" borderId="10" xfId="0" applyNumberFormat="1" applyFont="1" applyBorder="1" applyAlignment="1">
      <alignment vertical="top" wrapText="1"/>
    </xf>
    <xf numFmtId="0" fontId="50" fillId="40" borderId="10" xfId="0" applyNumberFormat="1" applyFont="1" applyFill="1" applyBorder="1" applyAlignment="1">
      <alignment horizontal="center" vertical="center"/>
    </xf>
    <xf numFmtId="49" fontId="18" fillId="38" borderId="10" xfId="0" applyNumberFormat="1" applyFont="1" applyFill="1" applyBorder="1" applyAlignment="1">
      <alignment horizontal="right" vertical="center" wrapText="1"/>
    </xf>
    <xf numFmtId="0" fontId="18" fillId="38" borderId="10" xfId="0" applyNumberFormat="1" applyFont="1" applyFill="1" applyBorder="1" applyAlignment="1">
      <alignment horizontal="right" vertical="center" wrapText="1"/>
    </xf>
    <xf numFmtId="0" fontId="18" fillId="41" borderId="10" xfId="0" applyNumberFormat="1" applyFont="1" applyFill="1" applyBorder="1" applyAlignment="1">
      <alignment horizontal="right" vertical="center" wrapText="1"/>
    </xf>
    <xf numFmtId="0" fontId="42" fillId="0" borderId="10" xfId="0" applyNumberFormat="1" applyFont="1" applyBorder="1" applyAlignment="1">
      <alignment horizontal="right" vertical="center"/>
    </xf>
    <xf numFmtId="0" fontId="22" fillId="0" borderId="10" xfId="45" applyFont="1" applyBorder="1" applyAlignment="1">
      <alignment horizontal="right" vertical="top" wrapText="1"/>
    </xf>
    <xf numFmtId="0" fontId="0" fillId="0" borderId="0" xfId="45" applyFont="1" applyAlignment="1">
      <alignment horizontal="right" vertical="top" wrapText="1"/>
    </xf>
    <xf numFmtId="0" fontId="0" fillId="0" borderId="0" xfId="45" applyFont="1" applyAlignment="1">
      <alignment horizontal="left" vertical="top" wrapText="1"/>
    </xf>
    <xf numFmtId="0" fontId="0" fillId="0" borderId="0" xfId="45" applyFont="1" applyAlignment="1">
      <alignment vertical="top" wrapText="1"/>
    </xf>
    <xf numFmtId="0" fontId="0" fillId="0" borderId="10" xfId="45" applyFont="1" applyBorder="1" applyAlignment="1">
      <alignment horizontal="center" vertical="top" wrapText="1"/>
    </xf>
    <xf numFmtId="0" fontId="0" fillId="0" borderId="0" xfId="45" applyFont="1" applyAlignment="1">
      <alignment horizontal="left" wrapText="1"/>
    </xf>
    <xf numFmtId="0" fontId="22" fillId="0" borderId="0" xfId="45" applyFont="1" applyAlignment="1">
      <alignment horizontal="right" vertical="top" wrapText="1"/>
    </xf>
    <xf numFmtId="0" fontId="28" fillId="0" borderId="0" xfId="45" applyFont="1" applyAlignment="1">
      <alignment horizontal="left" vertical="top" wrapText="1"/>
    </xf>
    <xf numFmtId="0" fontId="28" fillId="0" borderId="0" xfId="45" applyFont="1" applyAlignment="1">
      <alignment horizontal="right" vertical="top" wrapText="1"/>
    </xf>
    <xf numFmtId="0" fontId="28" fillId="0" borderId="0" xfId="45" applyFont="1" applyAlignment="1">
      <alignment horizontal="center" vertical="top" wrapText="1"/>
    </xf>
    <xf numFmtId="0" fontId="25" fillId="0" borderId="10" xfId="45" applyFont="1" applyFill="1" applyBorder="1" applyAlignment="1">
      <alignment vertical="top" wrapText="1"/>
    </xf>
    <xf numFmtId="0" fontId="22" fillId="0" borderId="10" xfId="45" applyFont="1" applyFill="1" applyBorder="1" applyAlignment="1">
      <alignment vertical="top" wrapText="1"/>
    </xf>
    <xf numFmtId="0" fontId="37" fillId="0" borderId="0" xfId="0" applyNumberFormat="1" applyFont="1" applyAlignment="1">
      <alignment vertical="center"/>
    </xf>
    <xf numFmtId="0" fontId="50" fillId="0" borderId="0" xfId="0" applyNumberFormat="1" applyFont="1" applyAlignment="1">
      <alignment horizontal="left" vertical="center"/>
    </xf>
    <xf numFmtId="0" fontId="50" fillId="0" borderId="0" xfId="0" applyNumberFormat="1" applyFont="1" applyAlignment="1">
      <alignment horizontal="right" vertical="center"/>
    </xf>
    <xf numFmtId="0" fontId="18" fillId="0" borderId="0" xfId="0" applyNumberFormat="1" applyFont="1" applyAlignment="1">
      <alignment vertical="center"/>
    </xf>
    <xf numFmtId="0" fontId="18" fillId="0" borderId="0" xfId="0" applyNumberFormat="1" applyFont="1" applyAlignment="1">
      <alignment horizontal="left" vertical="center"/>
    </xf>
    <xf numFmtId="0" fontId="18" fillId="0" borderId="0" xfId="0" applyNumberFormat="1" applyFont="1" applyAlignment="1">
      <alignment horizontal="center" vertical="center"/>
    </xf>
    <xf numFmtId="0" fontId="18" fillId="0" borderId="0" xfId="0" applyNumberFormat="1" applyFont="1" applyAlignment="1">
      <alignment vertical="center" wrapText="1"/>
    </xf>
    <xf numFmtId="0" fontId="18" fillId="0" borderId="0" xfId="0" applyNumberFormat="1" applyFont="1" applyAlignment="1">
      <alignment vertical="top" wrapText="1"/>
    </xf>
    <xf numFmtId="0" fontId="42" fillId="0" borderId="0" xfId="0" applyNumberFormat="1" applyFont="1" applyAlignment="1">
      <alignment vertical="center" wrapText="1"/>
    </xf>
    <xf numFmtId="0" fontId="50" fillId="0" borderId="0" xfId="0" applyNumberFormat="1" applyFont="1" applyAlignment="1">
      <alignment vertical="center" wrapText="1"/>
    </xf>
    <xf numFmtId="0" fontId="49" fillId="0" borderId="13" xfId="0" applyNumberFormat="1" applyFont="1" applyBorder="1" applyAlignment="1">
      <alignment horizontal="center" vertical="top" wrapText="1"/>
    </xf>
    <xf numFmtId="0" fontId="49" fillId="0" borderId="14" xfId="0" applyNumberFormat="1" applyFont="1" applyBorder="1" applyAlignment="1">
      <alignment horizontal="center" vertical="top" wrapText="1"/>
    </xf>
    <xf numFmtId="0" fontId="49" fillId="0" borderId="51" xfId="0" applyNumberFormat="1" applyFont="1" applyBorder="1" applyAlignment="1">
      <alignment horizontal="center" vertical="top" wrapText="1"/>
    </xf>
    <xf numFmtId="0" fontId="39" fillId="0" borderId="14" xfId="0" applyNumberFormat="1" applyFont="1" applyBorder="1" applyAlignment="1">
      <alignment horizontal="center" vertical="top" wrapText="1"/>
    </xf>
    <xf numFmtId="0" fontId="43" fillId="0" borderId="14" xfId="0" applyNumberFormat="1" applyFont="1" applyBorder="1" applyAlignment="1">
      <alignment horizontal="center" vertical="top" wrapText="1"/>
    </xf>
    <xf numFmtId="0" fontId="51" fillId="0" borderId="14" xfId="0" applyNumberFormat="1" applyFont="1" applyBorder="1" applyAlignment="1">
      <alignment horizontal="center" vertical="top" wrapText="1"/>
    </xf>
    <xf numFmtId="0" fontId="49" fillId="0" borderId="15" xfId="0" applyNumberFormat="1" applyFont="1" applyBorder="1" applyAlignment="1">
      <alignment horizontal="center" vertical="top" wrapText="1"/>
    </xf>
    <xf numFmtId="0" fontId="49" fillId="0" borderId="0" xfId="0" applyNumberFormat="1" applyFont="1" applyAlignment="1">
      <alignment horizontal="center" vertical="top" wrapText="1"/>
    </xf>
    <xf numFmtId="0" fontId="18" fillId="0" borderId="12" xfId="0" applyNumberFormat="1" applyFont="1" applyBorder="1" applyAlignment="1">
      <alignment horizontal="center" vertical="center"/>
    </xf>
    <xf numFmtId="0" fontId="18" fillId="0" borderId="12" xfId="0" applyNumberFormat="1" applyFont="1" applyBorder="1" applyAlignment="1">
      <alignment vertical="center"/>
    </xf>
    <xf numFmtId="0" fontId="18" fillId="0" borderId="12" xfId="0" applyNumberFormat="1" applyFont="1" applyBorder="1" applyAlignment="1">
      <alignment horizontal="right" vertical="center"/>
    </xf>
    <xf numFmtId="0" fontId="18" fillId="0" borderId="12" xfId="0" applyNumberFormat="1" applyFont="1" applyBorder="1" applyAlignment="1">
      <alignment horizontal="left" vertical="center"/>
    </xf>
    <xf numFmtId="0" fontId="18" fillId="0" borderId="12" xfId="0" applyNumberFormat="1" applyFont="1" applyBorder="1" applyAlignment="1">
      <alignment vertical="center" wrapText="1"/>
    </xf>
    <xf numFmtId="0" fontId="18" fillId="0" borderId="12" xfId="0" applyNumberFormat="1" applyFont="1" applyBorder="1" applyAlignment="1">
      <alignment vertical="top" wrapText="1"/>
    </xf>
    <xf numFmtId="0" fontId="42" fillId="0" borderId="12" xfId="0" applyNumberFormat="1" applyFont="1" applyBorder="1" applyAlignment="1">
      <alignment vertical="center" wrapText="1"/>
    </xf>
    <xf numFmtId="0" fontId="18" fillId="0" borderId="10" xfId="0" applyNumberFormat="1" applyFont="1" applyBorder="1" applyAlignment="1">
      <alignment vertical="center"/>
    </xf>
    <xf numFmtId="0" fontId="18" fillId="0" borderId="10" xfId="0" applyNumberFormat="1" applyFont="1" applyBorder="1" applyAlignment="1">
      <alignment horizontal="right" vertical="center"/>
    </xf>
    <xf numFmtId="0" fontId="18" fillId="0" borderId="10" xfId="0" applyNumberFormat="1" applyFont="1" applyBorder="1" applyAlignment="1">
      <alignment horizontal="left" vertical="center"/>
    </xf>
    <xf numFmtId="0" fontId="18" fillId="0" borderId="10" xfId="0" applyNumberFormat="1" applyFont="1" applyBorder="1" applyAlignment="1">
      <alignment vertical="center" wrapText="1"/>
    </xf>
    <xf numFmtId="0" fontId="18" fillId="0" borderId="10" xfId="0" applyNumberFormat="1" applyFont="1" applyBorder="1" applyAlignment="1">
      <alignment vertical="top" wrapText="1"/>
    </xf>
    <xf numFmtId="0" fontId="42" fillId="0" borderId="10" xfId="0" applyNumberFormat="1" applyFont="1" applyBorder="1" applyAlignment="1">
      <alignment vertical="center" wrapText="1"/>
    </xf>
    <xf numFmtId="0" fontId="42" fillId="0" borderId="10" xfId="0" applyNumberFormat="1" applyFont="1" applyBorder="1" applyAlignment="1">
      <alignment vertical="center"/>
    </xf>
    <xf numFmtId="0" fontId="20" fillId="0" borderId="10" xfId="0" applyNumberFormat="1" applyFont="1" applyBorder="1" applyAlignment="1">
      <alignment horizontal="left" vertical="top"/>
    </xf>
    <xf numFmtId="0" fontId="18" fillId="0" borderId="10" xfId="0" quotePrefix="1" applyNumberFormat="1" applyFont="1" applyBorder="1" applyAlignment="1">
      <alignment horizontal="right" vertical="center"/>
    </xf>
    <xf numFmtId="0" fontId="42" fillId="0" borderId="0" xfId="0" applyNumberFormat="1" applyFont="1" applyAlignment="1">
      <alignment vertical="center"/>
    </xf>
    <xf numFmtId="14" fontId="18" fillId="0" borderId="10" xfId="0" applyNumberFormat="1" applyFont="1" applyBorder="1" applyAlignment="1">
      <alignment horizontal="left" vertical="top" wrapText="1"/>
    </xf>
    <xf numFmtId="0" fontId="42" fillId="0" borderId="10" xfId="0" applyNumberFormat="1" applyFont="1" applyBorder="1" applyAlignment="1">
      <alignment horizontal="center" vertical="center"/>
    </xf>
    <xf numFmtId="0" fontId="43" fillId="0" borderId="10" xfId="0" applyNumberFormat="1" applyFont="1" applyBorder="1" applyAlignment="1">
      <alignment horizontal="center" vertical="center" wrapText="1"/>
    </xf>
    <xf numFmtId="0" fontId="18" fillId="0" borderId="10" xfId="0" applyNumberFormat="1" applyFont="1" applyBorder="1" applyAlignment="1">
      <alignment horizontal="right" vertical="center" wrapText="1"/>
    </xf>
    <xf numFmtId="0" fontId="18" fillId="0" borderId="10" xfId="0" applyNumberFormat="1" applyFont="1" applyBorder="1" applyAlignment="1">
      <alignment vertical="top"/>
    </xf>
    <xf numFmtId="0" fontId="44" fillId="0" borderId="10" xfId="0" applyNumberFormat="1" applyFont="1" applyBorder="1" applyAlignment="1">
      <alignment vertical="center" wrapText="1"/>
    </xf>
    <xf numFmtId="0" fontId="44" fillId="0" borderId="10" xfId="0" applyNumberFormat="1" applyFont="1" applyBorder="1" applyAlignment="1">
      <alignment horizontal="center" vertical="center"/>
    </xf>
    <xf numFmtId="0" fontId="44" fillId="0" borderId="0" xfId="0" applyNumberFormat="1" applyFont="1" applyAlignment="1">
      <alignment vertical="center"/>
    </xf>
    <xf numFmtId="0" fontId="52" fillId="0" borderId="0" xfId="0" applyNumberFormat="1" applyFont="1" applyAlignment="1">
      <alignment vertical="center"/>
    </xf>
    <xf numFmtId="0" fontId="18" fillId="0" borderId="10" xfId="0" applyNumberFormat="1" applyFont="1" applyBorder="1" applyAlignment="1">
      <alignment horizontal="left" vertical="center" wrapText="1"/>
    </xf>
    <xf numFmtId="0" fontId="48" fillId="0" borderId="10" xfId="0" applyNumberFormat="1" applyFont="1" applyBorder="1" applyAlignment="1">
      <alignment horizontal="center" vertical="center"/>
    </xf>
    <xf numFmtId="0" fontId="42" fillId="0" borderId="10" xfId="0" applyNumberFormat="1" applyFont="1" applyBorder="1" applyAlignment="1">
      <alignment horizontal="left" vertical="center" wrapText="1"/>
    </xf>
    <xf numFmtId="0" fontId="18" fillId="0" borderId="10" xfId="0" applyNumberFormat="1" applyFont="1" applyBorder="1" applyAlignment="1">
      <alignment horizontal="left" vertical="top" wrapText="1"/>
    </xf>
    <xf numFmtId="0" fontId="42" fillId="0" borderId="10" xfId="0" applyNumberFormat="1" applyFont="1" applyBorder="1" applyAlignment="1">
      <alignment horizontal="left" vertical="top" wrapText="1"/>
    </xf>
    <xf numFmtId="0" fontId="18" fillId="0" borderId="10" xfId="0" applyNumberFormat="1" applyFont="1" applyBorder="1" applyAlignment="1">
      <alignment horizontal="center"/>
    </xf>
    <xf numFmtId="0" fontId="18" fillId="0" borderId="12" xfId="0" applyNumberFormat="1" applyFont="1" applyBorder="1" applyAlignment="1">
      <alignment horizontal="center"/>
    </xf>
    <xf numFmtId="0" fontId="18" fillId="0" borderId="0" xfId="0" applyNumberFormat="1" applyFont="1" applyAlignment="1">
      <alignment horizontal="right" vertical="center"/>
    </xf>
    <xf numFmtId="0" fontId="42" fillId="0" borderId="0" xfId="0" applyNumberFormat="1" applyFont="1" applyAlignment="1">
      <alignment horizontal="left" vertical="center"/>
    </xf>
    <xf numFmtId="0" fontId="43" fillId="0" borderId="0" xfId="0" applyNumberFormat="1" applyFont="1" applyAlignment="1">
      <alignment vertical="center"/>
    </xf>
    <xf numFmtId="0" fontId="18" fillId="33" borderId="0" xfId="0" applyNumberFormat="1" applyFont="1" applyFill="1" applyAlignment="1">
      <alignment vertical="center"/>
    </xf>
    <xf numFmtId="0" fontId="50" fillId="0" borderId="0" xfId="0" applyNumberFormat="1" applyFont="1" applyAlignment="1">
      <alignment horizontal="center"/>
    </xf>
    <xf numFmtId="0" fontId="50" fillId="0" borderId="0" xfId="0" applyNumberFormat="1" applyFont="1" applyAlignment="1">
      <alignment horizontal="center" vertical="center"/>
    </xf>
    <xf numFmtId="164" fontId="16" fillId="0" borderId="0" xfId="0" applyFont="1" applyAlignment="1">
      <alignment horizontal="left" vertical="top"/>
    </xf>
    <xf numFmtId="0" fontId="22" fillId="0" borderId="0" xfId="45" applyFont="1" applyAlignment="1">
      <alignment horizontal="left" vertical="top" wrapText="1"/>
    </xf>
    <xf numFmtId="0" fontId="26" fillId="0" borderId="0" xfId="45" applyFont="1" applyAlignment="1">
      <alignment horizontal="left" vertical="top" wrapText="1"/>
    </xf>
    <xf numFmtId="0" fontId="50" fillId="0" borderId="0" xfId="0" applyNumberFormat="1" applyFont="1" applyAlignment="1">
      <alignment horizontal="center" vertical="center"/>
    </xf>
    <xf numFmtId="0" fontId="22" fillId="0" borderId="33" xfId="45" applyFont="1" applyBorder="1" applyAlignment="1">
      <alignment horizontal="center" vertical="top" wrapText="1"/>
    </xf>
    <xf numFmtId="0" fontId="22" fillId="33" borderId="12" xfId="45" applyFont="1" applyFill="1" applyBorder="1" applyAlignment="1">
      <alignment horizontal="left" vertical="top" wrapText="1"/>
    </xf>
    <xf numFmtId="0" fontId="22" fillId="33" borderId="10" xfId="45" applyFont="1" applyFill="1" applyBorder="1" applyAlignment="1">
      <alignment horizontal="left" vertical="top" wrapText="1"/>
    </xf>
    <xf numFmtId="0" fontId="22" fillId="0" borderId="18" xfId="45" applyFont="1" applyBorder="1" applyAlignment="1">
      <alignment horizontal="left" vertical="top" wrapText="1"/>
    </xf>
    <xf numFmtId="0" fontId="22" fillId="36" borderId="12" xfId="45" applyFont="1" applyFill="1" applyBorder="1" applyAlignment="1">
      <alignment horizontal="left" vertical="top" wrapText="1"/>
    </xf>
    <xf numFmtId="0" fontId="22" fillId="36" borderId="10" xfId="45" applyFont="1" applyFill="1" applyBorder="1" applyAlignment="1">
      <alignment horizontal="left" vertical="top" wrapText="1"/>
    </xf>
    <xf numFmtId="0" fontId="42" fillId="38" borderId="10" xfId="0" applyNumberFormat="1" applyFont="1" applyFill="1" applyBorder="1" applyAlignment="1">
      <alignment horizontal="right" vertical="center"/>
    </xf>
    <xf numFmtId="0" fontId="50" fillId="0" borderId="10" xfId="0" applyNumberFormat="1" applyFont="1" applyBorder="1" applyAlignment="1">
      <alignment horizontal="right" vertical="center" wrapText="1"/>
    </xf>
    <xf numFmtId="164" fontId="16" fillId="0" borderId="0" xfId="0" applyFont="1" applyAlignment="1">
      <alignment horizontal="left" vertical="top"/>
    </xf>
    <xf numFmtId="0" fontId="22" fillId="0" borderId="0" xfId="45" applyFont="1" applyAlignment="1">
      <alignment horizontal="left" vertical="top" wrapText="1"/>
    </xf>
    <xf numFmtId="0" fontId="24" fillId="0" borderId="0" xfId="46" applyFont="1" applyAlignment="1">
      <alignment horizontal="left" vertical="top" wrapText="1"/>
    </xf>
    <xf numFmtId="0" fontId="26" fillId="0" borderId="0" xfId="45" applyFont="1" applyAlignment="1">
      <alignment horizontal="left" vertical="top" wrapText="1"/>
    </xf>
    <xf numFmtId="0" fontId="29" fillId="0" borderId="0" xfId="46" applyFont="1" applyAlignment="1">
      <alignment horizontal="left" vertical="top" wrapText="1"/>
    </xf>
    <xf numFmtId="0" fontId="24" fillId="0" borderId="0" xfId="46" applyFont="1" applyAlignment="1">
      <alignment horizontal="left" vertical="top"/>
    </xf>
    <xf numFmtId="0" fontId="50" fillId="0" borderId="0" xfId="0" applyNumberFormat="1" applyFont="1" applyAlignment="1">
      <alignment horizontal="center" vertical="center"/>
    </xf>
    <xf numFmtId="0" fontId="18" fillId="0" borderId="11" xfId="0" applyNumberFormat="1" applyFont="1" applyBorder="1" applyAlignment="1">
      <alignment horizontal="left" vertical="top" wrapText="1"/>
    </xf>
    <xf numFmtId="0" fontId="18" fillId="0" borderId="16" xfId="0" applyNumberFormat="1" applyFont="1" applyBorder="1" applyAlignment="1">
      <alignment horizontal="left" vertical="top" wrapText="1"/>
    </xf>
    <xf numFmtId="0" fontId="18" fillId="0" borderId="12" xfId="0" applyNumberFormat="1" applyFont="1" applyBorder="1" applyAlignment="1">
      <alignment horizontal="left" vertical="top" wrapText="1"/>
    </xf>
    <xf numFmtId="0" fontId="22" fillId="0" borderId="25" xfId="45" applyFont="1" applyBorder="1" applyAlignment="1">
      <alignment horizontal="left" vertical="top" wrapText="1"/>
    </xf>
    <xf numFmtId="0" fontId="22" fillId="0" borderId="26" xfId="45" applyFont="1" applyBorder="1" applyAlignment="1">
      <alignment horizontal="left" vertical="top" wrapText="1"/>
    </xf>
    <xf numFmtId="0" fontId="22" fillId="0" borderId="20" xfId="45" applyFont="1" applyBorder="1" applyAlignment="1">
      <alignment horizontal="left" vertical="top" wrapText="1"/>
    </xf>
    <xf numFmtId="0" fontId="22" fillId="0" borderId="21" xfId="45" applyFont="1" applyBorder="1" applyAlignment="1">
      <alignment horizontal="left" vertical="top" wrapText="1"/>
    </xf>
    <xf numFmtId="0" fontId="22" fillId="0" borderId="22" xfId="45" applyFont="1" applyBorder="1" applyAlignment="1">
      <alignment horizontal="left" vertical="top" wrapText="1"/>
    </xf>
    <xf numFmtId="0" fontId="22" fillId="0" borderId="33" xfId="45" applyFont="1" applyBorder="1" applyAlignment="1">
      <alignment horizontal="center" vertical="top" wrapText="1"/>
    </xf>
    <xf numFmtId="0" fontId="22" fillId="0" borderId="23" xfId="45" applyFont="1" applyBorder="1" applyAlignment="1">
      <alignment horizontal="center" vertical="top" wrapText="1"/>
    </xf>
    <xf numFmtId="0" fontId="22" fillId="0" borderId="12" xfId="45" applyFont="1" applyBorder="1" applyAlignment="1">
      <alignment horizontal="center" vertical="top" wrapText="1"/>
    </xf>
    <xf numFmtId="0" fontId="22" fillId="0" borderId="10" xfId="45" applyFont="1" applyBorder="1" applyAlignment="1">
      <alignment horizontal="center" vertical="top" wrapText="1"/>
    </xf>
    <xf numFmtId="0" fontId="22" fillId="33" borderId="12" xfId="45" applyFont="1" applyFill="1" applyBorder="1" applyAlignment="1">
      <alignment horizontal="left" vertical="top" wrapText="1"/>
    </xf>
    <xf numFmtId="0" fontId="22" fillId="33" borderId="10" xfId="45" applyFont="1" applyFill="1" applyBorder="1" applyAlignment="1">
      <alignment horizontal="left" vertical="top" wrapText="1"/>
    </xf>
    <xf numFmtId="0" fontId="25" fillId="33" borderId="12" xfId="45" applyFont="1" applyFill="1" applyBorder="1" applyAlignment="1">
      <alignment horizontal="left" vertical="top" wrapText="1"/>
    </xf>
    <xf numFmtId="0" fontId="25" fillId="33" borderId="10" xfId="45" applyFont="1" applyFill="1" applyBorder="1" applyAlignment="1">
      <alignment horizontal="left" vertical="top" wrapText="1"/>
    </xf>
    <xf numFmtId="0" fontId="22" fillId="0" borderId="18" xfId="45" applyFont="1" applyBorder="1" applyAlignment="1">
      <alignment horizontal="left" vertical="top" wrapText="1"/>
    </xf>
    <xf numFmtId="0" fontId="22" fillId="0" borderId="19" xfId="45" applyFont="1" applyBorder="1" applyAlignment="1">
      <alignment horizontal="left" vertical="top" wrapText="1"/>
    </xf>
    <xf numFmtId="0" fontId="22" fillId="0" borderId="30" xfId="45" applyFont="1" applyBorder="1" applyAlignment="1">
      <alignment horizontal="left" vertical="top" wrapText="1"/>
    </xf>
    <xf numFmtId="0" fontId="22" fillId="0" borderId="31" xfId="45" applyFont="1" applyBorder="1" applyAlignment="1">
      <alignment horizontal="left" vertical="top" wrapText="1"/>
    </xf>
    <xf numFmtId="0" fontId="22" fillId="0" borderId="32" xfId="45" applyFont="1" applyBorder="1" applyAlignment="1">
      <alignment horizontal="left" vertical="top" wrapText="1"/>
    </xf>
    <xf numFmtId="0" fontId="22" fillId="36" borderId="12" xfId="45" applyFont="1" applyFill="1" applyBorder="1" applyAlignment="1">
      <alignment horizontal="left" vertical="top" wrapText="1"/>
    </xf>
    <xf numFmtId="0" fontId="22" fillId="36" borderId="10" xfId="45" applyFont="1" applyFill="1" applyBorder="1" applyAlignment="1">
      <alignment horizontal="left" vertical="top" wrapText="1"/>
    </xf>
    <xf numFmtId="0" fontId="22" fillId="33" borderId="39" xfId="45" applyFont="1" applyFill="1" applyBorder="1" applyAlignment="1">
      <alignment horizontal="left" vertical="top" wrapText="1"/>
    </xf>
    <xf numFmtId="0" fontId="22" fillId="33" borderId="40" xfId="45" applyFont="1" applyFill="1" applyBorder="1" applyAlignment="1">
      <alignment horizontal="left" vertical="top" wrapText="1"/>
    </xf>
    <xf numFmtId="0" fontId="25" fillId="0" borderId="42" xfId="45" applyFont="1" applyBorder="1" applyAlignment="1">
      <alignment horizontal="left" vertical="top" wrapText="1"/>
    </xf>
    <xf numFmtId="0" fontId="25" fillId="0" borderId="43" xfId="45" applyFont="1" applyBorder="1" applyAlignment="1">
      <alignment horizontal="left" vertical="top" wrapText="1"/>
    </xf>
    <xf numFmtId="0" fontId="25" fillId="0" borderId="44" xfId="45" applyFont="1" applyBorder="1" applyAlignment="1">
      <alignment horizontal="left" vertical="top" wrapText="1"/>
    </xf>
    <xf numFmtId="0" fontId="18" fillId="0" borderId="0" xfId="48">
      <alignment horizontal="left" vertical="top"/>
    </xf>
    <xf numFmtId="0" fontId="18" fillId="0" borderId="52" xfId="48" applyBorder="1">
      <alignment horizontal="left" vertical="top"/>
    </xf>
    <xf numFmtId="0" fontId="18" fillId="0" borderId="0" xfId="48">
      <alignment horizontal="left" vertical="top"/>
    </xf>
    <xf numFmtId="0" fontId="56" fillId="0" borderId="0" xfId="48" applyFont="1">
      <alignment horizontal="left" vertical="top"/>
    </xf>
    <xf numFmtId="0" fontId="57" fillId="0" borderId="0" xfId="48" applyFont="1" applyAlignment="1">
      <alignment horizontal="left" vertical="center" wrapText="1"/>
    </xf>
    <xf numFmtId="0" fontId="58" fillId="0" borderId="0" xfId="48" applyFont="1" applyAlignment="1">
      <alignment horizontal="left" vertical="center" wrapText="1"/>
    </xf>
    <xf numFmtId="0" fontId="57" fillId="0" borderId="0" xfId="48" applyFont="1" applyAlignment="1">
      <alignment horizontal="left" vertical="center"/>
    </xf>
    <xf numFmtId="0" fontId="57" fillId="0" borderId="0" xfId="49" applyFont="1" applyAlignment="1">
      <alignment horizontal="left" vertical="center" wrapText="1"/>
    </xf>
    <xf numFmtId="0" fontId="58" fillId="0" borderId="0" xfId="48" applyFont="1">
      <alignment horizontal="left" vertical="top"/>
    </xf>
    <xf numFmtId="0" fontId="1" fillId="0" borderId="0" xfId="45"/>
    <xf numFmtId="0" fontId="57" fillId="0" borderId="0" xfId="48" applyFont="1" applyAlignment="1">
      <alignment vertical="top" wrapText="1"/>
    </xf>
    <xf numFmtId="0" fontId="60" fillId="0" borderId="0" xfId="50" applyFont="1" applyAlignment="1">
      <alignment horizontal="left" vertical="center" wrapText="1"/>
    </xf>
    <xf numFmtId="0" fontId="61" fillId="0" borderId="53" xfId="47" applyNumberFormat="1" applyFont="1" applyBorder="1" applyAlignment="1">
      <alignment vertical="top" wrapText="1"/>
    </xf>
    <xf numFmtId="0" fontId="60" fillId="0" borderId="52" xfId="50" applyFont="1" applyBorder="1" applyAlignment="1">
      <alignment horizontal="left" vertical="center" wrapText="1"/>
    </xf>
    <xf numFmtId="0" fontId="57" fillId="0" borderId="52" xfId="48" applyFont="1" applyBorder="1" applyAlignment="1">
      <alignment vertical="top" wrapText="1"/>
    </xf>
    <xf numFmtId="0" fontId="60" fillId="0" borderId="0" xfId="50" applyFont="1" applyAlignment="1">
      <alignment horizontal="left" vertical="center" wrapText="1"/>
    </xf>
    <xf numFmtId="0" fontId="57" fillId="0" borderId="53" xfId="50" applyFont="1" applyBorder="1" applyAlignment="1">
      <alignment horizontal="left" vertical="top" wrapText="1"/>
    </xf>
    <xf numFmtId="0" fontId="60" fillId="0" borderId="43" xfId="50" applyFont="1" applyBorder="1" applyAlignment="1">
      <alignment horizontal="left" vertical="center" wrapText="1"/>
    </xf>
    <xf numFmtId="0" fontId="56" fillId="0" borderId="0" xfId="48" applyFont="1" applyAlignment="1">
      <alignment horizontal="left" vertical="top" wrapText="1"/>
    </xf>
    <xf numFmtId="0" fontId="43" fillId="0" borderId="0" xfId="50" applyAlignment="1">
      <alignment horizontal="left" vertical="top" wrapText="1"/>
    </xf>
    <xf numFmtId="0" fontId="63" fillId="0" borderId="0" xfId="51" applyFont="1" applyAlignment="1">
      <alignment horizontal="left" vertical="center" wrapText="1"/>
    </xf>
    <xf numFmtId="0" fontId="63" fillId="0" borderId="43" xfId="51" applyFont="1" applyBorder="1" applyAlignment="1">
      <alignment horizontal="left" vertical="center" wrapText="1"/>
    </xf>
    <xf numFmtId="49" fontId="0" fillId="0" borderId="52" xfId="0" applyNumberFormat="1" applyBorder="1" applyAlignment="1">
      <alignment horizontal="left" vertical="top"/>
    </xf>
    <xf numFmtId="164" fontId="0" fillId="0" borderId="52" xfId="0" applyBorder="1" applyAlignment="1">
      <alignment horizontal="left" vertical="top"/>
    </xf>
    <xf numFmtId="164" fontId="0" fillId="0" borderId="52" xfId="0" applyBorder="1"/>
    <xf numFmtId="164" fontId="0" fillId="0" borderId="53" xfId="0" applyBorder="1" applyAlignment="1">
      <alignment horizontal="left" vertical="top"/>
    </xf>
    <xf numFmtId="164" fontId="0" fillId="0" borderId="53" xfId="0" applyBorder="1"/>
    <xf numFmtId="164" fontId="0" fillId="0" borderId="52" xfId="0" applyBorder="1" applyAlignment="1">
      <alignment vertical="center"/>
    </xf>
    <xf numFmtId="164" fontId="0" fillId="0" borderId="48" xfId="0" applyBorder="1"/>
    <xf numFmtId="164" fontId="0" fillId="0" borderId="54" xfId="0" applyBorder="1"/>
    <xf numFmtId="164" fontId="0" fillId="0" borderId="55" xfId="0" applyBorder="1"/>
    <xf numFmtId="49" fontId="0" fillId="0" borderId="24" xfId="0" applyNumberFormat="1" applyBorder="1" applyAlignment="1">
      <alignment horizontal="left" vertical="top"/>
    </xf>
    <xf numFmtId="49" fontId="0" fillId="0" borderId="25" xfId="0" applyNumberFormat="1" applyBorder="1"/>
    <xf numFmtId="164" fontId="0" fillId="0" borderId="25" xfId="0" applyBorder="1"/>
    <xf numFmtId="164" fontId="0" fillId="0" borderId="34" xfId="0" applyBorder="1"/>
    <xf numFmtId="164" fontId="0" fillId="0" borderId="56" xfId="0" applyBorder="1"/>
    <xf numFmtId="49" fontId="16" fillId="0" borderId="11" xfId="0" applyNumberFormat="1" applyFont="1" applyBorder="1" applyAlignment="1">
      <alignment horizontal="left" vertical="top"/>
    </xf>
    <xf numFmtId="49" fontId="0" fillId="0" borderId="12" xfId="0" applyNumberFormat="1" applyBorder="1" applyAlignment="1">
      <alignment horizontal="left" vertical="top"/>
    </xf>
  </cellXfs>
  <cellStyles count="5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    Body text" xfId="49" xr:uid="{35F6CCD0-E58E-4699-8A4A-4CA6DFA7ACC0}"/>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1   Heading 1st Level" xfId="51" xr:uid="{CB07CFD6-6DCC-48BE-B9B2-058C05CD3E29}"/>
    <cellStyle name="H2   Heading 2nd Level" xfId="50" xr:uid="{247290BC-2536-4A01-82EA-3C474D7C3528}"/>
    <cellStyle name="Heading 1" xfId="2" builtinId="16" customBuiltin="1"/>
    <cellStyle name="Heading 2" xfId="3" builtinId="17" customBuiltin="1"/>
    <cellStyle name="Heading 3" xfId="4" builtinId="18" customBuiltin="1"/>
    <cellStyle name="Heading 4" xfId="5" builtinId="19" customBuiltin="1"/>
    <cellStyle name="Hyperlink" xfId="47" builtinId="8"/>
    <cellStyle name="Hyperlink 2" xfId="46" xr:uid="{8DA465B9-AD70-4F94-B2E6-709C0FFB8921}"/>
    <cellStyle name="Input" xfId="9" builtinId="20" customBuiltin="1"/>
    <cellStyle name="Linked Cell" xfId="12" builtinId="24" customBuiltin="1"/>
    <cellStyle name="Neutral" xfId="8" builtinId="28" customBuiltin="1"/>
    <cellStyle name="Normal" xfId="0" builtinId="0"/>
    <cellStyle name="Normal 2" xfId="44" xr:uid="{00000000-0005-0000-0000-000025000000}"/>
    <cellStyle name="Normal 2 2" xfId="48" xr:uid="{F8F2BD37-3347-4BFA-ACA7-80E84ADAC895}"/>
    <cellStyle name="Normal 3" xfId="42" xr:uid="{00000000-0005-0000-0000-000026000000}"/>
    <cellStyle name="Normal 3 2" xfId="43" xr:uid="{00000000-0005-0000-0000-000027000000}"/>
    <cellStyle name="Normal 4" xfId="45" xr:uid="{471C10C9-6FEE-4350-BAB3-7B2B8E7016EC}"/>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1066800</xdr:colOff>
      <xdr:row>17</xdr:row>
      <xdr:rowOff>233083</xdr:rowOff>
    </xdr:from>
    <xdr:to>
      <xdr:col>7</xdr:col>
      <xdr:colOff>1081207</xdr:colOff>
      <xdr:row>17</xdr:row>
      <xdr:rowOff>1874582</xdr:rowOff>
    </xdr:to>
    <xdr:pic>
      <xdr:nvPicPr>
        <xdr:cNvPr id="2" name="Picture 1">
          <a:extLst>
            <a:ext uri="{FF2B5EF4-FFF2-40B4-BE49-F238E27FC236}">
              <a16:creationId xmlns:a16="http://schemas.microsoft.com/office/drawing/2014/main" id="{71BFBCF2-A149-4EE4-A602-DCFE6CDE8929}"/>
            </a:ext>
          </a:extLst>
        </xdr:cNvPr>
        <xdr:cNvPicPr>
          <a:picLocks noChangeAspect="1"/>
        </xdr:cNvPicPr>
      </xdr:nvPicPr>
      <xdr:blipFill>
        <a:blip xmlns:r="http://schemas.openxmlformats.org/officeDocument/2006/relationships" r:embed="rId1"/>
        <a:stretch>
          <a:fillRect/>
        </a:stretch>
      </xdr:blipFill>
      <xdr:spPr>
        <a:xfrm>
          <a:off x="628650" y="3254413"/>
          <a:ext cx="4399717" cy="3199"/>
        </a:xfrm>
        <a:prstGeom prst="rect">
          <a:avLst/>
        </a:prstGeom>
      </xdr:spPr>
    </xdr:pic>
    <xdr:clientData/>
  </xdr:twoCellAnchor>
  <xdr:oneCellAnchor>
    <xdr:from>
      <xdr:col>7</xdr:col>
      <xdr:colOff>1456267</xdr:colOff>
      <xdr:row>0</xdr:row>
      <xdr:rowOff>0</xdr:rowOff>
    </xdr:from>
    <xdr:ext cx="1934097" cy="619673"/>
    <xdr:pic>
      <xdr:nvPicPr>
        <xdr:cNvPr id="3" name="Picture 2">
          <a:extLst>
            <a:ext uri="{FF2B5EF4-FFF2-40B4-BE49-F238E27FC236}">
              <a16:creationId xmlns:a16="http://schemas.microsoft.com/office/drawing/2014/main" id="{5F0D59AF-56EE-4225-9C9E-1C1B36F89525}"/>
            </a:ext>
            <a:ext uri="{147F2762-F138-4A5C-976F-8EAC2B608ADB}">
              <a16:predDERef xmlns:a16="http://schemas.microsoft.com/office/drawing/2014/main" pred="{C6AF8A70-1185-4511-946F-A3F681661A90}"/>
            </a:ext>
          </a:extLst>
        </xdr:cNvPr>
        <xdr:cNvPicPr>
          <a:picLocks noChangeAspect="1"/>
        </xdr:cNvPicPr>
      </xdr:nvPicPr>
      <xdr:blipFill>
        <a:blip xmlns:r="http://schemas.openxmlformats.org/officeDocument/2006/relationships" r:embed="rId2"/>
        <a:stretch>
          <a:fillRect/>
        </a:stretch>
      </xdr:blipFill>
      <xdr:spPr>
        <a:xfrm>
          <a:off x="5030047" y="0"/>
          <a:ext cx="1934097" cy="619673"/>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boldtr/Desktop/KB%20to%20LitLib/1756-RM087P-EN-P%20-%201768%20CompactLogix_Compact%20GuardLogix.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198-RD002A-EN-P_08_20_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tion"/>
      <sheetName val="Design Considerations"/>
      <sheetName val="Ladder Instructions"/>
      <sheetName val="GSV SSV Attributes"/>
      <sheetName val="Function Block Diagrams"/>
      <sheetName val="SFC"/>
      <sheetName val="Structured Text"/>
      <sheetName val="Motion Planner"/>
      <sheetName val="Conversions"/>
      <sheetName val="Sheet1"/>
    </sheetNames>
    <sheetDataSet>
      <sheetData sheetId="0" refreshError="1"/>
      <sheetData sheetId="1" refreshError="1"/>
      <sheetData sheetId="2"/>
      <sheetData sheetId="3" refreshError="1"/>
      <sheetData sheetId="4" refreshError="1"/>
      <sheetData sheetId="5"/>
      <sheetData sheetId="6"/>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tion"/>
      <sheetName val="Summary of Changes"/>
      <sheetName val="1 - Motor"/>
      <sheetName val="2 - Drive"/>
      <sheetName val="3 - General"/>
      <sheetName val="4 - Status Monitor"/>
      <sheetName val="5 - Control"/>
      <sheetName val="6 - IO"/>
      <sheetName val="7 - Communication"/>
      <sheetName val="8 - Diagnosis"/>
      <sheetName val="9 - Motion"/>
      <sheetName val="Sheet1"/>
      <sheetName val="Detailed Defini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persons/person.xml><?xml version="1.0" encoding="utf-8"?>
<personList xmlns="http://schemas.microsoft.com/office/spreadsheetml/2018/threadedcomments" xmlns:x="http://schemas.openxmlformats.org/spreadsheetml/2006/main">
  <person displayName="David Brod" id="{3D9AD1E3-F06E-44F4-958C-11D7058D449D}" userId="S::dmbrod@rockwellautomation.com::cd8f1dc9-1d53-4975-bb2e-03518080148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33" dT="2021-06-22T16:39:27.82" personId="{3D9AD1E3-F06E-44F4-958C-11D7058D449D}" id="{2A882960-D910-48DD-8F1C-28729AD88B6E}">
    <text>Changed comment.</text>
  </threadedComment>
  <threadedComment ref="B69" dT="2021-06-22T16:39:53.56" personId="{3D9AD1E3-F06E-44F4-958C-11D7058D449D}" id="{088A4C10-CCD3-4411-B657-FFCA0A78B272}">
    <text>Could not find in KNX5100C.</text>
  </threadedComment>
</ThreadedComments>
</file>

<file path=xl/threadedComments/threadedComment2.xml><?xml version="1.0" encoding="utf-8"?>
<ThreadedComments xmlns="http://schemas.microsoft.com/office/spreadsheetml/2018/threadedcomments" xmlns:x="http://schemas.openxmlformats.org/spreadsheetml/2006/main">
  <threadedComment ref="J58" dT="2021-06-22T16:38:04.87" personId="{3D9AD1E3-F06E-44F4-958C-11D7058D449D}" id="{957AC92C-7DA8-445C-838F-CB0C16EE7BBB}">
    <text>Remove "Reserved for future release"?</text>
  </threadedComment>
  <threadedComment ref="J59" dT="2021-06-22T16:38:08.95" personId="{3D9AD1E3-F06E-44F4-958C-11D7058D449D}" id="{82F9BDE7-FEA3-4231-9FF4-FDE7D1B9EE93}">
    <text>Remove "Reserved for future release"?</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iterature.rockwellautomation.com/idc/groups/literature/documents/um/2198-um004_-en-p.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3.bin"/><Relationship Id="rId1" Type="http://schemas.openxmlformats.org/officeDocument/2006/relationships/hyperlink" Target="https://literature.rockwellautomation.com/idc/groups/literature/documents/um/2198-um004_-en-p.pdf"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literature.rockwellautomation.com/idc/groups/literature/documents/um/2198-um004_-en-p.pdf"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literature.rockwellautomation.com/idc/groups/literature/documents/um/2198-um004_-en-p.pdf"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literature.rockwellautomation.com/idc/groups/literature/documents/um/2198-um004_-en-p.pdf" TargetMode="Externa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7.bin"/><Relationship Id="rId1" Type="http://schemas.openxmlformats.org/officeDocument/2006/relationships/hyperlink" Target="https://literature.rockwellautomation.com/idc/groups/literature/documents/um/2198-um004_-en-p.pdf" TargetMode="Externa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literature.rockwellautomation.com/idc/groups/literature/documents/um/2198-um004_-en-p.pdf"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literature.rockwellautomation.com/idc/groups/literature/documents/um/2198-um004_-en-p.pdf"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literature.rockwellautomation.com/idc/groups/literature/documents/um/2198-um004_-en-p.pdf"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literature.rockwellautomation.com/idc/groups/literature/documents/um/2198-um004_-en-p.pdf" TargetMode="External"/></Relationships>
</file>

<file path=xl/worksheets/_rels/sheet12.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literature.rockwellautomation.com/idc/groups/literature/documents/um/2198-um004_-en-p.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99A4C-198E-4449-9F5F-81379F6C64EA}">
  <sheetPr>
    <pageSetUpPr fitToPage="1"/>
  </sheetPr>
  <dimension ref="A1:I25"/>
  <sheetViews>
    <sheetView showGridLines="0" tabSelected="1" showRuler="0" view="pageLayout" zoomScale="90" zoomScaleNormal="70" zoomScalePageLayoutView="90" workbookViewId="0">
      <selection sqref="A1:I1"/>
    </sheetView>
  </sheetViews>
  <sheetFormatPr defaultColWidth="8.88671875" defaultRowHeight="13.2" x14ac:dyDescent="0.3"/>
  <cols>
    <col min="1" max="1" width="28" style="258" customWidth="1"/>
    <col min="2" max="3" width="15.6640625" style="258" customWidth="1"/>
    <col min="4" max="4" width="33.88671875" style="258" customWidth="1"/>
    <col min="5" max="5" width="30.6640625" style="258" customWidth="1"/>
    <col min="6" max="7" width="15.6640625" style="258" customWidth="1"/>
    <col min="8" max="8" width="20.6640625" style="258" customWidth="1"/>
    <col min="9" max="9" width="26.6640625" style="258" customWidth="1"/>
    <col min="10" max="16384" width="8.88671875" style="258"/>
  </cols>
  <sheetData>
    <row r="1" spans="1:9" ht="45" customHeight="1" x14ac:dyDescent="0.3">
      <c r="A1" s="279" t="s">
        <v>4413</v>
      </c>
      <c r="B1" s="279"/>
      <c r="C1" s="279"/>
      <c r="D1" s="279"/>
      <c r="E1" s="279"/>
      <c r="F1" s="279"/>
      <c r="G1" s="279"/>
      <c r="H1" s="279"/>
      <c r="I1" s="279"/>
    </row>
    <row r="2" spans="1:9" ht="20.100000000000001" customHeight="1" x14ac:dyDescent="0.3">
      <c r="A2" s="278"/>
      <c r="B2" s="278"/>
      <c r="C2" s="278"/>
    </row>
    <row r="3" spans="1:9" ht="15" x14ac:dyDescent="0.3">
      <c r="A3" s="277"/>
      <c r="B3" s="276"/>
      <c r="D3" s="276"/>
      <c r="E3" s="276"/>
      <c r="F3" s="276"/>
      <c r="G3" s="276"/>
      <c r="H3" s="276"/>
      <c r="I3" s="276"/>
    </row>
    <row r="4" spans="1:9" ht="27.6" customHeight="1" x14ac:dyDescent="0.3">
      <c r="A4" s="275" t="s">
        <v>4412</v>
      </c>
      <c r="B4" s="274" t="s">
        <v>4411</v>
      </c>
      <c r="C4" s="274"/>
      <c r="D4" s="274"/>
      <c r="E4" s="274"/>
      <c r="F4" s="274"/>
      <c r="G4" s="274"/>
      <c r="H4" s="274"/>
      <c r="I4" s="274"/>
    </row>
    <row r="5" spans="1:9" ht="28.2" customHeight="1" x14ac:dyDescent="0.3">
      <c r="A5" s="273"/>
      <c r="B5" s="272" t="s">
        <v>4410</v>
      </c>
      <c r="C5" s="272"/>
      <c r="D5" s="272"/>
      <c r="E5" s="272"/>
      <c r="F5" s="272"/>
      <c r="G5" s="272"/>
      <c r="H5" s="272"/>
      <c r="I5" s="272"/>
    </row>
    <row r="6" spans="1:9" ht="27.6" customHeight="1" x14ac:dyDescent="0.3">
      <c r="A6" s="271"/>
      <c r="B6" s="270" t="s">
        <v>4409</v>
      </c>
      <c r="C6" s="270"/>
      <c r="D6" s="270"/>
      <c r="E6" s="270"/>
      <c r="F6" s="270"/>
      <c r="G6" s="270"/>
      <c r="H6" s="270"/>
      <c r="I6" s="270"/>
    </row>
    <row r="7" spans="1:9" ht="19.5" customHeight="1" x14ac:dyDescent="0.3">
      <c r="A7" s="269"/>
      <c r="B7" s="268"/>
      <c r="C7" s="268"/>
      <c r="D7" s="268"/>
      <c r="E7" s="268"/>
      <c r="F7" s="268"/>
      <c r="G7" s="268"/>
      <c r="H7" s="268"/>
      <c r="I7" s="268"/>
    </row>
    <row r="8" spans="1:9" ht="18" customHeight="1" x14ac:dyDescent="0.3">
      <c r="A8" s="267" t="s">
        <v>4408</v>
      </c>
      <c r="B8" s="260"/>
      <c r="C8" s="260"/>
      <c r="D8" s="260"/>
      <c r="E8" s="260"/>
      <c r="F8" s="260"/>
      <c r="G8" s="260"/>
      <c r="H8" s="260"/>
      <c r="I8" s="260"/>
    </row>
    <row r="10" spans="1:9" ht="13.8" x14ac:dyDescent="0.3">
      <c r="A10" s="266" t="s">
        <v>4407</v>
      </c>
      <c r="B10" s="260"/>
      <c r="C10" s="260"/>
      <c r="D10" s="260"/>
      <c r="E10" s="260"/>
      <c r="F10" s="260"/>
      <c r="G10" s="260"/>
      <c r="H10" s="260"/>
      <c r="I10" s="260"/>
    </row>
    <row r="11" spans="1:9" ht="17.399999999999999" x14ac:dyDescent="0.3">
      <c r="A11" s="265"/>
      <c r="B11" s="264"/>
      <c r="C11" s="264"/>
    </row>
    <row r="12" spans="1:9" ht="56.25" customHeight="1" x14ac:dyDescent="0.3">
      <c r="A12" s="263" t="s">
        <v>4406</v>
      </c>
      <c r="B12" s="262"/>
      <c r="C12" s="262"/>
      <c r="D12" s="262"/>
      <c r="E12" s="262"/>
      <c r="F12" s="262"/>
      <c r="G12" s="262"/>
      <c r="H12" s="262"/>
      <c r="I12" s="262"/>
    </row>
    <row r="13" spans="1:9" ht="15" x14ac:dyDescent="0.3">
      <c r="A13" s="261"/>
    </row>
    <row r="18" spans="1:9" ht="180" customHeight="1" x14ac:dyDescent="0.3">
      <c r="A18" s="260"/>
      <c r="B18" s="260"/>
      <c r="C18" s="260"/>
      <c r="D18" s="260"/>
      <c r="E18" s="260"/>
      <c r="F18" s="260"/>
      <c r="G18" s="260"/>
      <c r="H18" s="260"/>
      <c r="I18" s="260"/>
    </row>
    <row r="25" spans="1:9" x14ac:dyDescent="0.3">
      <c r="A25" s="259"/>
      <c r="B25" s="259"/>
      <c r="C25" s="259"/>
      <c r="D25" s="259"/>
      <c r="E25" s="259"/>
      <c r="F25" s="259"/>
      <c r="G25" s="259"/>
      <c r="H25" s="259"/>
      <c r="I25" s="259"/>
    </row>
  </sheetData>
  <mergeCells count="9">
    <mergeCell ref="A10:I10"/>
    <mergeCell ref="A12:I12"/>
    <mergeCell ref="A18:I18"/>
    <mergeCell ref="A1:I1"/>
    <mergeCell ref="A4:A6"/>
    <mergeCell ref="B4:I4"/>
    <mergeCell ref="B5:I5"/>
    <mergeCell ref="B6:I6"/>
    <mergeCell ref="A8:I8"/>
  </mergeCells>
  <hyperlinks>
    <hyperlink ref="B6:I6" r:id="rId1" display="2198-UM004" xr:uid="{632C5D44-8876-4B58-9A26-6B16A911C71E}"/>
  </hyperlinks>
  <pageMargins left="0.25" right="0.25" top="0.75" bottom="0.75" header="0.3" footer="0.3"/>
  <pageSetup paperSize="3" scale="99" orientation="landscape" r:id="rId2"/>
  <headerFooter scaleWithDoc="0" alignWithMargins="0">
    <oddHeader>&amp;R2198-RD002A-EN-P</oddHeader>
    <oddFooter>&amp;L2198-RD002A-EN-P - August 2021
&amp;RCopyright © 2021 Rockwell Automation Inc. All Rights Reserved. Printed in USA.</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29045-8F95-42C7-9A33-592AFC27B766}">
  <sheetPr>
    <pageSetUpPr fitToPage="1"/>
  </sheetPr>
  <dimension ref="A1:O28"/>
  <sheetViews>
    <sheetView topLeftCell="B10" workbookViewId="0">
      <selection activeCell="N26" sqref="N26"/>
    </sheetView>
  </sheetViews>
  <sheetFormatPr defaultRowHeight="14.4" x14ac:dyDescent="0.3"/>
  <cols>
    <col min="1" max="1" width="21.33203125" customWidth="1"/>
  </cols>
  <sheetData>
    <row r="1" spans="1:15" x14ac:dyDescent="0.3">
      <c r="A1" s="223" t="s">
        <v>0</v>
      </c>
      <c r="B1" s="223"/>
    </row>
    <row r="2" spans="1:15" x14ac:dyDescent="0.3">
      <c r="A2" s="280"/>
      <c r="B2" s="281"/>
      <c r="C2" s="282"/>
      <c r="D2" s="282"/>
      <c r="E2" s="282"/>
      <c r="F2" s="282"/>
      <c r="G2" s="282"/>
      <c r="H2" s="282"/>
      <c r="I2" s="282"/>
      <c r="J2" s="282"/>
      <c r="K2" s="282"/>
      <c r="L2" s="282"/>
      <c r="M2" s="282"/>
      <c r="N2" s="282"/>
      <c r="O2" s="282"/>
    </row>
    <row r="3" spans="1:15" x14ac:dyDescent="0.3">
      <c r="A3" s="294" t="s">
        <v>1</v>
      </c>
      <c r="B3" s="211" t="s">
        <v>2</v>
      </c>
      <c r="O3" s="293"/>
    </row>
    <row r="4" spans="1:15" x14ac:dyDescent="0.3">
      <c r="A4" s="295"/>
      <c r="B4" s="281"/>
      <c r="C4" s="282"/>
      <c r="D4" s="282"/>
      <c r="E4" s="282"/>
      <c r="F4" s="282"/>
      <c r="G4" s="282"/>
      <c r="H4" s="282"/>
      <c r="I4" s="282"/>
      <c r="J4" s="282"/>
      <c r="K4" s="282"/>
      <c r="L4" s="282"/>
      <c r="M4" s="282"/>
      <c r="N4" s="282"/>
      <c r="O4" s="288"/>
    </row>
    <row r="5" spans="1:15" x14ac:dyDescent="0.3">
      <c r="A5" s="289" t="s">
        <v>3</v>
      </c>
      <c r="B5" s="283" t="s">
        <v>4</v>
      </c>
      <c r="C5" s="284"/>
      <c r="D5" s="284"/>
      <c r="E5" s="284"/>
      <c r="F5" s="284"/>
      <c r="G5" s="284"/>
      <c r="H5" s="284"/>
      <c r="I5" s="284"/>
      <c r="J5" s="284"/>
      <c r="K5" s="284"/>
      <c r="L5" s="284"/>
      <c r="M5" s="284"/>
      <c r="N5" s="284"/>
      <c r="O5" s="286"/>
    </row>
    <row r="6" spans="1:15" x14ac:dyDescent="0.3">
      <c r="A6" s="290" t="s">
        <v>5</v>
      </c>
      <c r="B6" s="104" t="s">
        <v>6</v>
      </c>
      <c r="O6" s="287"/>
    </row>
    <row r="7" spans="1:15" x14ac:dyDescent="0.3">
      <c r="A7" s="291"/>
      <c r="B7" s="104" t="s">
        <v>7</v>
      </c>
      <c r="O7" s="287"/>
    </row>
    <row r="8" spans="1:15" x14ac:dyDescent="0.3">
      <c r="A8" s="291"/>
      <c r="B8" s="104" t="s">
        <v>8</v>
      </c>
      <c r="O8" s="287"/>
    </row>
    <row r="9" spans="1:15" x14ac:dyDescent="0.3">
      <c r="A9" s="291"/>
      <c r="B9" s="104" t="s">
        <v>9</v>
      </c>
      <c r="O9" s="287"/>
    </row>
    <row r="10" spans="1:15" x14ac:dyDescent="0.3">
      <c r="A10" s="291"/>
      <c r="B10" s="104" t="s">
        <v>10</v>
      </c>
      <c r="O10" s="287"/>
    </row>
    <row r="11" spans="1:15" x14ac:dyDescent="0.3">
      <c r="A11" s="291"/>
      <c r="B11" s="104" t="s">
        <v>11</v>
      </c>
      <c r="O11" s="287"/>
    </row>
    <row r="12" spans="1:15" x14ac:dyDescent="0.3">
      <c r="A12" s="291"/>
      <c r="B12" s="104" t="s">
        <v>12</v>
      </c>
      <c r="O12" s="287"/>
    </row>
    <row r="13" spans="1:15" x14ac:dyDescent="0.3">
      <c r="A13" s="291"/>
      <c r="B13" s="104" t="s">
        <v>13</v>
      </c>
      <c r="O13" s="287"/>
    </row>
    <row r="14" spans="1:15" x14ac:dyDescent="0.3">
      <c r="A14" s="291"/>
      <c r="B14" s="104" t="s">
        <v>14</v>
      </c>
      <c r="O14" s="287"/>
    </row>
    <row r="15" spans="1:15" x14ac:dyDescent="0.3">
      <c r="A15" s="291"/>
      <c r="B15" s="104" t="s">
        <v>15</v>
      </c>
      <c r="O15" s="287"/>
    </row>
    <row r="16" spans="1:15" x14ac:dyDescent="0.3">
      <c r="A16" s="291"/>
      <c r="B16" s="104" t="s">
        <v>16</v>
      </c>
      <c r="O16" s="287"/>
    </row>
    <row r="17" spans="1:15" x14ac:dyDescent="0.3">
      <c r="A17" s="291"/>
      <c r="B17" s="104" t="s">
        <v>17</v>
      </c>
      <c r="O17" s="287"/>
    </row>
    <row r="18" spans="1:15" x14ac:dyDescent="0.3">
      <c r="A18" s="291"/>
      <c r="B18" s="104" t="s">
        <v>18</v>
      </c>
      <c r="O18" s="287"/>
    </row>
    <row r="19" spans="1:15" x14ac:dyDescent="0.3">
      <c r="A19" s="291"/>
      <c r="B19" s="104" t="s">
        <v>19</v>
      </c>
      <c r="O19" s="287"/>
    </row>
    <row r="20" spans="1:15" x14ac:dyDescent="0.3">
      <c r="A20" s="291"/>
      <c r="B20" s="104" t="s">
        <v>20</v>
      </c>
      <c r="O20" s="287"/>
    </row>
    <row r="21" spans="1:15" x14ac:dyDescent="0.3">
      <c r="A21" s="291"/>
      <c r="B21" s="104" t="s">
        <v>21</v>
      </c>
      <c r="O21" s="287"/>
    </row>
    <row r="22" spans="1:15" x14ac:dyDescent="0.3">
      <c r="A22" s="291"/>
      <c r="B22" s="104" t="s">
        <v>22</v>
      </c>
      <c r="O22" s="287"/>
    </row>
    <row r="23" spans="1:15" x14ac:dyDescent="0.3">
      <c r="A23" s="291"/>
      <c r="B23" s="104" t="s">
        <v>23</v>
      </c>
      <c r="O23" s="287"/>
    </row>
    <row r="24" spans="1:15" x14ac:dyDescent="0.3">
      <c r="A24" s="292"/>
      <c r="B24" s="285" t="s">
        <v>24</v>
      </c>
      <c r="C24" s="282"/>
      <c r="D24" s="282"/>
      <c r="E24" s="282"/>
      <c r="F24" s="282"/>
      <c r="G24" s="282"/>
      <c r="H24" s="282"/>
      <c r="I24" s="282"/>
      <c r="J24" s="282"/>
      <c r="K24" s="282"/>
      <c r="L24" s="282"/>
      <c r="M24" s="282"/>
      <c r="N24" s="282"/>
      <c r="O24" s="288"/>
    </row>
    <row r="25" spans="1:15" x14ac:dyDescent="0.3">
      <c r="A25" s="290" t="s">
        <v>25</v>
      </c>
      <c r="B25" s="104" t="s">
        <v>26</v>
      </c>
      <c r="O25" s="287"/>
    </row>
    <row r="26" spans="1:15" x14ac:dyDescent="0.3">
      <c r="A26" s="291"/>
      <c r="B26" s="104" t="s">
        <v>27</v>
      </c>
      <c r="O26" s="287"/>
    </row>
    <row r="27" spans="1:15" x14ac:dyDescent="0.3">
      <c r="A27" s="291"/>
      <c r="B27" s="104" t="s">
        <v>28</v>
      </c>
      <c r="O27" s="287"/>
    </row>
    <row r="28" spans="1:15" x14ac:dyDescent="0.3">
      <c r="A28" s="292"/>
      <c r="B28" s="282" t="s">
        <v>4414</v>
      </c>
      <c r="C28" s="282"/>
      <c r="D28" s="282"/>
      <c r="E28" s="282"/>
      <c r="F28" s="282"/>
      <c r="G28" s="282"/>
      <c r="H28" s="282"/>
      <c r="I28" s="282"/>
      <c r="J28" s="282"/>
      <c r="K28" s="282"/>
      <c r="L28" s="282"/>
      <c r="M28" s="282"/>
      <c r="N28" s="282"/>
      <c r="O28" s="288"/>
    </row>
  </sheetData>
  <mergeCells count="1">
    <mergeCell ref="A1:B1"/>
  </mergeCells>
  <pageMargins left="0.7" right="0.7" top="0.75" bottom="0.75" header="0.3" footer="0.3"/>
  <pageSetup scale="67" fitToHeight="0" orientation="portrait" horizontalDpi="1200" verticalDpi="12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02405-101A-4F97-9AC1-3D7C3E9837D1}">
  <sheetPr>
    <pageSetUpPr fitToPage="1"/>
  </sheetPr>
  <dimension ref="A1:P69"/>
  <sheetViews>
    <sheetView zoomScaleNormal="100" workbookViewId="0">
      <pane xSplit="2" ySplit="4" topLeftCell="C5" activePane="bottomRight" state="frozen"/>
      <selection pane="topRight" activeCell="C1" sqref="C1"/>
      <selection pane="bottomLeft" activeCell="A5" sqref="A5"/>
      <selection pane="bottomRight" activeCell="J69" sqref="J69"/>
    </sheetView>
  </sheetViews>
  <sheetFormatPr defaultColWidth="9.109375" defaultRowHeight="13.95" customHeight="1" x14ac:dyDescent="0.3"/>
  <cols>
    <col min="1" max="1" width="5.6640625" style="144" customWidth="1"/>
    <col min="2" max="2" width="30.6640625" style="144" customWidth="1"/>
    <col min="3" max="3" width="9.109375" style="144"/>
    <col min="4" max="4" width="11.33203125" style="143" customWidth="1"/>
    <col min="5" max="5" width="11.88671875" style="143" customWidth="1"/>
    <col min="6" max="7" width="14.6640625" style="143" customWidth="1"/>
    <col min="8" max="8" width="16.6640625" style="143" bestFit="1" customWidth="1"/>
    <col min="9" max="9" width="12" style="144" bestFit="1" customWidth="1"/>
    <col min="10" max="10" width="51.5546875" style="145" customWidth="1"/>
    <col min="11" max="11" width="10.6640625" style="145" customWidth="1"/>
    <col min="12" max="15" width="10.6640625" style="15" customWidth="1"/>
    <col min="16" max="16" width="10.6640625" style="144" customWidth="1"/>
    <col min="17" max="16384" width="9.109375" style="144"/>
  </cols>
  <sheetData>
    <row r="1" spans="1:16" ht="28.2" customHeight="1" x14ac:dyDescent="0.3">
      <c r="A1" s="224" t="s">
        <v>29</v>
      </c>
      <c r="B1" s="224"/>
    </row>
    <row r="2" spans="1:16" ht="28.95" customHeight="1" x14ac:dyDescent="0.3">
      <c r="A2" s="225" t="s">
        <v>30</v>
      </c>
      <c r="B2" s="225"/>
    </row>
    <row r="3" spans="1:16" ht="14.4" x14ac:dyDescent="0.3"/>
    <row r="4" spans="1:16" s="5" customFormat="1" ht="20.399999999999999" x14ac:dyDescent="0.3">
      <c r="A4" s="4" t="s">
        <v>31</v>
      </c>
      <c r="B4" s="4" t="s">
        <v>32</v>
      </c>
      <c r="C4" s="4" t="s">
        <v>33</v>
      </c>
      <c r="D4" s="4" t="s">
        <v>34</v>
      </c>
      <c r="E4" s="4" t="s">
        <v>35</v>
      </c>
      <c r="F4" s="4" t="s">
        <v>36</v>
      </c>
      <c r="G4" s="4" t="s">
        <v>37</v>
      </c>
      <c r="H4" s="4" t="s">
        <v>38</v>
      </c>
      <c r="I4" s="4" t="s">
        <v>39</v>
      </c>
      <c r="J4" s="4" t="s">
        <v>40</v>
      </c>
      <c r="K4" s="4" t="s">
        <v>41</v>
      </c>
      <c r="L4" s="4" t="s">
        <v>42</v>
      </c>
      <c r="M4" s="4" t="s">
        <v>43</v>
      </c>
      <c r="N4" s="4" t="s">
        <v>44</v>
      </c>
      <c r="O4" s="4" t="s">
        <v>45</v>
      </c>
      <c r="P4" s="4" t="s">
        <v>46</v>
      </c>
    </row>
    <row r="5" spans="1:16" ht="72" customHeight="1" x14ac:dyDescent="0.3">
      <c r="A5" s="9">
        <v>1</v>
      </c>
      <c r="B5" s="9" t="str">
        <f>IF(VLOOKUP($A5,Sheet1!$A$3:$AW$699,20,FALSE)="","",VLOOKUP($A5,Sheet1!$A$3:$AW$699,20,FALSE))</f>
        <v>MotorType</v>
      </c>
      <c r="C5" s="9" t="str">
        <f>IF(VLOOKUP($A5,Sheet1!$A$3:$AW$699,25,FALSE)="","",VLOOKUP($A5,Sheet1!$A$3:$AW$699,25,FALSE))</f>
        <v>All</v>
      </c>
      <c r="D5" s="142">
        <f>IF(VLOOKUP($A5,Sheet1!$A$3:$AW$699,15,FALSE)="","",VLOOKUP($A5,Sheet1!$A$3:$AW$699,15,FALSE))</f>
        <v>0</v>
      </c>
      <c r="E5" s="142">
        <f>IF(VLOOKUP($A5,Sheet1!$A$3:$AW$699,16,FALSE)="","",VLOOKUP($A5,Sheet1!$A$3:$AW$699,16,FALSE))</f>
        <v>3</v>
      </c>
      <c r="F5" s="142">
        <f>IF(VLOOKUP($A5,Sheet1!$A$3:$AW$699,17,FALSE)="","",VLOOKUP($A5,Sheet1!$A$3:$AW$699,17,FALSE))</f>
        <v>0</v>
      </c>
      <c r="G5" s="142" t="str">
        <f>IF(VLOOKUP($A5,Sheet1!$A$3:$AW$699,18,FALSE)="","",VLOOKUP($A5,Sheet1!$A$3:$AW$699,18,FALSE))</f>
        <v/>
      </c>
      <c r="H5" s="142" t="str">
        <f>IF(VLOOKUP($A5,Sheet1!$A$3:$AW$699,19,FALSE)="","",VLOOKUP($A5,Sheet1!$A$3:$AW$699,19,FALSE))</f>
        <v/>
      </c>
      <c r="I5" s="9" t="str">
        <f>IF(VLOOKUP($A5,Sheet1!$A$3:$AW$699,5,FALSE)="","",VLOOKUP($A5,Sheet1!$A$3:$AW$699,5,FALSE))</f>
        <v>USINT</v>
      </c>
      <c r="J5" s="153" t="s">
        <v>47</v>
      </c>
      <c r="K5" s="7" t="s">
        <v>48</v>
      </c>
      <c r="L5" s="146" t="str">
        <f>IF(VLOOKUP($A5,Sheet1!$A$3:$AW$699,7,FALSE)="★","x","")</f>
        <v/>
      </c>
      <c r="M5" s="146" t="str">
        <f>IF(VLOOKUP($A5,Sheet1!$A$3:$AW$699,8,FALSE)="▲","x","")</f>
        <v>x</v>
      </c>
      <c r="N5" s="146" t="str">
        <f>IF(VLOOKUP($A5,Sheet1!$A$3:$AW$699,9,FALSE)="●","x","")</f>
        <v>x</v>
      </c>
      <c r="O5" s="146" t="str">
        <f>IF(VLOOKUP($A5,Sheet1!$A$3:$AW$699,10,FALSE)="■","x","")</f>
        <v/>
      </c>
      <c r="P5" s="9" t="str">
        <f>IF(VLOOKUP($A5,Sheet1!$A$3:$AW$699,2,FALSE)="","",VLOOKUP($A5,Sheet1!$A$3:$AW$699,2,FALSE))</f>
        <v>PM.000</v>
      </c>
    </row>
    <row r="6" spans="1:16" ht="20.399999999999999" x14ac:dyDescent="0.3">
      <c r="A6" s="9">
        <v>2</v>
      </c>
      <c r="B6" s="9" t="str">
        <f>IF(VLOOKUP($A6,Sheet1!$A$3:$AW$699,20,FALSE)="","",VLOOKUP($A6,Sheet1!$A$3:$AW$699,20,FALSE))</f>
        <v>MotorCatalogNumber</v>
      </c>
      <c r="C6" s="9" t="str">
        <f>IF(VLOOKUP($A6,Sheet1!$A$3:$AW$699,25,FALSE)="","",VLOOKUP($A6,Sheet1!$A$3:$AW$699,25,FALSE))</f>
        <v>All</v>
      </c>
      <c r="D6" s="142" t="str">
        <f>IF(VLOOKUP($A6,Sheet1!$A$3:$AW$699,15,FALSE)="","",VLOOKUP($A6,Sheet1!$A$3:$AW$699,15,FALSE))</f>
        <v/>
      </c>
      <c r="E6" s="142" t="str">
        <f>IF(VLOOKUP($A6,Sheet1!$A$3:$AW$699,16,FALSE)="","",VLOOKUP($A6,Sheet1!$A$3:$AW$699,16,FALSE))</f>
        <v/>
      </c>
      <c r="F6" s="142" t="str">
        <f>IF(VLOOKUP($A6,Sheet1!$A$3:$AW$699,17,FALSE)="","",VLOOKUP($A6,Sheet1!$A$3:$AW$699,17,FALSE))</f>
        <v/>
      </c>
      <c r="G6" s="142" t="str">
        <f>IF(VLOOKUP($A6,Sheet1!$A$3:$AW$699,18,FALSE)="","",VLOOKUP($A6,Sheet1!$A$3:$AW$699,18,FALSE))</f>
        <v/>
      </c>
      <c r="H6" s="142" t="str">
        <f>IF(VLOOKUP($A6,Sheet1!$A$3:$AW$699,19,FALSE)="","",VLOOKUP($A6,Sheet1!$A$3:$AW$699,19,FALSE))</f>
        <v/>
      </c>
      <c r="I6" s="9" t="str">
        <f>IF(VLOOKUP($A6,Sheet1!$A$3:$AW$699,5,FALSE)="","",VLOOKUP($A6,Sheet1!$A$3:$AW$699,5,FALSE))</f>
        <v>SHORT_STRING</v>
      </c>
      <c r="J6" s="7" t="s">
        <v>49</v>
      </c>
      <c r="K6" s="7" t="s">
        <v>48</v>
      </c>
      <c r="L6" s="146" t="str">
        <f>IF(VLOOKUP($A6,Sheet1!$A$3:$AW$699,7,FALSE)="★","x","")</f>
        <v/>
      </c>
      <c r="M6" s="146" t="str">
        <f>IF(VLOOKUP($A6,Sheet1!$A$3:$AW$699,8,FALSE)="▲","x","")</f>
        <v>x</v>
      </c>
      <c r="N6" s="146" t="str">
        <f>IF(VLOOKUP($A6,Sheet1!$A$3:$AW$699,9,FALSE)="●","x","")</f>
        <v/>
      </c>
      <c r="O6" s="146" t="str">
        <f>IF(VLOOKUP($A6,Sheet1!$A$3:$AW$699,10,FALSE)="■","x","")</f>
        <v/>
      </c>
      <c r="P6" s="9" t="str">
        <f>IF(VLOOKUP($A6,Sheet1!$A$3:$AW$699,2,FALSE)="","",VLOOKUP($A6,Sheet1!$A$3:$AW$699,2,FALSE))</f>
        <v>PN.010</v>
      </c>
    </row>
    <row r="7" spans="1:16" ht="14.4" x14ac:dyDescent="0.3">
      <c r="A7" s="9">
        <v>3</v>
      </c>
      <c r="B7" s="9" t="str">
        <f>IF(VLOOKUP($A7,Sheet1!$A$3:$AW$699,20,FALSE)="","",VLOOKUP($A7,Sheet1!$A$3:$AW$699,20,FALSE))</f>
        <v>MotorManufacturer</v>
      </c>
      <c r="C7" s="9" t="str">
        <f>IF(VLOOKUP($A7,Sheet1!$A$3:$AW$699,25,FALSE)="","",VLOOKUP($A7,Sheet1!$A$3:$AW$699,25,FALSE))</f>
        <v>All</v>
      </c>
      <c r="D7" s="142" t="str">
        <f>IF(VLOOKUP($A7,Sheet1!$A$3:$AW$699,15,FALSE)="","",VLOOKUP($A7,Sheet1!$A$3:$AW$699,15,FALSE))</f>
        <v/>
      </c>
      <c r="E7" s="142" t="str">
        <f>IF(VLOOKUP($A7,Sheet1!$A$3:$AW$699,16,FALSE)="","",VLOOKUP($A7,Sheet1!$A$3:$AW$699,16,FALSE))</f>
        <v/>
      </c>
      <c r="F7" s="142" t="str">
        <f>IF(VLOOKUP($A7,Sheet1!$A$3:$AW$699,17,FALSE)="","",VLOOKUP($A7,Sheet1!$A$3:$AW$699,17,FALSE))</f>
        <v/>
      </c>
      <c r="G7" s="142" t="str">
        <f>IF(VLOOKUP($A7,Sheet1!$A$3:$AW$699,18,FALSE)="","",VLOOKUP($A7,Sheet1!$A$3:$AW$699,18,FALSE))</f>
        <v/>
      </c>
      <c r="H7" s="142" t="str">
        <f>IF(VLOOKUP($A7,Sheet1!$A$3:$AW$699,19,FALSE)="","",VLOOKUP($A7,Sheet1!$A$3:$AW$699,19,FALSE))</f>
        <v/>
      </c>
      <c r="I7" s="9" t="str">
        <f>IF(VLOOKUP($A7,Sheet1!$A$3:$AW$699,5,FALSE)="","",VLOOKUP($A7,Sheet1!$A$3:$AW$699,5,FALSE))</f>
        <v>SHORT_STRING</v>
      </c>
      <c r="J7" s="7" t="s">
        <v>50</v>
      </c>
      <c r="K7" s="7" t="s">
        <v>51</v>
      </c>
      <c r="L7" s="146" t="str">
        <f>IF(VLOOKUP($A7,Sheet1!$A$3:$AW$699,7,FALSE)="★","x","")</f>
        <v>x</v>
      </c>
      <c r="M7" s="146" t="str">
        <f>IF(VLOOKUP($A7,Sheet1!$A$3:$AW$699,8,FALSE)="▲","x","")</f>
        <v/>
      </c>
      <c r="N7" s="146" t="str">
        <f>IF(VLOOKUP($A7,Sheet1!$A$3:$AW$699,9,FALSE)="●","x","")</f>
        <v/>
      </c>
      <c r="O7" s="146" t="str">
        <f>IF(VLOOKUP($A7,Sheet1!$A$3:$AW$699,10,FALSE)="■","x","")</f>
        <v/>
      </c>
      <c r="P7" s="9" t="str">
        <f>IF(VLOOKUP($A7,Sheet1!$A$3:$AW$699,2,FALSE)="","",VLOOKUP($A7,Sheet1!$A$3:$AW$699,2,FALSE))</f>
        <v/>
      </c>
    </row>
    <row r="8" spans="1:16" ht="40.799999999999997" x14ac:dyDescent="0.3">
      <c r="A8" s="9">
        <v>4</v>
      </c>
      <c r="B8" s="9" t="str">
        <f>IF(VLOOKUP($A8,Sheet1!$A$3:$AW$699,20,FALSE)="","",VLOOKUP($A8,Sheet1!$A$3:$AW$699,20,FALSE))</f>
        <v>MotorRatedContinuousCurrent</v>
      </c>
      <c r="C8" s="9" t="str">
        <f>IF(VLOOKUP($A8,Sheet1!$A$3:$AW$699,25,FALSE)="","",VLOOKUP($A8,Sheet1!$A$3:$AW$699,25,FALSE))</f>
        <v>All</v>
      </c>
      <c r="D8" s="142">
        <f>IF(VLOOKUP($A8,Sheet1!$A$3:$AW$699,15,FALSE)="","",VLOOKUP($A8,Sheet1!$A$3:$AW$699,15,FALSE))</f>
        <v>0</v>
      </c>
      <c r="E8" s="142">
        <f>IF(VLOOKUP($A8,Sheet1!$A$3:$AW$699,16,FALSE)="","",VLOOKUP($A8,Sheet1!$A$3:$AW$699,16,FALSE))</f>
        <v>65535</v>
      </c>
      <c r="F8" s="142">
        <f>IF(VLOOKUP($A8,Sheet1!$A$3:$AW$699,17,FALSE)="","",VLOOKUP($A8,Sheet1!$A$3:$AW$699,17,FALSE))</f>
        <v>260</v>
      </c>
      <c r="G8" s="142">
        <f>IF(VLOOKUP($A8,Sheet1!$A$3:$AW$699,18,FALSE)="","",VLOOKUP($A8,Sheet1!$A$3:$AW$699,18,FALSE))</f>
        <v>0.01</v>
      </c>
      <c r="H8" s="142" t="str">
        <f>IF(VLOOKUP($A8,Sheet1!$A$3:$AW$699,19,FALSE)="","",VLOOKUP($A8,Sheet1!$A$3:$AW$699,19,FALSE))</f>
        <v>Amps (RMS)</v>
      </c>
      <c r="I8" s="9" t="str">
        <f>IF(VLOOKUP($A8,Sheet1!$A$3:$AW$699,5,FALSE)="","",VLOOKUP($A8,Sheet1!$A$3:$AW$699,5,FALSE))</f>
        <v>UINT</v>
      </c>
      <c r="J8" s="7" t="s">
        <v>52</v>
      </c>
      <c r="K8" s="7" t="s">
        <v>48</v>
      </c>
      <c r="L8" s="146" t="str">
        <f>IF(VLOOKUP($A8,Sheet1!$A$3:$AW$699,7,FALSE)="★","x","")</f>
        <v/>
      </c>
      <c r="M8" s="146" t="str">
        <f>IF(VLOOKUP($A8,Sheet1!$A$3:$AW$699,8,FALSE)="▲","x","")</f>
        <v>x</v>
      </c>
      <c r="N8" s="146" t="str">
        <f>IF(VLOOKUP($A8,Sheet1!$A$3:$AW$699,9,FALSE)="●","x","")</f>
        <v>x</v>
      </c>
      <c r="O8" s="146" t="str">
        <f>IF(VLOOKUP($A8,Sheet1!$A$3:$AW$699,10,FALSE)="■","x","")</f>
        <v/>
      </c>
      <c r="P8" s="9" t="str">
        <f>IF(VLOOKUP($A8,Sheet1!$A$3:$AW$699,2,FALSE)="","",VLOOKUP($A8,Sheet1!$A$3:$AW$699,2,FALSE))</f>
        <v>PM.029</v>
      </c>
    </row>
    <row r="9" spans="1:16" ht="14.4" x14ac:dyDescent="0.3">
      <c r="A9" s="9">
        <v>5</v>
      </c>
      <c r="B9" s="9" t="str">
        <f>IF(VLOOKUP($A9,Sheet1!$A$3:$AW$699,20,FALSE)="","",VLOOKUP($A9,Sheet1!$A$3:$AW$699,20,FALSE))</f>
        <v>MotorRatedVoltage</v>
      </c>
      <c r="C9" s="9" t="str">
        <f>IF(VLOOKUP($A9,Sheet1!$A$3:$AW$699,25,FALSE)="","",VLOOKUP($A9,Sheet1!$A$3:$AW$699,25,FALSE))</f>
        <v>All</v>
      </c>
      <c r="D9" s="142">
        <f>IF(VLOOKUP($A9,Sheet1!$A$3:$AW$699,15,FALSE)="","",VLOOKUP($A9,Sheet1!$A$3:$AW$699,15,FALSE))</f>
        <v>0</v>
      </c>
      <c r="E9" s="142">
        <f>IF(VLOOKUP($A9,Sheet1!$A$3:$AW$699,16,FALSE)="","",VLOOKUP($A9,Sheet1!$A$3:$AW$699,16,FALSE))</f>
        <v>65535</v>
      </c>
      <c r="F9" s="142">
        <f>IF(VLOOKUP($A9,Sheet1!$A$3:$AW$699,17,FALSE)="","",VLOOKUP($A9,Sheet1!$A$3:$AW$699,17,FALSE))</f>
        <v>220</v>
      </c>
      <c r="G9" s="142" t="str">
        <f>IF(VLOOKUP($A9,Sheet1!$A$3:$AW$699,18,FALSE)="","",VLOOKUP($A9,Sheet1!$A$3:$AW$699,18,FALSE))</f>
        <v/>
      </c>
      <c r="H9" s="142" t="str">
        <f>IF(VLOOKUP($A9,Sheet1!$A$3:$AW$699,19,FALSE)="","",VLOOKUP($A9,Sheet1!$A$3:$AW$699,19,FALSE))</f>
        <v>Volts (RMS)</v>
      </c>
      <c r="I9" s="9" t="str">
        <f>IF(VLOOKUP($A9,Sheet1!$A$3:$AW$699,5,FALSE)="","",VLOOKUP($A9,Sheet1!$A$3:$AW$699,5,FALSE))</f>
        <v>UINT</v>
      </c>
      <c r="J9" s="7" t="s">
        <v>53</v>
      </c>
      <c r="K9" s="7" t="s">
        <v>51</v>
      </c>
      <c r="L9" s="146" t="str">
        <f>IF(VLOOKUP($A9,Sheet1!$A$3:$AW$699,7,FALSE)="★","x","")</f>
        <v/>
      </c>
      <c r="M9" s="146" t="str">
        <f>IF(VLOOKUP($A9,Sheet1!$A$3:$AW$699,8,FALSE)="▲","x","")</f>
        <v>x</v>
      </c>
      <c r="N9" s="146" t="str">
        <f>IF(VLOOKUP($A9,Sheet1!$A$3:$AW$699,9,FALSE)="●","x","")</f>
        <v/>
      </c>
      <c r="O9" s="146" t="str">
        <f>IF(VLOOKUP($A9,Sheet1!$A$3:$AW$699,10,FALSE)="■","x","")</f>
        <v/>
      </c>
      <c r="P9" s="9" t="str">
        <f>IF(VLOOKUP($A9,Sheet1!$A$3:$AW$699,2,FALSE)="","",VLOOKUP($A9,Sheet1!$A$3:$AW$699,2,FALSE))</f>
        <v>PM.065</v>
      </c>
    </row>
    <row r="10" spans="1:16" ht="14.4" x14ac:dyDescent="0.3">
      <c r="A10" s="9">
        <v>6</v>
      </c>
      <c r="B10" s="9" t="str">
        <f>IF(VLOOKUP($A10,Sheet1!$A$3:$AW$699,20,FALSE)="","",VLOOKUP($A10,Sheet1!$A$3:$AW$699,20,FALSE))</f>
        <v>MotorRatedOutputPower</v>
      </c>
      <c r="C10" s="9" t="str">
        <f>IF(VLOOKUP($A10,Sheet1!$A$3:$AW$699,25,FALSE)="","",VLOOKUP($A10,Sheet1!$A$3:$AW$699,25,FALSE))</f>
        <v>All</v>
      </c>
      <c r="D10" s="142">
        <f>IF(VLOOKUP($A10,Sheet1!$A$3:$AW$699,15,FALSE)="","",VLOOKUP($A10,Sheet1!$A$3:$AW$699,15,FALSE))</f>
        <v>0</v>
      </c>
      <c r="E10" s="142">
        <f>IF(VLOOKUP($A10,Sheet1!$A$3:$AW$699,16,FALSE)="","",VLOOKUP($A10,Sheet1!$A$3:$AW$699,16,FALSE))</f>
        <v>655350</v>
      </c>
      <c r="F10" s="142">
        <f>IF(VLOOKUP($A10,Sheet1!$A$3:$AW$699,17,FALSE)="","",VLOOKUP($A10,Sheet1!$A$3:$AW$699,17,FALSE))</f>
        <v>40</v>
      </c>
      <c r="G10" s="142">
        <f>IF(VLOOKUP($A10,Sheet1!$A$3:$AW$699,18,FALSE)="","",VLOOKUP($A10,Sheet1!$A$3:$AW$699,18,FALSE))</f>
        <v>0.01</v>
      </c>
      <c r="H10" s="142" t="str">
        <f>IF(VLOOKUP($A10,Sheet1!$A$3:$AW$699,19,FALSE)="","",VLOOKUP($A10,Sheet1!$A$3:$AW$699,19,FALSE))</f>
        <v>kW</v>
      </c>
      <c r="I10" s="9" t="str">
        <f>IF(VLOOKUP($A10,Sheet1!$A$3:$AW$699,5,FALSE)="","",VLOOKUP($A10,Sheet1!$A$3:$AW$699,5,FALSE))</f>
        <v>UDINT</v>
      </c>
      <c r="J10" s="7" t="s">
        <v>54</v>
      </c>
      <c r="K10" s="7" t="s">
        <v>51</v>
      </c>
      <c r="L10" s="146" t="str">
        <f>IF(VLOOKUP($A10,Sheet1!$A$3:$AW$699,7,FALSE)="★","x","")</f>
        <v/>
      </c>
      <c r="M10" s="146" t="str">
        <f>IF(VLOOKUP($A10,Sheet1!$A$3:$AW$699,8,FALSE)="▲","x","")</f>
        <v/>
      </c>
      <c r="N10" s="146" t="str">
        <f>IF(VLOOKUP($A10,Sheet1!$A$3:$AW$699,9,FALSE)="●","x","")</f>
        <v/>
      </c>
      <c r="O10" s="146" t="str">
        <f>IF(VLOOKUP($A10,Sheet1!$A$3:$AW$699,10,FALSE)="■","x","")</f>
        <v/>
      </c>
      <c r="P10" s="9" t="str">
        <f>IF(VLOOKUP($A10,Sheet1!$A$3:$AW$699,2,FALSE)="","",VLOOKUP($A10,Sheet1!$A$3:$AW$699,2,FALSE))</f>
        <v>PM.067</v>
      </c>
    </row>
    <row r="11" spans="1:16" ht="14.4" x14ac:dyDescent="0.3">
      <c r="A11" s="9">
        <v>7</v>
      </c>
      <c r="B11" s="9" t="str">
        <f>IF(VLOOKUP($A11,Sheet1!$A$3:$AW$699,20,FALSE)="","",VLOOKUP($A11,Sheet1!$A$3:$AW$699,20,FALSE))</f>
        <v>MotorRatedWindingTemperature</v>
      </c>
      <c r="C11" s="9" t="str">
        <f>IF(VLOOKUP($A11,Sheet1!$A$3:$AW$699,25,FALSE)="","",VLOOKUP($A11,Sheet1!$A$3:$AW$699,25,FALSE))</f>
        <v>All</v>
      </c>
      <c r="D11" s="142">
        <f>IF(VLOOKUP($A11,Sheet1!$A$3:$AW$699,15,FALSE)="","",VLOOKUP($A11,Sheet1!$A$3:$AW$699,15,FALSE))</f>
        <v>0</v>
      </c>
      <c r="E11" s="142">
        <f>IF(VLOOKUP($A11,Sheet1!$A$3:$AW$699,16,FALSE)="","",VLOOKUP($A11,Sheet1!$A$3:$AW$699,16,FALSE))</f>
        <v>100</v>
      </c>
      <c r="F11" s="142">
        <f>IF(VLOOKUP($A11,Sheet1!$A$3:$AW$699,17,FALSE)="","",VLOOKUP($A11,Sheet1!$A$3:$AW$699,17,FALSE))</f>
        <v>80</v>
      </c>
      <c r="G11" s="142" t="str">
        <f>IF(VLOOKUP($A11,Sheet1!$A$3:$AW$699,18,FALSE)="","",VLOOKUP($A11,Sheet1!$A$3:$AW$699,18,FALSE))</f>
        <v/>
      </c>
      <c r="H11" s="142" t="str">
        <f>IF(VLOOKUP($A11,Sheet1!$A$3:$AW$699,19,FALSE)="","",VLOOKUP($A11,Sheet1!$A$3:$AW$699,19,FALSE))</f>
        <v>oC</v>
      </c>
      <c r="I11" s="9" t="str">
        <f>IF(VLOOKUP($A11,Sheet1!$A$3:$AW$699,5,FALSE)="","",VLOOKUP($A11,Sheet1!$A$3:$AW$699,5,FALSE))</f>
        <v>UINT</v>
      </c>
      <c r="J11" s="7" t="s">
        <v>55</v>
      </c>
      <c r="K11" s="7" t="s">
        <v>51</v>
      </c>
      <c r="L11" s="146" t="str">
        <f>IF(VLOOKUP($A11,Sheet1!$A$3:$AW$699,7,FALSE)="★","x","")</f>
        <v>x</v>
      </c>
      <c r="M11" s="146" t="str">
        <f>IF(VLOOKUP($A11,Sheet1!$A$3:$AW$699,8,FALSE)="▲","x","")</f>
        <v/>
      </c>
      <c r="N11" s="146" t="str">
        <f>IF(VLOOKUP($A11,Sheet1!$A$3:$AW$699,9,FALSE)="●","x","")</f>
        <v/>
      </c>
      <c r="O11" s="146" t="str">
        <f>IF(VLOOKUP($A11,Sheet1!$A$3:$AW$699,10,FALSE)="■","x","")</f>
        <v/>
      </c>
      <c r="P11" s="9" t="str">
        <f>IF(VLOOKUP($A11,Sheet1!$A$3:$AW$699,2,FALSE)="","",VLOOKUP($A11,Sheet1!$A$3:$AW$699,2,FALSE))</f>
        <v/>
      </c>
    </row>
    <row r="12" spans="1:16" ht="14.4" x14ac:dyDescent="0.3">
      <c r="A12" s="9">
        <v>8</v>
      </c>
      <c r="B12" s="9" t="str">
        <f>IF(VLOOKUP($A12,Sheet1!$A$3:$AW$699,20,FALSE)="","",VLOOKUP($A12,Sheet1!$A$3:$AW$699,20,FALSE))</f>
        <v>MotorMaxSpeed</v>
      </c>
      <c r="C12" s="9" t="str">
        <f>IF(VLOOKUP($A12,Sheet1!$A$3:$AW$699,25,FALSE)="","",VLOOKUP($A12,Sheet1!$A$3:$AW$699,25,FALSE))</f>
        <v>All</v>
      </c>
      <c r="D12" s="142">
        <f>IF(VLOOKUP($A12,Sheet1!$A$3:$AW$699,15,FALSE)="","",VLOOKUP($A12,Sheet1!$A$3:$AW$699,15,FALSE))</f>
        <v>0</v>
      </c>
      <c r="E12" s="142">
        <f>IF(VLOOKUP($A12,Sheet1!$A$3:$AW$699,16,FALSE)="","",VLOOKUP($A12,Sheet1!$A$3:$AW$699,16,FALSE))</f>
        <v>28500</v>
      </c>
      <c r="F12" s="142">
        <f>IF(VLOOKUP($A12,Sheet1!$A$3:$AW$699,17,FALSE)="","",VLOOKUP($A12,Sheet1!$A$3:$AW$699,17,FALSE))</f>
        <v>8000</v>
      </c>
      <c r="G12" s="142" t="str">
        <f>IF(VLOOKUP($A12,Sheet1!$A$3:$AW$699,18,FALSE)="","",VLOOKUP($A12,Sheet1!$A$3:$AW$699,18,FALSE))</f>
        <v/>
      </c>
      <c r="H12" s="142" t="str">
        <f>IF(VLOOKUP($A12,Sheet1!$A$3:$AW$699,19,FALSE)="","",VLOOKUP($A12,Sheet1!$A$3:$AW$699,19,FALSE))</f>
        <v>RPM</v>
      </c>
      <c r="I12" s="9" t="str">
        <f>IF(VLOOKUP($A12,Sheet1!$A$3:$AW$699,5,FALSE)="","",VLOOKUP($A12,Sheet1!$A$3:$AW$699,5,FALSE))</f>
        <v>UINT</v>
      </c>
      <c r="J12" s="7" t="s">
        <v>56</v>
      </c>
      <c r="K12" s="7" t="s">
        <v>51</v>
      </c>
      <c r="L12" s="146" t="str">
        <f>IF(VLOOKUP($A12,Sheet1!$A$3:$AW$699,7,FALSE)="★","x","")</f>
        <v/>
      </c>
      <c r="M12" s="146" t="str">
        <f>IF(VLOOKUP($A12,Sheet1!$A$3:$AW$699,8,FALSE)="▲","x","")</f>
        <v>x</v>
      </c>
      <c r="N12" s="146" t="str">
        <f>IF(VLOOKUP($A12,Sheet1!$A$3:$AW$699,9,FALSE)="●","x","")</f>
        <v>x</v>
      </c>
      <c r="O12" s="146" t="str">
        <f>IF(VLOOKUP($A12,Sheet1!$A$3:$AW$699,10,FALSE)="■","x","")</f>
        <v/>
      </c>
      <c r="P12" s="9" t="str">
        <f>IF(VLOOKUP($A12,Sheet1!$A$3:$AW$699,2,FALSE)="","",VLOOKUP($A12,Sheet1!$A$3:$AW$699,2,FALSE))</f>
        <v>PM.032</v>
      </c>
    </row>
    <row r="13" spans="1:16" ht="20.399999999999999" x14ac:dyDescent="0.3">
      <c r="A13" s="9">
        <v>9</v>
      </c>
      <c r="B13" s="9" t="str">
        <f>IF(VLOOKUP($A13,Sheet1!$A$3:$AW$699,20,FALSE)="","",VLOOKUP($A13,Sheet1!$A$3:$AW$699,20,FALSE))</f>
        <v>RotaryMotorPoles</v>
      </c>
      <c r="C13" s="9" t="str">
        <f>IF(VLOOKUP($A13,Sheet1!$A$3:$AW$699,25,FALSE)="","",VLOOKUP($A13,Sheet1!$A$3:$AW$699,25,FALSE))</f>
        <v>All</v>
      </c>
      <c r="D13" s="142">
        <f>IF(VLOOKUP($A13,Sheet1!$A$3:$AW$699,15,FALSE)="","",VLOOKUP($A13,Sheet1!$A$3:$AW$699,15,FALSE))</f>
        <v>0</v>
      </c>
      <c r="E13" s="142">
        <f>IF(VLOOKUP($A13,Sheet1!$A$3:$AW$699,16,FALSE)="","",VLOOKUP($A13,Sheet1!$A$3:$AW$699,16,FALSE))</f>
        <v>500</v>
      </c>
      <c r="F13" s="142">
        <f>IF(VLOOKUP($A13,Sheet1!$A$3:$AW$699,17,FALSE)="","",VLOOKUP($A13,Sheet1!$A$3:$AW$699,17,FALSE))</f>
        <v>10</v>
      </c>
      <c r="G13" s="142" t="str">
        <f>IF(VLOOKUP($A13,Sheet1!$A$3:$AW$699,18,FALSE)="","",VLOOKUP($A13,Sheet1!$A$3:$AW$699,18,FALSE))</f>
        <v/>
      </c>
      <c r="H13" s="142" t="str">
        <f>IF(VLOOKUP($A13,Sheet1!$A$3:$AW$699,19,FALSE)="","",VLOOKUP($A13,Sheet1!$A$3:$AW$699,19,FALSE))</f>
        <v>pole</v>
      </c>
      <c r="I13" s="9" t="str">
        <f>IF(VLOOKUP($A13,Sheet1!$A$3:$AW$699,5,FALSE)="","",VLOOKUP($A13,Sheet1!$A$3:$AW$699,5,FALSE))</f>
        <v>UINT</v>
      </c>
      <c r="J13" s="7" t="s">
        <v>57</v>
      </c>
      <c r="K13" s="7" t="s">
        <v>48</v>
      </c>
      <c r="L13" s="146" t="str">
        <f>IF(VLOOKUP($A13,Sheet1!$A$3:$AW$699,7,FALSE)="★","x","")</f>
        <v/>
      </c>
      <c r="M13" s="146" t="str">
        <f>IF(VLOOKUP($A13,Sheet1!$A$3:$AW$699,8,FALSE)="▲","x","")</f>
        <v>x</v>
      </c>
      <c r="N13" s="146" t="str">
        <f>IF(VLOOKUP($A13,Sheet1!$A$3:$AW$699,9,FALSE)="●","x","")</f>
        <v>x</v>
      </c>
      <c r="O13" s="146" t="str">
        <f>IF(VLOOKUP($A13,Sheet1!$A$3:$AW$699,10,FALSE)="■","x","")</f>
        <v/>
      </c>
      <c r="P13" s="9" t="str">
        <f>IF(VLOOKUP($A13,Sheet1!$A$3:$AW$699,2,FALSE)="","",VLOOKUP($A13,Sheet1!$A$3:$AW$699,2,FALSE))</f>
        <v>PM.028</v>
      </c>
    </row>
    <row r="14" spans="1:16" ht="14.4" x14ac:dyDescent="0.3">
      <c r="A14" s="9">
        <v>10</v>
      </c>
      <c r="B14" s="9" t="str">
        <f>IF(VLOOKUP($A14,Sheet1!$A$3:$AW$699,20,FALSE)="","",VLOOKUP($A14,Sheet1!$A$3:$AW$699,20,FALSE))</f>
        <v>PMMotorTorqueConstant</v>
      </c>
      <c r="C14" s="9" t="str">
        <f>IF(VLOOKUP($A14,Sheet1!$A$3:$AW$699,25,FALSE)="","",VLOOKUP($A14,Sheet1!$A$3:$AW$699,25,FALSE))</f>
        <v>All</v>
      </c>
      <c r="D14" s="142">
        <f>IF(VLOOKUP($A14,Sheet1!$A$3:$AW$699,15,FALSE)="","",VLOOKUP($A14,Sheet1!$A$3:$AW$699,15,FALSE))</f>
        <v>0</v>
      </c>
      <c r="E14" s="142">
        <f>IF(VLOOKUP($A14,Sheet1!$A$3:$AW$699,16,FALSE)="","",VLOOKUP($A14,Sheet1!$A$3:$AW$699,16,FALSE))</f>
        <v>65535</v>
      </c>
      <c r="F14" s="142">
        <f>IF(VLOOKUP($A14,Sheet1!$A$3:$AW$699,17,FALSE)="","",VLOOKUP($A14,Sheet1!$A$3:$AW$699,17,FALSE))</f>
        <v>0</v>
      </c>
      <c r="G14" s="142">
        <f>IF(VLOOKUP($A14,Sheet1!$A$3:$AW$699,18,FALSE)="","",VLOOKUP($A14,Sheet1!$A$3:$AW$699,18,FALSE))</f>
        <v>1E-3</v>
      </c>
      <c r="H14" s="142" t="str">
        <f>IF(VLOOKUP($A14,Sheet1!$A$3:$AW$699,19,FALSE)="","",VLOOKUP($A14,Sheet1!$A$3:$AW$699,19,FALSE))</f>
        <v>N-m/Amps (RMS)</v>
      </c>
      <c r="I14" s="9" t="str">
        <f>IF(VLOOKUP($A14,Sheet1!$A$3:$AW$699,5,FALSE)="","",VLOOKUP($A14,Sheet1!$A$3:$AW$699,5,FALSE))</f>
        <v>DINT</v>
      </c>
      <c r="J14" s="7" t="s">
        <v>58</v>
      </c>
      <c r="K14" s="7" t="s">
        <v>51</v>
      </c>
      <c r="L14" s="146" t="str">
        <f>IF(VLOOKUP($A14,Sheet1!$A$3:$AW$699,7,FALSE)="★","x","")</f>
        <v/>
      </c>
      <c r="M14" s="146" t="str">
        <f>IF(VLOOKUP($A14,Sheet1!$A$3:$AW$699,8,FALSE)="▲","x","")</f>
        <v>x</v>
      </c>
      <c r="N14" s="146" t="str">
        <f>IF(VLOOKUP($A14,Sheet1!$A$3:$AW$699,9,FALSE)="●","x","")</f>
        <v/>
      </c>
      <c r="O14" s="146" t="str">
        <f>IF(VLOOKUP($A14,Sheet1!$A$3:$AW$699,10,FALSE)="■","x","")</f>
        <v/>
      </c>
      <c r="P14" s="9" t="str">
        <f>IF(VLOOKUP($A14,Sheet1!$A$3:$AW$699,2,FALSE)="","",VLOOKUP($A14,Sheet1!$A$3:$AW$699,2,FALSE))</f>
        <v>PM.033</v>
      </c>
    </row>
    <row r="15" spans="1:16" ht="14.4" x14ac:dyDescent="0.3">
      <c r="A15" s="9">
        <v>11</v>
      </c>
      <c r="B15" s="9" t="str">
        <f>IF(VLOOKUP($A15,Sheet1!$A$3:$AW$699,20,FALSE)="","",VLOOKUP($A15,Sheet1!$A$3:$AW$699,20,FALSE))</f>
        <v>RotaryMotorInertia</v>
      </c>
      <c r="C15" s="9" t="str">
        <f>IF(VLOOKUP($A15,Sheet1!$A$3:$AW$699,25,FALSE)="","",VLOOKUP($A15,Sheet1!$A$3:$AW$699,25,FALSE))</f>
        <v>All</v>
      </c>
      <c r="D15" s="142">
        <f>IF(VLOOKUP($A15,Sheet1!$A$3:$AW$699,15,FALSE)="","",VLOOKUP($A15,Sheet1!$A$3:$AW$699,15,FALSE))</f>
        <v>0</v>
      </c>
      <c r="E15" s="142">
        <f>IF(VLOOKUP($A15,Sheet1!$A$3:$AW$699,16,FALSE)="","",VLOOKUP($A15,Sheet1!$A$3:$AW$699,16,FALSE))</f>
        <v>2147483647</v>
      </c>
      <c r="F15" s="142">
        <f>IF(VLOOKUP($A15,Sheet1!$A$3:$AW$699,17,FALSE)="","",VLOOKUP($A15,Sheet1!$A$3:$AW$699,17,FALSE))</f>
        <v>0</v>
      </c>
      <c r="G15" s="142">
        <f>IF(VLOOKUP($A15,Sheet1!$A$3:$AW$699,18,FALSE)="","",VLOOKUP($A15,Sheet1!$A$3:$AW$699,18,FALSE))</f>
        <v>1E-3</v>
      </c>
      <c r="H15" s="142" t="str">
        <f>IF(VLOOKUP($A15,Sheet1!$A$3:$AW$699,19,FALSE)="","",VLOOKUP($A15,Sheet1!$A$3:$AW$699,19,FALSE))</f>
        <v>10^-4kg-m^2</v>
      </c>
      <c r="I15" s="9" t="str">
        <f>IF(VLOOKUP($A15,Sheet1!$A$3:$AW$699,5,FALSE)="","",VLOOKUP($A15,Sheet1!$A$3:$AW$699,5,FALSE))</f>
        <v>DINT</v>
      </c>
      <c r="J15" s="7" t="s">
        <v>59</v>
      </c>
      <c r="K15" s="7" t="s">
        <v>51</v>
      </c>
      <c r="L15" s="146" t="str">
        <f>IF(VLOOKUP($A15,Sheet1!$A$3:$AW$699,7,FALSE)="★","x","")</f>
        <v/>
      </c>
      <c r="M15" s="146" t="str">
        <f>IF(VLOOKUP($A15,Sheet1!$A$3:$AW$699,8,FALSE)="▲","x","")</f>
        <v>x</v>
      </c>
      <c r="N15" s="146" t="str">
        <f>IF(VLOOKUP($A15,Sheet1!$A$3:$AW$699,9,FALSE)="●","x","")</f>
        <v/>
      </c>
      <c r="O15" s="146" t="str">
        <f>IF(VLOOKUP($A15,Sheet1!$A$3:$AW$699,10,FALSE)="■","x","")</f>
        <v/>
      </c>
      <c r="P15" s="9" t="str">
        <f>IF(VLOOKUP($A15,Sheet1!$A$3:$AW$699,2,FALSE)="","",VLOOKUP($A15,Sheet1!$A$3:$AW$699,2,FALSE))</f>
        <v>PM.034</v>
      </c>
    </row>
    <row r="16" spans="1:16" ht="14.4" x14ac:dyDescent="0.3">
      <c r="A16" s="9">
        <v>12</v>
      </c>
      <c r="B16" s="9" t="str">
        <f>IF(VLOOKUP($A16,Sheet1!$A$3:$AW$699,20,FALSE)="","",VLOOKUP($A16,Sheet1!$A$3:$AW$699,20,FALSE))</f>
        <v>MotorRatedSpeed</v>
      </c>
      <c r="C16" s="9" t="str">
        <f>IF(VLOOKUP($A16,Sheet1!$A$3:$AW$699,25,FALSE)="","",VLOOKUP($A16,Sheet1!$A$3:$AW$699,25,FALSE))</f>
        <v>All</v>
      </c>
      <c r="D16" s="142">
        <f>IF(VLOOKUP($A16,Sheet1!$A$3:$AW$699,15,FALSE)="","",VLOOKUP($A16,Sheet1!$A$3:$AW$699,15,FALSE))</f>
        <v>0</v>
      </c>
      <c r="E16" s="142">
        <f>IF(VLOOKUP($A16,Sheet1!$A$3:$AW$699,16,FALSE)="","",VLOOKUP($A16,Sheet1!$A$3:$AW$699,16,FALSE))</f>
        <v>28500</v>
      </c>
      <c r="F16" s="142">
        <f>IF(VLOOKUP($A16,Sheet1!$A$3:$AW$699,17,FALSE)="","",VLOOKUP($A16,Sheet1!$A$3:$AW$699,17,FALSE))</f>
        <v>8000</v>
      </c>
      <c r="G16" s="142" t="str">
        <f>IF(VLOOKUP($A16,Sheet1!$A$3:$AW$699,18,FALSE)="","",VLOOKUP($A16,Sheet1!$A$3:$AW$699,18,FALSE))</f>
        <v/>
      </c>
      <c r="H16" s="142" t="str">
        <f>IF(VLOOKUP($A16,Sheet1!$A$3:$AW$699,19,FALSE)="","",VLOOKUP($A16,Sheet1!$A$3:$AW$699,19,FALSE))</f>
        <v>RPM</v>
      </c>
      <c r="I16" s="9" t="str">
        <f>IF(VLOOKUP($A16,Sheet1!$A$3:$AW$699,5,FALSE)="","",VLOOKUP($A16,Sheet1!$A$3:$AW$699,5,FALSE))</f>
        <v>INT</v>
      </c>
      <c r="J16" s="7" t="s">
        <v>60</v>
      </c>
      <c r="K16" s="7" t="s">
        <v>51</v>
      </c>
      <c r="L16" s="146" t="str">
        <f>IF(VLOOKUP($A16,Sheet1!$A$3:$AW$699,7,FALSE)="★","x","")</f>
        <v/>
      </c>
      <c r="M16" s="146" t="str">
        <f>IF(VLOOKUP($A16,Sheet1!$A$3:$AW$699,8,FALSE)="▲","x","")</f>
        <v>x</v>
      </c>
      <c r="N16" s="146" t="str">
        <f>IF(VLOOKUP($A16,Sheet1!$A$3:$AW$699,9,FALSE)="●","x","")</f>
        <v>x</v>
      </c>
      <c r="O16" s="146" t="str">
        <f>IF(VLOOKUP($A16,Sheet1!$A$3:$AW$699,10,FALSE)="■","x","")</f>
        <v/>
      </c>
      <c r="P16" s="9" t="str">
        <f>IF(VLOOKUP($A16,Sheet1!$A$3:$AW$699,2,FALSE)="","",VLOOKUP($A16,Sheet1!$A$3:$AW$699,2,FALSE))</f>
        <v>PM.031</v>
      </c>
    </row>
    <row r="17" spans="1:16" ht="14.4" x14ac:dyDescent="0.3">
      <c r="A17" s="9">
        <v>13</v>
      </c>
      <c r="B17" s="9" t="str">
        <f>IF(VLOOKUP($A17,Sheet1!$A$3:$AW$699,20,FALSE)="","",VLOOKUP($A17,Sheet1!$A$3:$AW$699,20,FALSE))</f>
        <v>MotorSerialNumber</v>
      </c>
      <c r="C17" s="9" t="str">
        <f>IF(VLOOKUP($A17,Sheet1!$A$3:$AW$699,25,FALSE)="","",VLOOKUP($A17,Sheet1!$A$3:$AW$699,25,FALSE))</f>
        <v>All</v>
      </c>
      <c r="D17" s="142" t="str">
        <f>IF(VLOOKUP($A17,Sheet1!$A$3:$AW$699,15,FALSE)="","",VLOOKUP($A17,Sheet1!$A$3:$AW$699,15,FALSE))</f>
        <v/>
      </c>
      <c r="E17" s="142" t="str">
        <f>IF(VLOOKUP($A17,Sheet1!$A$3:$AW$699,16,FALSE)="","",VLOOKUP($A17,Sheet1!$A$3:$AW$699,16,FALSE))</f>
        <v/>
      </c>
      <c r="F17" s="142" t="str">
        <f>IF(VLOOKUP($A17,Sheet1!$A$3:$AW$699,17,FALSE)="","",VLOOKUP($A17,Sheet1!$A$3:$AW$699,17,FALSE))</f>
        <v/>
      </c>
      <c r="G17" s="142" t="str">
        <f>IF(VLOOKUP($A17,Sheet1!$A$3:$AW$699,18,FALSE)="","",VLOOKUP($A17,Sheet1!$A$3:$AW$699,18,FALSE))</f>
        <v/>
      </c>
      <c r="H17" s="142" t="str">
        <f>IF(VLOOKUP($A17,Sheet1!$A$3:$AW$699,19,FALSE)="","",VLOOKUP($A17,Sheet1!$A$3:$AW$699,19,FALSE))</f>
        <v/>
      </c>
      <c r="I17" s="9" t="str">
        <f>IF(VLOOKUP($A17,Sheet1!$A$3:$AW$699,5,FALSE)="","",VLOOKUP($A17,Sheet1!$A$3:$AW$699,5,FALSE))</f>
        <v>SHORT_STRING</v>
      </c>
      <c r="J17" s="7" t="s">
        <v>61</v>
      </c>
      <c r="K17" s="7" t="s">
        <v>51</v>
      </c>
      <c r="L17" s="146" t="str">
        <f>IF(VLOOKUP($A17,Sheet1!$A$3:$AW$699,7,FALSE)="★","x","")</f>
        <v>x</v>
      </c>
      <c r="M17" s="146" t="str">
        <f>IF(VLOOKUP($A17,Sheet1!$A$3:$AW$699,8,FALSE)="▲","x","")</f>
        <v/>
      </c>
      <c r="N17" s="146" t="str">
        <f>IF(VLOOKUP($A17,Sheet1!$A$3:$AW$699,9,FALSE)="●","x","")</f>
        <v/>
      </c>
      <c r="O17" s="146" t="str">
        <f>IF(VLOOKUP($A17,Sheet1!$A$3:$AW$699,10,FALSE)="■","x","")</f>
        <v>x</v>
      </c>
      <c r="P17" s="9" t="str">
        <f>IF(VLOOKUP($A17,Sheet1!$A$3:$AW$699,2,FALSE)="","",VLOOKUP($A17,Sheet1!$A$3:$AW$699,2,FALSE))</f>
        <v>PN.040</v>
      </c>
    </row>
    <row r="18" spans="1:16" ht="68.400000000000006" customHeight="1" x14ac:dyDescent="0.3">
      <c r="A18" s="9">
        <v>599</v>
      </c>
      <c r="B18" s="9" t="str">
        <f>IF(VLOOKUP($A18,Sheet1!$A$3:$AW$699,20,FALSE)="","",VLOOKUP($A18,Sheet1!$A$3:$AW$699,20,FALSE))</f>
        <v>EncoderType</v>
      </c>
      <c r="C18" s="9" t="str">
        <f>IF(VLOOKUP($A18,Sheet1!$A$3:$AW$699,25,FALSE)="","",VLOOKUP($A18,Sheet1!$A$3:$AW$699,25,FALSE))</f>
        <v>All</v>
      </c>
      <c r="D18" s="142" t="str">
        <f>IF(VLOOKUP($A18,Sheet1!$A$3:$AW$699,15,FALSE)="","",VLOOKUP($A18,Sheet1!$A$3:$AW$699,15,FALSE))</f>
        <v>0x0000</v>
      </c>
      <c r="E18" s="142" t="str">
        <f>IF(VLOOKUP($A18,Sheet1!$A$3:$AW$699,16,FALSE)="","",VLOOKUP($A18,Sheet1!$A$3:$AW$699,16,FALSE))</f>
        <v>0x0010</v>
      </c>
      <c r="F18" s="142" t="str">
        <f>IF(VLOOKUP($A18,Sheet1!$A$3:$AW$699,17,FALSE)="","",VLOOKUP($A18,Sheet1!$A$3:$AW$699,17,FALSE))</f>
        <v>0x0010</v>
      </c>
      <c r="G18" s="142" t="str">
        <f>IF(VLOOKUP($A18,Sheet1!$A$3:$AW$699,18,FALSE)="","",VLOOKUP($A18,Sheet1!$A$3:$AW$699,18,FALSE))</f>
        <v/>
      </c>
      <c r="H18" s="142" t="str">
        <f>IF(VLOOKUP($A18,Sheet1!$A$3:$AW$699,19,FALSE)="","",VLOOKUP($A18,Sheet1!$A$3:$AW$699,19,FALSE))</f>
        <v/>
      </c>
      <c r="I18" s="9" t="str">
        <f>IF(VLOOKUP($A18,Sheet1!$A$3:$AW$699,5,FALSE)="","",VLOOKUP($A18,Sheet1!$A$3:$AW$699,5,FALSE))</f>
        <v>UINT</v>
      </c>
      <c r="J18" s="7" t="s">
        <v>62</v>
      </c>
      <c r="K18" s="7" t="s">
        <v>48</v>
      </c>
      <c r="L18" s="146" t="str">
        <f>IF(VLOOKUP($A18,Sheet1!$A$3:$AW$699,7,FALSE)="★","x","")</f>
        <v/>
      </c>
      <c r="M18" s="146" t="str">
        <f>IF(VLOOKUP($A18,Sheet1!$A$3:$AW$699,8,FALSE)="▲","x","")</f>
        <v>x</v>
      </c>
      <c r="N18" s="146" t="str">
        <f>IF(VLOOKUP($A18,Sheet1!$A$3:$AW$699,9,FALSE)="●","x","")</f>
        <v>x</v>
      </c>
      <c r="O18" s="146" t="str">
        <f>IF(VLOOKUP($A18,Sheet1!$A$3:$AW$699,10,FALSE)="■","x","")</f>
        <v/>
      </c>
      <c r="P18" s="9" t="str">
        <f>IF(VLOOKUP($A18,Sheet1!$A$3:$AW$699,2,FALSE)="","",VLOOKUP($A18,Sheet1!$A$3:$AW$699,2,FALSE))</f>
        <v>PM.003</v>
      </c>
    </row>
    <row r="19" spans="1:16" ht="20.399999999999999" x14ac:dyDescent="0.3">
      <c r="A19" s="9">
        <v>600</v>
      </c>
      <c r="B19" s="9" t="str">
        <f>IF(VLOOKUP($A19,Sheet1!$A$3:$AW$699,20,FALSE)="","",VLOOKUP($A19,Sheet1!$A$3:$AW$699,20,FALSE))</f>
        <v>EncoderResolution</v>
      </c>
      <c r="C19" s="9" t="str">
        <f>IF(VLOOKUP($A19,Sheet1!$A$3:$AW$699,25,FALSE)="","",VLOOKUP($A19,Sheet1!$A$3:$AW$699,25,FALSE))</f>
        <v>All</v>
      </c>
      <c r="D19" s="142">
        <f>IF(VLOOKUP($A19,Sheet1!$A$3:$AW$699,15,FALSE)="","",VLOOKUP($A19,Sheet1!$A$3:$AW$699,15,FALSE))</f>
        <v>128</v>
      </c>
      <c r="E19" s="142">
        <f>IF(VLOOKUP($A19,Sheet1!$A$3:$AW$699,16,FALSE)="","",VLOOKUP($A19,Sheet1!$A$3:$AW$699,16,FALSE))</f>
        <v>268435456</v>
      </c>
      <c r="F19" s="142">
        <f>IF(VLOOKUP($A19,Sheet1!$A$3:$AW$699,17,FALSE)="","",VLOOKUP($A19,Sheet1!$A$3:$AW$699,17,FALSE))</f>
        <v>16777216</v>
      </c>
      <c r="G19" s="142" t="str">
        <f>IF(VLOOKUP($A19,Sheet1!$A$3:$AW$699,18,FALSE)="","",VLOOKUP($A19,Sheet1!$A$3:$AW$699,18,FALSE))</f>
        <v/>
      </c>
      <c r="H19" s="142" t="str">
        <f>IF(VLOOKUP($A19,Sheet1!$A$3:$AW$699,19,FALSE)="","",VLOOKUP($A19,Sheet1!$A$3:$AW$699,19,FALSE))</f>
        <v>Counts/Rev</v>
      </c>
      <c r="I19" s="9" t="str">
        <f>IF(VLOOKUP($A19,Sheet1!$A$3:$AW$699,5,FALSE)="","",VLOOKUP($A19,Sheet1!$A$3:$AW$699,5,FALSE))</f>
        <v>DINT</v>
      </c>
      <c r="J19" s="7" t="s">
        <v>63</v>
      </c>
      <c r="K19" s="7" t="s">
        <v>48</v>
      </c>
      <c r="L19" s="146" t="str">
        <f>IF(VLOOKUP($A19,Sheet1!$A$3:$AW$699,7,FALSE)="★","x","")</f>
        <v/>
      </c>
      <c r="M19" s="146" t="str">
        <f>IF(VLOOKUP($A19,Sheet1!$A$3:$AW$699,8,FALSE)="▲","x","")</f>
        <v>x</v>
      </c>
      <c r="N19" s="146" t="str">
        <f>IF(VLOOKUP($A19,Sheet1!$A$3:$AW$699,9,FALSE)="●","x","")</f>
        <v>x</v>
      </c>
      <c r="O19" s="146" t="str">
        <f>IF(VLOOKUP($A19,Sheet1!$A$3:$AW$699,10,FALSE)="■","x","")</f>
        <v/>
      </c>
      <c r="P19" s="9" t="str">
        <f>IF(VLOOKUP($A19,Sheet1!$A$3:$AW$699,2,FALSE)="","",VLOOKUP($A19,Sheet1!$A$3:$AW$699,2,FALSE))</f>
        <v>PM.004</v>
      </c>
    </row>
    <row r="20" spans="1:16" ht="112.2" x14ac:dyDescent="0.3">
      <c r="A20" s="9">
        <v>601</v>
      </c>
      <c r="B20" s="9" t="str">
        <f>IF(VLOOKUP($A20,Sheet1!$A$3:$AW$699,20,FALSE)="","",VLOOKUP($A20,Sheet1!$A$3:$AW$699,20,FALSE))</f>
        <v>PhaseSequence</v>
      </c>
      <c r="C20" s="9" t="str">
        <f>IF(VLOOKUP($A20,Sheet1!$A$3:$AW$699,25,FALSE)="","",VLOOKUP($A20,Sheet1!$A$3:$AW$699,25,FALSE))</f>
        <v>All</v>
      </c>
      <c r="D20" s="142" t="str">
        <f>IF(VLOOKUP($A20,Sheet1!$A$3:$AW$699,15,FALSE)="","",VLOOKUP($A20,Sheet1!$A$3:$AW$699,15,FALSE))</f>
        <v>0x0000</v>
      </c>
      <c r="E20" s="142" t="str">
        <f>IF(VLOOKUP($A20,Sheet1!$A$3:$AW$699,16,FALSE)="","",VLOOKUP($A20,Sheet1!$A$3:$AW$699,16,FALSE))</f>
        <v>0x0111</v>
      </c>
      <c r="F20" s="142" t="str">
        <f>IF(VLOOKUP($A20,Sheet1!$A$3:$AW$699,17,FALSE)="","",VLOOKUP($A20,Sheet1!$A$3:$AW$699,17,FALSE))</f>
        <v>0x0000</v>
      </c>
      <c r="G20" s="142" t="str">
        <f>IF(VLOOKUP($A20,Sheet1!$A$3:$AW$699,18,FALSE)="","",VLOOKUP($A20,Sheet1!$A$3:$AW$699,18,FALSE))</f>
        <v/>
      </c>
      <c r="H20" s="142" t="str">
        <f>IF(VLOOKUP($A20,Sheet1!$A$3:$AW$699,19,FALSE)="","",VLOOKUP($A20,Sheet1!$A$3:$AW$699,19,FALSE))</f>
        <v/>
      </c>
      <c r="I20" s="9" t="str">
        <f>IF(VLOOKUP($A20,Sheet1!$A$3:$AW$699,5,FALSE)="","",VLOOKUP($A20,Sheet1!$A$3:$AW$699,5,FALSE))</f>
        <v>UINT</v>
      </c>
      <c r="J20" s="8" t="s">
        <v>64</v>
      </c>
      <c r="K20" s="7" t="s">
        <v>48</v>
      </c>
      <c r="L20" s="146" t="str">
        <f>IF(VLOOKUP($A20,Sheet1!$A$3:$AW$699,7,FALSE)="★","x","")</f>
        <v/>
      </c>
      <c r="M20" s="146" t="str">
        <f>IF(VLOOKUP($A20,Sheet1!$A$3:$AW$699,8,FALSE)="▲","x","")</f>
        <v>x</v>
      </c>
      <c r="N20" s="146" t="str">
        <f>IF(VLOOKUP($A20,Sheet1!$A$3:$AW$699,9,FALSE)="●","x","")</f>
        <v>x</v>
      </c>
      <c r="O20" s="146" t="str">
        <f>IF(VLOOKUP($A20,Sheet1!$A$3:$AW$699,10,FALSE)="■","x","")</f>
        <v/>
      </c>
      <c r="P20" s="9" t="str">
        <f>IF(VLOOKUP($A20,Sheet1!$A$3:$AW$699,2,FALSE)="","",VLOOKUP($A20,Sheet1!$A$3:$AW$699,2,FALSE))</f>
        <v>PM.006</v>
      </c>
    </row>
    <row r="21" spans="1:16" ht="30.6" x14ac:dyDescent="0.3">
      <c r="A21" s="9">
        <v>602</v>
      </c>
      <c r="B21" s="9" t="str">
        <f>IF(VLOOKUP($A21,Sheet1!$A$3:$AW$699,20,FALSE)="","",VLOOKUP($A21,Sheet1!$A$3:$AW$699,20,FALSE))</f>
        <v>CommutationOffset</v>
      </c>
      <c r="C21" s="9" t="str">
        <f>IF(VLOOKUP($A21,Sheet1!$A$3:$AW$699,25,FALSE)="","",VLOOKUP($A21,Sheet1!$A$3:$AW$699,25,FALSE))</f>
        <v>All</v>
      </c>
      <c r="D21" s="142">
        <f>IF(VLOOKUP($A21,Sheet1!$A$3:$AW$699,15,FALSE)="","",VLOOKUP($A21,Sheet1!$A$3:$AW$699,15,FALSE))</f>
        <v>0</v>
      </c>
      <c r="E21" s="142">
        <f>IF(VLOOKUP($A21,Sheet1!$A$3:$AW$699,16,FALSE)="","",VLOOKUP($A21,Sheet1!$A$3:$AW$699,16,FALSE))</f>
        <v>3600</v>
      </c>
      <c r="F21" s="142">
        <f>IF(VLOOKUP($A21,Sheet1!$A$3:$AW$699,17,FALSE)="","",VLOOKUP($A21,Sheet1!$A$3:$AW$699,17,FALSE))</f>
        <v>0</v>
      </c>
      <c r="G21" s="142">
        <f>IF(VLOOKUP($A21,Sheet1!$A$3:$AW$699,18,FALSE)="","",VLOOKUP($A21,Sheet1!$A$3:$AW$699,18,FALSE))</f>
        <v>0.1</v>
      </c>
      <c r="H21" s="142" t="str">
        <f>IF(VLOOKUP($A21,Sheet1!$A$3:$AW$699,19,FALSE)="","",VLOOKUP($A21,Sheet1!$A$3:$AW$699,19,FALSE))</f>
        <v>Degrees</v>
      </c>
      <c r="I21" s="9" t="str">
        <f>IF(VLOOKUP($A21,Sheet1!$A$3:$AW$699,5,FALSE)="","",VLOOKUP($A21,Sheet1!$A$3:$AW$699,5,FALSE))</f>
        <v>INT</v>
      </c>
      <c r="J21" s="7" t="s">
        <v>65</v>
      </c>
      <c r="K21" s="7" t="s">
        <v>48</v>
      </c>
      <c r="L21" s="146" t="str">
        <f>IF(VLOOKUP($A21,Sheet1!$A$3:$AW$699,7,FALSE)="★","x","")</f>
        <v/>
      </c>
      <c r="M21" s="146" t="str">
        <f>IF(VLOOKUP($A21,Sheet1!$A$3:$AW$699,8,FALSE)="▲","x","")</f>
        <v>x</v>
      </c>
      <c r="N21" s="146" t="str">
        <f>IF(VLOOKUP($A21,Sheet1!$A$3:$AW$699,9,FALSE)="●","x","")</f>
        <v>x</v>
      </c>
      <c r="O21" s="146" t="str">
        <f>IF(VLOOKUP($A21,Sheet1!$A$3:$AW$699,10,FALSE)="■","x","")</f>
        <v/>
      </c>
      <c r="P21" s="9" t="str">
        <f>IF(VLOOKUP($A21,Sheet1!$A$3:$AW$699,2,FALSE)="","",VLOOKUP($A21,Sheet1!$A$3:$AW$699,2,FALSE))</f>
        <v>PM.007</v>
      </c>
    </row>
    <row r="22" spans="1:16" ht="20.399999999999999" x14ac:dyDescent="0.3">
      <c r="A22" s="9">
        <v>603</v>
      </c>
      <c r="B22" s="9" t="str">
        <f>IF(VLOOKUP($A22,Sheet1!$A$3:$AW$699,20,FALSE)="","",VLOOKUP($A22,Sheet1!$A$3:$AW$699,20,FALSE))</f>
        <v>HallHystersisWidth</v>
      </c>
      <c r="C22" s="9" t="str">
        <f>IF(VLOOKUP($A22,Sheet1!$A$3:$AW$699,25,FALSE)="","",VLOOKUP($A22,Sheet1!$A$3:$AW$699,25,FALSE))</f>
        <v>All</v>
      </c>
      <c r="D22" s="142">
        <f>IF(VLOOKUP($A22,Sheet1!$A$3:$AW$699,15,FALSE)="","",VLOOKUP($A22,Sheet1!$A$3:$AW$699,15,FALSE))</f>
        <v>0</v>
      </c>
      <c r="E22" s="142">
        <f>IF(VLOOKUP($A22,Sheet1!$A$3:$AW$699,16,FALSE)="","",VLOOKUP($A22,Sheet1!$A$3:$AW$699,16,FALSE))</f>
        <v>3600</v>
      </c>
      <c r="F22" s="142">
        <f>IF(VLOOKUP($A22,Sheet1!$A$3:$AW$699,17,FALSE)="","",VLOOKUP($A22,Sheet1!$A$3:$AW$699,17,FALSE))</f>
        <v>0</v>
      </c>
      <c r="G22" s="142">
        <f>IF(VLOOKUP($A22,Sheet1!$A$3:$AW$699,18,FALSE)="","",VLOOKUP($A22,Sheet1!$A$3:$AW$699,18,FALSE))</f>
        <v>0.1</v>
      </c>
      <c r="H22" s="142" t="str">
        <f>IF(VLOOKUP($A22,Sheet1!$A$3:$AW$699,19,FALSE)="","",VLOOKUP($A22,Sheet1!$A$3:$AW$699,19,FALSE))</f>
        <v>Degrees</v>
      </c>
      <c r="I22" s="9" t="str">
        <f>IF(VLOOKUP($A22,Sheet1!$A$3:$AW$699,5,FALSE)="","",VLOOKUP($A22,Sheet1!$A$3:$AW$699,5,FALSE))</f>
        <v>INT</v>
      </c>
      <c r="J22" s="7" t="s">
        <v>66</v>
      </c>
      <c r="K22" s="7" t="s">
        <v>48</v>
      </c>
      <c r="L22" s="146" t="str">
        <f>IF(VLOOKUP($A22,Sheet1!$A$3:$AW$699,7,FALSE)="★","x","")</f>
        <v/>
      </c>
      <c r="M22" s="146" t="str">
        <f>IF(VLOOKUP($A22,Sheet1!$A$3:$AW$699,8,FALSE)="▲","x","")</f>
        <v>x</v>
      </c>
      <c r="N22" s="146" t="str">
        <f>IF(VLOOKUP($A22,Sheet1!$A$3:$AW$699,9,FALSE)="●","x","")</f>
        <v>x</v>
      </c>
      <c r="O22" s="146" t="str">
        <f>IF(VLOOKUP($A22,Sheet1!$A$3:$AW$699,10,FALSE)="■","x","")</f>
        <v/>
      </c>
      <c r="P22" s="9" t="str">
        <f>IF(VLOOKUP($A22,Sheet1!$A$3:$AW$699,2,FALSE)="","",VLOOKUP($A22,Sheet1!$A$3:$AW$699,2,FALSE))</f>
        <v>PM.008</v>
      </c>
    </row>
    <row r="23" spans="1:16" ht="78.599999999999994" customHeight="1" x14ac:dyDescent="0.3">
      <c r="A23" s="9">
        <v>604</v>
      </c>
      <c r="B23" s="9" t="str">
        <f>IF(VLOOKUP($A23,Sheet1!$A$3:$AW$699,20,FALSE)="","",VLOOKUP($A23,Sheet1!$A$3:$AW$699,20,FALSE))</f>
        <v>ElectricalAngleCorrection</v>
      </c>
      <c r="C23" s="9" t="str">
        <f>IF(VLOOKUP($A23,Sheet1!$A$3:$AW$699,25,FALSE)="","",VLOOKUP($A23,Sheet1!$A$3:$AW$699,25,FALSE))</f>
        <v>All</v>
      </c>
      <c r="D23" s="142" t="str">
        <f>IF(VLOOKUP($A23,Sheet1!$A$3:$AW$699,15,FALSE)="","",VLOOKUP($A23,Sheet1!$A$3:$AW$699,15,FALSE))</f>
        <v>0x0000</v>
      </c>
      <c r="E23" s="142" t="str">
        <f>IF(VLOOKUP($A23,Sheet1!$A$3:$AW$699,16,FALSE)="","",VLOOKUP($A23,Sheet1!$A$3:$AW$699,16,FALSE))</f>
        <v>0x0010</v>
      </c>
      <c r="F23" s="142" t="str">
        <f>IF(VLOOKUP($A23,Sheet1!$A$3:$AW$699,17,FALSE)="","",VLOOKUP($A23,Sheet1!$A$3:$AW$699,17,FALSE))</f>
        <v>0x0010</v>
      </c>
      <c r="G23" s="142" t="str">
        <f>IF(VLOOKUP($A23,Sheet1!$A$3:$AW$699,18,FALSE)="","",VLOOKUP($A23,Sheet1!$A$3:$AW$699,18,FALSE))</f>
        <v/>
      </c>
      <c r="H23" s="142" t="str">
        <f>IF(VLOOKUP($A23,Sheet1!$A$3:$AW$699,19,FALSE)="","",VLOOKUP($A23,Sheet1!$A$3:$AW$699,19,FALSE))</f>
        <v/>
      </c>
      <c r="I23" s="9" t="str">
        <f>IF(VLOOKUP($A23,Sheet1!$A$3:$AW$699,5,FALSE)="","",VLOOKUP($A23,Sheet1!$A$3:$AW$699,5,FALSE))</f>
        <v>UINT</v>
      </c>
      <c r="J23" s="7" t="s">
        <v>67</v>
      </c>
      <c r="K23" s="7" t="s">
        <v>51</v>
      </c>
      <c r="L23" s="146" t="str">
        <f>IF(VLOOKUP($A23,Sheet1!$A$3:$AW$699,7,FALSE)="★","x","")</f>
        <v/>
      </c>
      <c r="M23" s="146" t="str">
        <f>IF(VLOOKUP($A23,Sheet1!$A$3:$AW$699,8,FALSE)="▲","x","")</f>
        <v>x</v>
      </c>
      <c r="N23" s="146" t="str">
        <f>IF(VLOOKUP($A23,Sheet1!$A$3:$AW$699,9,FALSE)="●","x","")</f>
        <v/>
      </c>
      <c r="O23" s="146" t="str">
        <f>IF(VLOOKUP($A23,Sheet1!$A$3:$AW$699,10,FALSE)="■","x","")</f>
        <v/>
      </c>
      <c r="P23" s="9" t="str">
        <f>IF(VLOOKUP($A23,Sheet1!$A$3:$AW$699,2,FALSE)="","",VLOOKUP($A23,Sheet1!$A$3:$AW$699,2,FALSE))</f>
        <v>PM.009</v>
      </c>
    </row>
    <row r="24" spans="1:16" ht="20.399999999999999" x14ac:dyDescent="0.3">
      <c r="A24" s="9">
        <v>609</v>
      </c>
      <c r="B24" s="9" t="str">
        <f>IF(VLOOKUP($A24,Sheet1!$A$3:$AW$699,20,FALSE)="","",VLOOKUP($A24,Sheet1!$A$3:$AW$699,20,FALSE))</f>
        <v>MotorTempSensor</v>
      </c>
      <c r="C24" s="9" t="str">
        <f>IF(VLOOKUP($A24,Sheet1!$A$3:$AW$699,25,FALSE)="","",VLOOKUP($A24,Sheet1!$A$3:$AW$699,25,FALSE))</f>
        <v>All</v>
      </c>
      <c r="D24" s="142">
        <f>IF(VLOOKUP($A24,Sheet1!$A$3:$AW$699,15,FALSE)="","",VLOOKUP($A24,Sheet1!$A$3:$AW$699,15,FALSE))</f>
        <v>0</v>
      </c>
      <c r="E24" s="142">
        <f>IF(VLOOKUP($A24,Sheet1!$A$3:$AW$699,16,FALSE)="","",VLOOKUP($A24,Sheet1!$A$3:$AW$699,16,FALSE))</f>
        <v>3</v>
      </c>
      <c r="F24" s="142">
        <f>IF(VLOOKUP($A24,Sheet1!$A$3:$AW$699,17,FALSE)="","",VLOOKUP($A24,Sheet1!$A$3:$AW$699,17,FALSE))</f>
        <v>0</v>
      </c>
      <c r="G24" s="142" t="str">
        <f>IF(VLOOKUP($A24,Sheet1!$A$3:$AW$699,18,FALSE)="","",VLOOKUP($A24,Sheet1!$A$3:$AW$699,18,FALSE))</f>
        <v/>
      </c>
      <c r="H24" s="142" t="str">
        <f>IF(VLOOKUP($A24,Sheet1!$A$3:$AW$699,19,FALSE)="","",VLOOKUP($A24,Sheet1!$A$3:$AW$699,19,FALSE))</f>
        <v/>
      </c>
      <c r="I24" s="9" t="str">
        <f>IF(VLOOKUP($A24,Sheet1!$A$3:$AW$699,5,FALSE)="","",VLOOKUP($A24,Sheet1!$A$3:$AW$699,5,FALSE))</f>
        <v>INT</v>
      </c>
      <c r="J24" s="7" t="s">
        <v>68</v>
      </c>
      <c r="K24" s="7" t="s">
        <v>48</v>
      </c>
      <c r="L24" s="146" t="str">
        <f>IF(VLOOKUP($A24,Sheet1!$A$3:$AW$699,7,FALSE)="★","x","")</f>
        <v>x</v>
      </c>
      <c r="M24" s="146" t="str">
        <f>IF(VLOOKUP($A24,Sheet1!$A$3:$AW$699,8,FALSE)="▲","x","")</f>
        <v>x</v>
      </c>
      <c r="N24" s="146" t="str">
        <f>IF(VLOOKUP($A24,Sheet1!$A$3:$AW$699,9,FALSE)="●","x","")</f>
        <v>x</v>
      </c>
      <c r="O24" s="146" t="str">
        <f>IF(VLOOKUP($A24,Sheet1!$A$3:$AW$699,10,FALSE)="■","x","")</f>
        <v/>
      </c>
      <c r="P24" s="9" t="str">
        <f>IF(VLOOKUP($A24,Sheet1!$A$3:$AW$699,2,FALSE)="","",VLOOKUP($A24,Sheet1!$A$3:$AW$699,2,FALSE))</f>
        <v>PM.022</v>
      </c>
    </row>
    <row r="25" spans="1:16" ht="20.399999999999999" x14ac:dyDescent="0.3">
      <c r="A25" s="9">
        <v>610</v>
      </c>
      <c r="B25" s="9" t="str">
        <f>IF(VLOOKUP($A25,Sheet1!$A$3:$AW$699,20,FALSE)="","",VLOOKUP($A25,Sheet1!$A$3:$AW$699,20,FALSE))</f>
        <v>MotorTempSensorResistance</v>
      </c>
      <c r="C25" s="9" t="str">
        <f>IF(VLOOKUP($A25,Sheet1!$A$3:$AW$699,25,FALSE)="","",VLOOKUP($A25,Sheet1!$A$3:$AW$699,25,FALSE))</f>
        <v>All</v>
      </c>
      <c r="D25" s="142">
        <f>IF(VLOOKUP($A25,Sheet1!$A$3:$AW$699,15,FALSE)="","",VLOOKUP($A25,Sheet1!$A$3:$AW$699,15,FALSE))</f>
        <v>0</v>
      </c>
      <c r="E25" s="142">
        <f>IF(VLOOKUP($A25,Sheet1!$A$3:$AW$699,16,FALSE)="","",VLOOKUP($A25,Sheet1!$A$3:$AW$699,16,FALSE))</f>
        <v>50000</v>
      </c>
      <c r="F25" s="142">
        <f>IF(VLOOKUP($A25,Sheet1!$A$3:$AW$699,17,FALSE)="","",VLOOKUP($A25,Sheet1!$A$3:$AW$699,17,FALSE))</f>
        <v>50000</v>
      </c>
      <c r="G25" s="142" t="str">
        <f>IF(VLOOKUP($A25,Sheet1!$A$3:$AW$699,18,FALSE)="","",VLOOKUP($A25,Sheet1!$A$3:$AW$699,18,FALSE))</f>
        <v/>
      </c>
      <c r="H25" s="142" t="str">
        <f>IF(VLOOKUP($A25,Sheet1!$A$3:$AW$699,19,FALSE)="","",VLOOKUP($A25,Sheet1!$A$3:$AW$699,19,FALSE))</f>
        <v>Ohms</v>
      </c>
      <c r="I25" s="9" t="str">
        <f>IF(VLOOKUP($A25,Sheet1!$A$3:$AW$699,5,FALSE)="","",VLOOKUP($A25,Sheet1!$A$3:$AW$699,5,FALSE))</f>
        <v>DINT</v>
      </c>
      <c r="J25" s="7" t="s">
        <v>69</v>
      </c>
      <c r="K25" s="7" t="s">
        <v>51</v>
      </c>
      <c r="L25" s="146" t="str">
        <f>IF(VLOOKUP($A25,Sheet1!$A$3:$AW$699,7,FALSE)="★","x","")</f>
        <v>x</v>
      </c>
      <c r="M25" s="146" t="str">
        <f>IF(VLOOKUP($A25,Sheet1!$A$3:$AW$699,8,FALSE)="▲","x","")</f>
        <v>x</v>
      </c>
      <c r="N25" s="146" t="str">
        <f>IF(VLOOKUP($A25,Sheet1!$A$3:$AW$699,9,FALSE)="●","x","")</f>
        <v/>
      </c>
      <c r="O25" s="146" t="str">
        <f>IF(VLOOKUP($A25,Sheet1!$A$3:$AW$699,10,FALSE)="■","x","")</f>
        <v/>
      </c>
      <c r="P25" s="9" t="str">
        <f>IF(VLOOKUP($A25,Sheet1!$A$3:$AW$699,2,FALSE)="","",VLOOKUP($A25,Sheet1!$A$3:$AW$699,2,FALSE))</f>
        <v>PM.024</v>
      </c>
    </row>
    <row r="26" spans="1:16" ht="40.799999999999997" x14ac:dyDescent="0.3">
      <c r="A26" s="9">
        <v>611</v>
      </c>
      <c r="B26" s="9" t="str">
        <f>IF(VLOOKUP($A26,Sheet1!$A$3:$AW$699,20,FALSE)="","",VLOOKUP($A26,Sheet1!$A$3:$AW$699,20,FALSE))</f>
        <v>MotorRatedPeakCurrent</v>
      </c>
      <c r="C26" s="9" t="str">
        <f>IF(VLOOKUP($A26,Sheet1!$A$3:$AW$699,25,FALSE)="","",VLOOKUP($A26,Sheet1!$A$3:$AW$699,25,FALSE))</f>
        <v>All</v>
      </c>
      <c r="D26" s="142">
        <f>IF(VLOOKUP($A26,Sheet1!$A$3:$AW$699,15,FALSE)="","",VLOOKUP($A26,Sheet1!$A$3:$AW$699,15,FALSE))</f>
        <v>0</v>
      </c>
      <c r="E26" s="142">
        <f>IF(VLOOKUP($A26,Sheet1!$A$3:$AW$699,16,FALSE)="","",VLOOKUP($A26,Sheet1!$A$3:$AW$699,16,FALSE))</f>
        <v>65535</v>
      </c>
      <c r="F26" s="142">
        <f>IF(VLOOKUP($A26,Sheet1!$A$3:$AW$699,17,FALSE)="","",VLOOKUP($A26,Sheet1!$A$3:$AW$699,17,FALSE))</f>
        <v>650</v>
      </c>
      <c r="G26" s="142">
        <f>IF(VLOOKUP($A26,Sheet1!$A$3:$AW$699,18,FALSE)="","",VLOOKUP($A26,Sheet1!$A$3:$AW$699,18,FALSE))</f>
        <v>0.01</v>
      </c>
      <c r="H26" s="142" t="str">
        <f>IF(VLOOKUP($A26,Sheet1!$A$3:$AW$699,19,FALSE)="","",VLOOKUP($A26,Sheet1!$A$3:$AW$699,19,FALSE))</f>
        <v>Amps (RMS)</v>
      </c>
      <c r="I26" s="9" t="str">
        <f>IF(VLOOKUP($A26,Sheet1!$A$3:$AW$699,5,FALSE)="","",VLOOKUP($A26,Sheet1!$A$3:$AW$699,5,FALSE))</f>
        <v>UINT</v>
      </c>
      <c r="J26" s="7" t="s">
        <v>70</v>
      </c>
      <c r="K26" s="7" t="s">
        <v>48</v>
      </c>
      <c r="L26" s="146" t="str">
        <f>IF(VLOOKUP($A26,Sheet1!$A$3:$AW$699,7,FALSE)="★","x","")</f>
        <v/>
      </c>
      <c r="M26" s="146" t="str">
        <f>IF(VLOOKUP($A26,Sheet1!$A$3:$AW$699,8,FALSE)="▲","x","")</f>
        <v>x</v>
      </c>
      <c r="N26" s="146" t="str">
        <f>IF(VLOOKUP($A26,Sheet1!$A$3:$AW$699,9,FALSE)="●","x","")</f>
        <v>x</v>
      </c>
      <c r="O26" s="146" t="str">
        <f>IF(VLOOKUP($A26,Sheet1!$A$3:$AW$699,10,FALSE)="■","x","")</f>
        <v/>
      </c>
      <c r="P26" s="9" t="str">
        <f>IF(VLOOKUP($A26,Sheet1!$A$3:$AW$699,2,FALSE)="","",VLOOKUP($A26,Sheet1!$A$3:$AW$699,2,FALSE))</f>
        <v>PM.030</v>
      </c>
    </row>
    <row r="27" spans="1:16" ht="14.4" x14ac:dyDescent="0.3">
      <c r="A27" s="9">
        <v>612</v>
      </c>
      <c r="B27" s="9" t="str">
        <f>IF(VLOOKUP($A27,Sheet1!$A$3:$AW$699,20,FALSE)="","",VLOOKUP($A27,Sheet1!$A$3:$AW$699,20,FALSE))</f>
        <v>PMMotorResistance</v>
      </c>
      <c r="C27" s="9" t="str">
        <f>IF(VLOOKUP($A27,Sheet1!$A$3:$AW$699,25,FALSE)="","",VLOOKUP($A27,Sheet1!$A$3:$AW$699,25,FALSE))</f>
        <v>All</v>
      </c>
      <c r="D27" s="142">
        <f>IF(VLOOKUP($A27,Sheet1!$A$3:$AW$699,15,FALSE)="","",VLOOKUP($A27,Sheet1!$A$3:$AW$699,15,FALSE))</f>
        <v>0</v>
      </c>
      <c r="E27" s="142">
        <f>IF(VLOOKUP($A27,Sheet1!$A$3:$AW$699,16,FALSE)="","",VLOOKUP($A27,Sheet1!$A$3:$AW$699,16,FALSE))</f>
        <v>65535</v>
      </c>
      <c r="F27" s="142">
        <f>IF(VLOOKUP($A27,Sheet1!$A$3:$AW$699,17,FALSE)="","",VLOOKUP($A27,Sheet1!$A$3:$AW$699,17,FALSE))</f>
        <v>0</v>
      </c>
      <c r="G27" s="142">
        <f>IF(VLOOKUP($A27,Sheet1!$A$3:$AW$699,18,FALSE)="","",VLOOKUP($A27,Sheet1!$A$3:$AW$699,18,FALSE))</f>
        <v>1E-3</v>
      </c>
      <c r="H27" s="142" t="str">
        <f>IF(VLOOKUP($A27,Sheet1!$A$3:$AW$699,19,FALSE)="","",VLOOKUP($A27,Sheet1!$A$3:$AW$699,19,FALSE))</f>
        <v>Ohms</v>
      </c>
      <c r="I27" s="9" t="str">
        <f>IF(VLOOKUP($A27,Sheet1!$A$3:$AW$699,5,FALSE)="","",VLOOKUP($A27,Sheet1!$A$3:$AW$699,5,FALSE))</f>
        <v>DINT</v>
      </c>
      <c r="J27" s="7" t="s">
        <v>71</v>
      </c>
      <c r="K27" s="7" t="s">
        <v>51</v>
      </c>
      <c r="L27" s="146" t="str">
        <f>IF(VLOOKUP($A27,Sheet1!$A$3:$AW$699,7,FALSE)="★","x","")</f>
        <v/>
      </c>
      <c r="M27" s="146" t="str">
        <f>IF(VLOOKUP($A27,Sheet1!$A$3:$AW$699,8,FALSE)="▲","x","")</f>
        <v>x</v>
      </c>
      <c r="N27" s="146" t="str">
        <f>IF(VLOOKUP($A27,Sheet1!$A$3:$AW$699,9,FALSE)="●","x","")</f>
        <v/>
      </c>
      <c r="O27" s="146" t="str">
        <f>IF(VLOOKUP($A27,Sheet1!$A$3:$AW$699,10,FALSE)="■","x","")</f>
        <v/>
      </c>
      <c r="P27" s="9" t="str">
        <f>IF(VLOOKUP($A27,Sheet1!$A$3:$AW$699,2,FALSE)="","",VLOOKUP($A27,Sheet1!$A$3:$AW$699,2,FALSE))</f>
        <v>PM.035</v>
      </c>
    </row>
    <row r="28" spans="1:16" ht="14.4" x14ac:dyDescent="0.3">
      <c r="A28" s="9">
        <v>613</v>
      </c>
      <c r="B28" s="9" t="str">
        <f>IF(VLOOKUP($A28,Sheet1!$A$3:$AW$699,20,FALSE)="","",VLOOKUP($A28,Sheet1!$A$3:$AW$699,20,FALSE))</f>
        <v>PMMotorInductance</v>
      </c>
      <c r="C28" s="9" t="str">
        <f>IF(VLOOKUP($A28,Sheet1!$A$3:$AW$699,25,FALSE)="","",VLOOKUP($A28,Sheet1!$A$3:$AW$699,25,FALSE))</f>
        <v>All</v>
      </c>
      <c r="D28" s="142">
        <f>IF(VLOOKUP($A28,Sheet1!$A$3:$AW$699,15,FALSE)="","",VLOOKUP($A28,Sheet1!$A$3:$AW$699,15,FALSE))</f>
        <v>0</v>
      </c>
      <c r="E28" s="142">
        <f>IF(VLOOKUP($A28,Sheet1!$A$3:$AW$699,16,FALSE)="","",VLOOKUP($A28,Sheet1!$A$3:$AW$699,16,FALSE))</f>
        <v>65535</v>
      </c>
      <c r="F28" s="142">
        <f>IF(VLOOKUP($A28,Sheet1!$A$3:$AW$699,17,FALSE)="","",VLOOKUP($A28,Sheet1!$A$3:$AW$699,17,FALSE))</f>
        <v>0</v>
      </c>
      <c r="G28" s="142">
        <f>IF(VLOOKUP($A28,Sheet1!$A$3:$AW$699,18,FALSE)="","",VLOOKUP($A28,Sheet1!$A$3:$AW$699,18,FALSE))</f>
        <v>1.0000000000000001E-5</v>
      </c>
      <c r="H28" s="142" t="str">
        <f>IF(VLOOKUP($A28,Sheet1!$A$3:$AW$699,19,FALSE)="","",VLOOKUP($A28,Sheet1!$A$3:$AW$699,19,FALSE))</f>
        <v>H</v>
      </c>
      <c r="I28" s="9" t="str">
        <f>IF(VLOOKUP($A28,Sheet1!$A$3:$AW$699,5,FALSE)="","",VLOOKUP($A28,Sheet1!$A$3:$AW$699,5,FALSE))</f>
        <v>DINT</v>
      </c>
      <c r="J28" s="7" t="s">
        <v>72</v>
      </c>
      <c r="K28" s="7" t="s">
        <v>51</v>
      </c>
      <c r="L28" s="146" t="str">
        <f>IF(VLOOKUP($A28,Sheet1!$A$3:$AW$699,7,FALSE)="★","x","")</f>
        <v/>
      </c>
      <c r="M28" s="146" t="str">
        <f>IF(VLOOKUP($A28,Sheet1!$A$3:$AW$699,8,FALSE)="▲","x","")</f>
        <v>x</v>
      </c>
      <c r="N28" s="146" t="str">
        <f>IF(VLOOKUP($A28,Sheet1!$A$3:$AW$699,9,FALSE)="●","x","")</f>
        <v/>
      </c>
      <c r="O28" s="146" t="str">
        <f>IF(VLOOKUP($A28,Sheet1!$A$3:$AW$699,10,FALSE)="■","x","")</f>
        <v/>
      </c>
      <c r="P28" s="9" t="str">
        <f>IF(VLOOKUP($A28,Sheet1!$A$3:$AW$699,2,FALSE)="","",VLOOKUP($A28,Sheet1!$A$3:$AW$699,2,FALSE))</f>
        <v>PM.036</v>
      </c>
    </row>
    <row r="29" spans="1:16" ht="14.4" x14ac:dyDescent="0.3">
      <c r="A29" s="9">
        <v>614</v>
      </c>
      <c r="B29" s="9" t="str">
        <f>IF(VLOOKUP($A29,Sheet1!$A$3:$AW$699,20,FALSE)="","",VLOOKUP($A29,Sheet1!$A$3:$AW$699,20,FALSE))</f>
        <v>PMMotorVoltageConstant</v>
      </c>
      <c r="C29" s="9" t="str">
        <f>IF(VLOOKUP($A29,Sheet1!$A$3:$AW$699,25,FALSE)="","",VLOOKUP($A29,Sheet1!$A$3:$AW$699,25,FALSE))</f>
        <v>All</v>
      </c>
      <c r="D29" s="142">
        <f>IF(VLOOKUP($A29,Sheet1!$A$3:$AW$699,15,FALSE)="","",VLOOKUP($A29,Sheet1!$A$3:$AW$699,15,FALSE))</f>
        <v>0</v>
      </c>
      <c r="E29" s="142">
        <f>IF(VLOOKUP($A29,Sheet1!$A$3:$AW$699,16,FALSE)="","",VLOOKUP($A29,Sheet1!$A$3:$AW$699,16,FALSE))</f>
        <v>22876</v>
      </c>
      <c r="F29" s="142">
        <f>IF(VLOOKUP($A29,Sheet1!$A$3:$AW$699,17,FALSE)="","",VLOOKUP($A29,Sheet1!$A$3:$AW$699,17,FALSE))</f>
        <v>0</v>
      </c>
      <c r="G29" s="142">
        <f>IF(VLOOKUP($A29,Sheet1!$A$3:$AW$699,18,FALSE)="","",VLOOKUP($A29,Sheet1!$A$3:$AW$699,18,FALSE))</f>
        <v>0.1</v>
      </c>
      <c r="H29" s="142" t="str">
        <f>IF(VLOOKUP($A29,Sheet1!$A$3:$AW$699,19,FALSE)="","",VLOOKUP($A29,Sheet1!$A$3:$AW$699,19,FALSE))</f>
        <v>Volts (RMS)/KRPM</v>
      </c>
      <c r="I29" s="9" t="str">
        <f>IF(VLOOKUP($A29,Sheet1!$A$3:$AW$699,5,FALSE)="","",VLOOKUP($A29,Sheet1!$A$3:$AW$699,5,FALSE))</f>
        <v>INT</v>
      </c>
      <c r="J29" s="7" t="s">
        <v>73</v>
      </c>
      <c r="K29" s="7" t="s">
        <v>51</v>
      </c>
      <c r="L29" s="146" t="str">
        <f>IF(VLOOKUP($A29,Sheet1!$A$3:$AW$699,7,FALSE)="★","x","")</f>
        <v/>
      </c>
      <c r="M29" s="146" t="str">
        <f>IF(VLOOKUP($A29,Sheet1!$A$3:$AW$699,8,FALSE)="▲","x","")</f>
        <v>x</v>
      </c>
      <c r="N29" s="146" t="str">
        <f>IF(VLOOKUP($A29,Sheet1!$A$3:$AW$699,9,FALSE)="●","x","")</f>
        <v/>
      </c>
      <c r="O29" s="146" t="str">
        <f>IF(VLOOKUP($A29,Sheet1!$A$3:$AW$699,10,FALSE)="■","x","")</f>
        <v/>
      </c>
      <c r="P29" s="9" t="str">
        <f>IF(VLOOKUP($A29,Sheet1!$A$3:$AW$699,2,FALSE)="","",VLOOKUP($A29,Sheet1!$A$3:$AW$699,2,FALSE))</f>
        <v>PM.038</v>
      </c>
    </row>
    <row r="30" spans="1:16" ht="20.399999999999999" x14ac:dyDescent="0.3">
      <c r="A30" s="9">
        <v>615</v>
      </c>
      <c r="B30" s="9" t="str">
        <f>IF(VLOOKUP($A30,Sheet1!$A$3:$AW$699,20,FALSE)="","",VLOOKUP($A30,Sheet1!$A$3:$AW$699,20,FALSE))</f>
        <v>LinearMotorPolePitch</v>
      </c>
      <c r="C30" s="9" t="str">
        <f>IF(VLOOKUP($A30,Sheet1!$A$3:$AW$699,25,FALSE)="","",VLOOKUP($A30,Sheet1!$A$3:$AW$699,25,FALSE))</f>
        <v>All</v>
      </c>
      <c r="D30" s="142">
        <f>IF(VLOOKUP($A30,Sheet1!$A$3:$AW$699,15,FALSE)="","",VLOOKUP($A30,Sheet1!$A$3:$AW$699,15,FALSE))</f>
        <v>1000</v>
      </c>
      <c r="E30" s="142">
        <f>IF(VLOOKUP($A30,Sheet1!$A$3:$AW$699,16,FALSE)="","",VLOOKUP($A30,Sheet1!$A$3:$AW$699,16,FALSE))</f>
        <v>500000</v>
      </c>
      <c r="F30" s="142">
        <f>IF(VLOOKUP($A30,Sheet1!$A$3:$AW$699,17,FALSE)="","",VLOOKUP($A30,Sheet1!$A$3:$AW$699,17,FALSE))</f>
        <v>30000</v>
      </c>
      <c r="G30" s="142">
        <f>IF(VLOOKUP($A30,Sheet1!$A$3:$AW$699,18,FALSE)="","",VLOOKUP($A30,Sheet1!$A$3:$AW$699,18,FALSE))</f>
        <v>1E-3</v>
      </c>
      <c r="H30" s="142" t="str">
        <f>IF(VLOOKUP($A30,Sheet1!$A$3:$AW$699,19,FALSE)="","",VLOOKUP($A30,Sheet1!$A$3:$AW$699,19,FALSE))</f>
        <v>mm</v>
      </c>
      <c r="I30" s="9" t="str">
        <f>IF(VLOOKUP($A30,Sheet1!$A$3:$AW$699,5,FALSE)="","",VLOOKUP($A30,Sheet1!$A$3:$AW$699,5,FALSE))</f>
        <v>DINT</v>
      </c>
      <c r="J30" s="152" t="s">
        <v>74</v>
      </c>
      <c r="K30" s="7" t="s">
        <v>51</v>
      </c>
      <c r="L30" s="146" t="str">
        <f>IF(VLOOKUP($A30,Sheet1!$A$3:$AW$699,7,FALSE)="★","x","")</f>
        <v/>
      </c>
      <c r="M30" s="146" t="str">
        <f>IF(VLOOKUP($A30,Sheet1!$A$3:$AW$699,8,FALSE)="▲","x","")</f>
        <v>x</v>
      </c>
      <c r="N30" s="146" t="str">
        <f>IF(VLOOKUP($A30,Sheet1!$A$3:$AW$699,9,FALSE)="●","x","")</f>
        <v>x</v>
      </c>
      <c r="O30" s="146" t="str">
        <f>IF(VLOOKUP($A30,Sheet1!$A$3:$AW$699,10,FALSE)="■","x","")</f>
        <v/>
      </c>
      <c r="P30" s="9" t="str">
        <f>IF(VLOOKUP($A30,Sheet1!$A$3:$AW$699,2,FALSE)="","",VLOOKUP($A30,Sheet1!$A$3:$AW$699,2,FALSE))</f>
        <v>PM.045</v>
      </c>
    </row>
    <row r="31" spans="1:16" ht="20.399999999999999" x14ac:dyDescent="0.3">
      <c r="A31" s="9">
        <v>616</v>
      </c>
      <c r="B31" s="9" t="str">
        <f>IF(VLOOKUP($A31,Sheet1!$A$3:$AW$699,20,FALSE)="","",VLOOKUP($A31,Sheet1!$A$3:$AW$699,20,FALSE))</f>
        <v>PMMotorForceConstant</v>
      </c>
      <c r="C31" s="9" t="str">
        <f>IF(VLOOKUP($A31,Sheet1!$A$3:$AW$699,25,FALSE)="","",VLOOKUP($A31,Sheet1!$A$3:$AW$699,25,FALSE))</f>
        <v>All</v>
      </c>
      <c r="D31" s="142">
        <f>IF(VLOOKUP($A31,Sheet1!$A$3:$AW$699,15,FALSE)="","",VLOOKUP($A31,Sheet1!$A$3:$AW$699,15,FALSE))</f>
        <v>0</v>
      </c>
      <c r="E31" s="142">
        <f>IF(VLOOKUP($A31,Sheet1!$A$3:$AW$699,16,FALSE)="","",VLOOKUP($A31,Sheet1!$A$3:$AW$699,16,FALSE))</f>
        <v>177362</v>
      </c>
      <c r="F31" s="142">
        <f>IF(VLOOKUP($A31,Sheet1!$A$3:$AW$699,17,FALSE)="","",VLOOKUP($A31,Sheet1!$A$3:$AW$699,17,FALSE))</f>
        <v>0</v>
      </c>
      <c r="G31" s="142">
        <f>IF(VLOOKUP($A31,Sheet1!$A$3:$AW$699,18,FALSE)="","",VLOOKUP($A31,Sheet1!$A$3:$AW$699,18,FALSE))</f>
        <v>0.01</v>
      </c>
      <c r="H31" s="142" t="str">
        <f>IF(VLOOKUP($A31,Sheet1!$A$3:$AW$699,19,FALSE)="","",VLOOKUP($A31,Sheet1!$A$3:$AW$699,19,FALSE))</f>
        <v>N/Amps (RMS)</v>
      </c>
      <c r="I31" s="9" t="str">
        <f>IF(VLOOKUP($A31,Sheet1!$A$3:$AW$699,5,FALSE)="","",VLOOKUP($A31,Sheet1!$A$3:$AW$699,5,FALSE))</f>
        <v>DINT</v>
      </c>
      <c r="J31" s="152" t="s">
        <v>75</v>
      </c>
      <c r="K31" s="7" t="s">
        <v>51</v>
      </c>
      <c r="L31" s="146" t="str">
        <f>IF(VLOOKUP($A31,Sheet1!$A$3:$AW$699,7,FALSE)="★","x","")</f>
        <v/>
      </c>
      <c r="M31" s="146" t="str">
        <f>IF(VLOOKUP($A31,Sheet1!$A$3:$AW$699,8,FALSE)="▲","x","")</f>
        <v>x</v>
      </c>
      <c r="N31" s="146" t="str">
        <f>IF(VLOOKUP($A31,Sheet1!$A$3:$AW$699,9,FALSE)="●","x","")</f>
        <v/>
      </c>
      <c r="O31" s="146" t="str">
        <f>IF(VLOOKUP($A31,Sheet1!$A$3:$AW$699,10,FALSE)="■","x","")</f>
        <v/>
      </c>
      <c r="P31" s="9" t="str">
        <f>IF(VLOOKUP($A31,Sheet1!$A$3:$AW$699,2,FALSE)="","",VLOOKUP($A31,Sheet1!$A$3:$AW$699,2,FALSE))</f>
        <v>PM.049</v>
      </c>
    </row>
    <row r="32" spans="1:16" ht="20.399999999999999" x14ac:dyDescent="0.3">
      <c r="A32" s="9">
        <v>617</v>
      </c>
      <c r="B32" s="9" t="str">
        <f>IF(VLOOKUP($A32,Sheet1!$A$3:$AW$699,20,FALSE)="","",VLOOKUP($A32,Sheet1!$A$3:$AW$699,20,FALSE))</f>
        <v>InductionMotorRatedFrequency</v>
      </c>
      <c r="C32" s="9" t="str">
        <f>IF(VLOOKUP($A32,Sheet1!$A$3:$AW$699,25,FALSE)="","",VLOOKUP($A32,Sheet1!$A$3:$AW$699,25,FALSE))</f>
        <v>All</v>
      </c>
      <c r="D32" s="142">
        <f>IF(VLOOKUP($A32,Sheet1!$A$3:$AW$699,15,FALSE)="","",VLOOKUP($A32,Sheet1!$A$3:$AW$699,15,FALSE))</f>
        <v>0</v>
      </c>
      <c r="E32" s="142">
        <f>IF(VLOOKUP($A32,Sheet1!$A$3:$AW$699,16,FALSE)="","",VLOOKUP($A32,Sheet1!$A$3:$AW$699,16,FALSE))</f>
        <v>10000</v>
      </c>
      <c r="F32" s="142">
        <f>IF(VLOOKUP($A32,Sheet1!$A$3:$AW$699,17,FALSE)="","",VLOOKUP($A32,Sheet1!$A$3:$AW$699,17,FALSE))</f>
        <v>500</v>
      </c>
      <c r="G32" s="142">
        <f>IF(VLOOKUP($A32,Sheet1!$A$3:$AW$699,18,FALSE)="","",VLOOKUP($A32,Sheet1!$A$3:$AW$699,18,FALSE))</f>
        <v>0.1</v>
      </c>
      <c r="H32" s="142" t="str">
        <f>IF(VLOOKUP($A32,Sheet1!$A$3:$AW$699,19,FALSE)="","",VLOOKUP($A32,Sheet1!$A$3:$AW$699,19,FALSE))</f>
        <v>Hz</v>
      </c>
      <c r="I32" s="9" t="str">
        <f>IF(VLOOKUP($A32,Sheet1!$A$3:$AW$699,5,FALSE)="","",VLOOKUP($A32,Sheet1!$A$3:$AW$699,5,FALSE))</f>
        <v>INT</v>
      </c>
      <c r="J32" s="152" t="s">
        <v>76</v>
      </c>
      <c r="K32" s="7" t="s">
        <v>51</v>
      </c>
      <c r="L32" s="146" t="str">
        <f>IF(VLOOKUP($A32,Sheet1!$A$3:$AW$699,7,FALSE)="★","x","")</f>
        <v/>
      </c>
      <c r="M32" s="146" t="str">
        <f>IF(VLOOKUP($A32,Sheet1!$A$3:$AW$699,8,FALSE)="▲","x","")</f>
        <v>x</v>
      </c>
      <c r="N32" s="146" t="str">
        <f>IF(VLOOKUP($A32,Sheet1!$A$3:$AW$699,9,FALSE)="●","x","")</f>
        <v/>
      </c>
      <c r="O32" s="146" t="str">
        <f>IF(VLOOKUP($A32,Sheet1!$A$3:$AW$699,10,FALSE)="■","x","")</f>
        <v/>
      </c>
      <c r="P32" s="9" t="str">
        <f>IF(VLOOKUP($A32,Sheet1!$A$3:$AW$699,2,FALSE)="","",VLOOKUP($A32,Sheet1!$A$3:$AW$699,2,FALSE))</f>
        <v>PM.066</v>
      </c>
    </row>
    <row r="33" spans="1:16" ht="20.399999999999999" x14ac:dyDescent="0.3">
      <c r="A33" s="9">
        <v>618</v>
      </c>
      <c r="B33" s="9" t="str">
        <f>IF(VLOOKUP($A33,Sheet1!$A$3:$AW$699,20,FALSE)="","",VLOOKUP($A33,Sheet1!$A$3:$AW$699,20,FALSE))</f>
        <v>InductionMotorRotorResistance</v>
      </c>
      <c r="C33" s="9" t="str">
        <f>IF(VLOOKUP($A33,Sheet1!$A$3:$AW$699,25,FALSE)="","",VLOOKUP($A33,Sheet1!$A$3:$AW$699,25,FALSE))</f>
        <v>All</v>
      </c>
      <c r="D33" s="142">
        <f>IF(VLOOKUP($A33,Sheet1!$A$3:$AW$699,15,FALSE)="","",VLOOKUP($A33,Sheet1!$A$3:$AW$699,15,FALSE))</f>
        <v>0</v>
      </c>
      <c r="E33" s="142">
        <f>IF(VLOOKUP($A33,Sheet1!$A$3:$AW$699,16,FALSE)="","",VLOOKUP($A33,Sheet1!$A$3:$AW$699,16,FALSE))</f>
        <v>15999</v>
      </c>
      <c r="F33" s="142">
        <f>IF(VLOOKUP($A33,Sheet1!$A$3:$AW$699,17,FALSE)="","",VLOOKUP($A33,Sheet1!$A$3:$AW$699,17,FALSE))</f>
        <v>0</v>
      </c>
      <c r="G33" s="142">
        <f>IF(VLOOKUP($A33,Sheet1!$A$3:$AW$699,18,FALSE)="","",VLOOKUP($A33,Sheet1!$A$3:$AW$699,18,FALSE))</f>
        <v>1E-3</v>
      </c>
      <c r="H33" s="142" t="str">
        <f>IF(VLOOKUP($A33,Sheet1!$A$3:$AW$699,19,FALSE)="","",VLOOKUP($A33,Sheet1!$A$3:$AW$699,19,FALSE))</f>
        <v>Ohms</v>
      </c>
      <c r="I33" s="9" t="str">
        <f>IF(VLOOKUP($A33,Sheet1!$A$3:$AW$699,5,FALSE)="","",VLOOKUP($A33,Sheet1!$A$3:$AW$699,5,FALSE))</f>
        <v>INT</v>
      </c>
      <c r="J33" s="152" t="s">
        <v>77</v>
      </c>
      <c r="K33" s="7" t="s">
        <v>51</v>
      </c>
      <c r="L33" s="146" t="str">
        <f>IF(VLOOKUP($A33,Sheet1!$A$3:$AW$699,7,FALSE)="★","x","")</f>
        <v/>
      </c>
      <c r="M33" s="146" t="str">
        <f>IF(VLOOKUP($A33,Sheet1!$A$3:$AW$699,8,FALSE)="▲","x","")</f>
        <v>x</v>
      </c>
      <c r="N33" s="146" t="str">
        <f>IF(VLOOKUP($A33,Sheet1!$A$3:$AW$699,9,FALSE)="●","x","")</f>
        <v/>
      </c>
      <c r="O33" s="146" t="str">
        <f>IF(VLOOKUP($A33,Sheet1!$A$3:$AW$699,10,FALSE)="■","x","")</f>
        <v/>
      </c>
      <c r="P33" s="9" t="str">
        <f>IF(VLOOKUP($A33,Sheet1!$A$3:$AW$699,2,FALSE)="","",VLOOKUP($A33,Sheet1!$A$3:$AW$699,2,FALSE))</f>
        <v>PM.075</v>
      </c>
    </row>
    <row r="34" spans="1:16" ht="20.399999999999999" x14ac:dyDescent="0.3">
      <c r="A34" s="9">
        <v>619</v>
      </c>
      <c r="B34" s="9" t="str">
        <f>IF(VLOOKUP($A34,Sheet1!$A$3:$AW$699,20,FALSE)="","",VLOOKUP($A34,Sheet1!$A$3:$AW$699,20,FALSE))</f>
        <v>InductionMotorLeakageInductance</v>
      </c>
      <c r="C34" s="9" t="str">
        <f>IF(VLOOKUP($A34,Sheet1!$A$3:$AW$699,25,FALSE)="","",VLOOKUP($A34,Sheet1!$A$3:$AW$699,25,FALSE))</f>
        <v>All</v>
      </c>
      <c r="D34" s="142">
        <f>IF(VLOOKUP($A34,Sheet1!$A$3:$AW$699,15,FALSE)="","",VLOOKUP($A34,Sheet1!$A$3:$AW$699,15,FALSE))</f>
        <v>0</v>
      </c>
      <c r="E34" s="142">
        <f>IF(VLOOKUP($A34,Sheet1!$A$3:$AW$699,16,FALSE)="","",VLOOKUP($A34,Sheet1!$A$3:$AW$699,16,FALSE))</f>
        <v>24999</v>
      </c>
      <c r="F34" s="142">
        <f>IF(VLOOKUP($A34,Sheet1!$A$3:$AW$699,17,FALSE)="","",VLOOKUP($A34,Sheet1!$A$3:$AW$699,17,FALSE))</f>
        <v>10</v>
      </c>
      <c r="G34" s="142">
        <f>IF(VLOOKUP($A34,Sheet1!$A$3:$AW$699,18,FALSE)="","",VLOOKUP($A34,Sheet1!$A$3:$AW$699,18,FALSE))</f>
        <v>1.0000000000000001E-5</v>
      </c>
      <c r="H34" s="142" t="str">
        <f>IF(VLOOKUP($A34,Sheet1!$A$3:$AW$699,19,FALSE)="","",VLOOKUP($A34,Sheet1!$A$3:$AW$699,19,FALSE))</f>
        <v>H</v>
      </c>
      <c r="I34" s="9" t="str">
        <f>IF(VLOOKUP($A34,Sheet1!$A$3:$AW$699,5,FALSE)="","",VLOOKUP($A34,Sheet1!$A$3:$AW$699,5,FALSE))</f>
        <v>INT</v>
      </c>
      <c r="J34" s="152" t="s">
        <v>78</v>
      </c>
      <c r="K34" s="7" t="s">
        <v>51</v>
      </c>
      <c r="L34" s="146" t="str">
        <f>IF(VLOOKUP($A34,Sheet1!$A$3:$AW$699,7,FALSE)="★","x","")</f>
        <v/>
      </c>
      <c r="M34" s="146" t="str">
        <f>IF(VLOOKUP($A34,Sheet1!$A$3:$AW$699,8,FALSE)="▲","x","")</f>
        <v>x</v>
      </c>
      <c r="N34" s="146" t="str">
        <f>IF(VLOOKUP($A34,Sheet1!$A$3:$AW$699,9,FALSE)="●","x","")</f>
        <v/>
      </c>
      <c r="O34" s="146" t="str">
        <f>IF(VLOOKUP($A34,Sheet1!$A$3:$AW$699,10,FALSE)="■","x","")</f>
        <v/>
      </c>
      <c r="P34" s="9" t="str">
        <f>IF(VLOOKUP($A34,Sheet1!$A$3:$AW$699,2,FALSE)="","",VLOOKUP($A34,Sheet1!$A$3:$AW$699,2,FALSE))</f>
        <v>PM.076</v>
      </c>
    </row>
    <row r="35" spans="1:16" ht="20.399999999999999" x14ac:dyDescent="0.3">
      <c r="A35" s="9">
        <v>620</v>
      </c>
      <c r="B35" s="9" t="str">
        <f>IF(VLOOKUP($A35,Sheet1!$A$3:$AW$699,20,FALSE)="","",VLOOKUP($A35,Sheet1!$A$3:$AW$699,20,FALSE))</f>
        <v>InductionMotorMutualInductance</v>
      </c>
      <c r="C35" s="9" t="str">
        <f>IF(VLOOKUP($A35,Sheet1!$A$3:$AW$699,25,FALSE)="","",VLOOKUP($A35,Sheet1!$A$3:$AW$699,25,FALSE))</f>
        <v>All</v>
      </c>
      <c r="D35" s="142">
        <f>IF(VLOOKUP($A35,Sheet1!$A$3:$AW$699,15,FALSE)="","",VLOOKUP($A35,Sheet1!$A$3:$AW$699,15,FALSE))</f>
        <v>0</v>
      </c>
      <c r="E35" s="142">
        <f>IF(VLOOKUP($A35,Sheet1!$A$3:$AW$699,16,FALSE)="","",VLOOKUP($A35,Sheet1!$A$3:$AW$699,16,FALSE))</f>
        <v>199900</v>
      </c>
      <c r="F35" s="142">
        <f>IF(VLOOKUP($A35,Sheet1!$A$3:$AW$699,17,FALSE)="","",VLOOKUP($A35,Sheet1!$A$3:$AW$699,17,FALSE))</f>
        <v>10</v>
      </c>
      <c r="G35" s="142">
        <f>IF(VLOOKUP($A35,Sheet1!$A$3:$AW$699,18,FALSE)="","",VLOOKUP($A35,Sheet1!$A$3:$AW$699,18,FALSE))</f>
        <v>1.0000000000000001E-5</v>
      </c>
      <c r="H35" s="142" t="str">
        <f>IF(VLOOKUP($A35,Sheet1!$A$3:$AW$699,19,FALSE)="","",VLOOKUP($A35,Sheet1!$A$3:$AW$699,19,FALSE))</f>
        <v>H</v>
      </c>
      <c r="I35" s="9" t="str">
        <f>IF(VLOOKUP($A35,Sheet1!$A$3:$AW$699,5,FALSE)="","",VLOOKUP($A35,Sheet1!$A$3:$AW$699,5,FALSE))</f>
        <v>DINT</v>
      </c>
      <c r="J35" s="152" t="s">
        <v>79</v>
      </c>
      <c r="K35" s="7" t="s">
        <v>51</v>
      </c>
      <c r="L35" s="146" t="str">
        <f>IF(VLOOKUP($A35,Sheet1!$A$3:$AW$699,7,FALSE)="★","x","")</f>
        <v/>
      </c>
      <c r="M35" s="146" t="str">
        <f>IF(VLOOKUP($A35,Sheet1!$A$3:$AW$699,8,FALSE)="▲","x","")</f>
        <v>x</v>
      </c>
      <c r="N35" s="146" t="str">
        <f>IF(VLOOKUP($A35,Sheet1!$A$3:$AW$699,9,FALSE)="●","x","")</f>
        <v/>
      </c>
      <c r="O35" s="146" t="str">
        <f>IF(VLOOKUP($A35,Sheet1!$A$3:$AW$699,10,FALSE)="■","x","")</f>
        <v/>
      </c>
      <c r="P35" s="9" t="str">
        <f>IF(VLOOKUP($A35,Sheet1!$A$3:$AW$699,2,FALSE)="","",VLOOKUP($A35,Sheet1!$A$3:$AW$699,2,FALSE))</f>
        <v>PM.077</v>
      </c>
    </row>
    <row r="36" spans="1:16" ht="20.399999999999999" x14ac:dyDescent="0.3">
      <c r="A36" s="9">
        <v>621</v>
      </c>
      <c r="B36" s="9" t="str">
        <f>IF(VLOOKUP($A36,Sheet1!$A$3:$AW$699,20,FALSE)="","",VLOOKUP($A36,Sheet1!$A$3:$AW$699,20,FALSE))</f>
        <v>InductionMotorFluxCurrent</v>
      </c>
      <c r="C36" s="9" t="str">
        <f>IF(VLOOKUP($A36,Sheet1!$A$3:$AW$699,25,FALSE)="","",VLOOKUP($A36,Sheet1!$A$3:$AW$699,25,FALSE))</f>
        <v>All</v>
      </c>
      <c r="D36" s="142">
        <f>IF(VLOOKUP($A36,Sheet1!$A$3:$AW$699,15,FALSE)="","",VLOOKUP($A36,Sheet1!$A$3:$AW$699,15,FALSE))</f>
        <v>0</v>
      </c>
      <c r="E36" s="142">
        <f>IF(VLOOKUP($A36,Sheet1!$A$3:$AW$699,16,FALSE)="","",VLOOKUP($A36,Sheet1!$A$3:$AW$699,16,FALSE))</f>
        <v>32767</v>
      </c>
      <c r="F36" s="142">
        <f>IF(VLOOKUP($A36,Sheet1!$A$3:$AW$699,17,FALSE)="","",VLOOKUP($A36,Sheet1!$A$3:$AW$699,17,FALSE))</f>
        <v>10</v>
      </c>
      <c r="G36" s="142">
        <f>IF(VLOOKUP($A36,Sheet1!$A$3:$AW$699,18,FALSE)="","",VLOOKUP($A36,Sheet1!$A$3:$AW$699,18,FALSE))</f>
        <v>0.01</v>
      </c>
      <c r="H36" s="142" t="str">
        <f>IF(VLOOKUP($A36,Sheet1!$A$3:$AW$699,19,FALSE)="","",VLOOKUP($A36,Sheet1!$A$3:$AW$699,19,FALSE))</f>
        <v>Amps (RMS)</v>
      </c>
      <c r="I36" s="9" t="str">
        <f>IF(VLOOKUP($A36,Sheet1!$A$3:$AW$699,5,FALSE)="","",VLOOKUP($A36,Sheet1!$A$3:$AW$699,5,FALSE))</f>
        <v>INT</v>
      </c>
      <c r="J36" s="152" t="s">
        <v>80</v>
      </c>
      <c r="K36" s="7" t="s">
        <v>51</v>
      </c>
      <c r="L36" s="146" t="str">
        <f>IF(VLOOKUP($A36,Sheet1!$A$3:$AW$699,7,FALSE)="★","x","")</f>
        <v/>
      </c>
      <c r="M36" s="146" t="str">
        <f>IF(VLOOKUP($A36,Sheet1!$A$3:$AW$699,8,FALSE)="▲","x","")</f>
        <v>x</v>
      </c>
      <c r="N36" s="146" t="str">
        <f>IF(VLOOKUP($A36,Sheet1!$A$3:$AW$699,9,FALSE)="●","x","")</f>
        <v/>
      </c>
      <c r="O36" s="146" t="str">
        <f>IF(VLOOKUP($A36,Sheet1!$A$3:$AW$699,10,FALSE)="■","x","")</f>
        <v/>
      </c>
      <c r="P36" s="9" t="str">
        <f>IF(VLOOKUP($A36,Sheet1!$A$3:$AW$699,2,FALSE)="","",VLOOKUP($A36,Sheet1!$A$3:$AW$699,2,FALSE))</f>
        <v>PM.078</v>
      </c>
    </row>
    <row r="37" spans="1:16" ht="71.400000000000006" x14ac:dyDescent="0.3">
      <c r="A37" s="9">
        <v>628</v>
      </c>
      <c r="B37" s="9" t="str">
        <f>IF(VLOOKUP($A37,Sheet1!$A$3:$AW$699,20,FALSE)="","",VLOOKUP($A37,Sheet1!$A$3:$AW$699,20,FALSE))</f>
        <v>MotorDataSource</v>
      </c>
      <c r="C37" s="9" t="str">
        <f>IF(VLOOKUP($A37,Sheet1!$A$3:$AW$699,25,FALSE)="","",VLOOKUP($A37,Sheet1!$A$3:$AW$699,25,FALSE))</f>
        <v>All</v>
      </c>
      <c r="D37" s="142">
        <f>IF(VLOOKUP($A37,Sheet1!$A$3:$AW$699,15,FALSE)="","",VLOOKUP($A37,Sheet1!$A$3:$AW$699,15,FALSE))</f>
        <v>0</v>
      </c>
      <c r="E37" s="142">
        <f>IF(VLOOKUP($A37,Sheet1!$A$3:$AW$699,16,FALSE)="","",VLOOKUP($A37,Sheet1!$A$3:$AW$699,16,FALSE))</f>
        <v>2</v>
      </c>
      <c r="F37" s="142">
        <f>IF(VLOOKUP($A37,Sheet1!$A$3:$AW$699,17,FALSE)="","",VLOOKUP($A37,Sheet1!$A$3:$AW$699,17,FALSE))</f>
        <v>0</v>
      </c>
      <c r="G37" s="142" t="str">
        <f>IF(VLOOKUP($A37,Sheet1!$A$3:$AW$699,18,FALSE)="","",VLOOKUP($A37,Sheet1!$A$3:$AW$699,18,FALSE))</f>
        <v/>
      </c>
      <c r="H37" s="142" t="str">
        <f>IF(VLOOKUP($A37,Sheet1!$A$3:$AW$699,19,FALSE)="","",VLOOKUP($A37,Sheet1!$A$3:$AW$699,19,FALSE))</f>
        <v/>
      </c>
      <c r="I37" s="9" t="str">
        <f>IF(VLOOKUP($A37,Sheet1!$A$3:$AW$699,5,FALSE)="","",VLOOKUP($A37,Sheet1!$A$3:$AW$699,5,FALSE))</f>
        <v>UINT</v>
      </c>
      <c r="J37" s="8" t="s">
        <v>81</v>
      </c>
      <c r="K37" s="7" t="s">
        <v>48</v>
      </c>
      <c r="L37" s="146" t="str">
        <f>IF(VLOOKUP($A37,Sheet1!$A$3:$AW$699,7,FALSE)="★","x","")</f>
        <v/>
      </c>
      <c r="M37" s="146" t="str">
        <f>IF(VLOOKUP($A37,Sheet1!$A$3:$AW$699,8,FALSE)="▲","x","")</f>
        <v>x</v>
      </c>
      <c r="N37" s="146" t="str">
        <f>IF(VLOOKUP($A37,Sheet1!$A$3:$AW$699,9,FALSE)="●","x","")</f>
        <v>x</v>
      </c>
      <c r="O37" s="146" t="str">
        <f>IF(VLOOKUP($A37,Sheet1!$A$3:$AW$699,10,FALSE)="■","x","")</f>
        <v/>
      </c>
      <c r="P37" s="9" t="str">
        <f>IF(VLOOKUP($A37,Sheet1!$A$3:$AW$699,2,FALSE)="","",VLOOKUP($A37,Sheet1!$A$3:$AW$699,2,FALSE))</f>
        <v>PN.000</v>
      </c>
    </row>
    <row r="38" spans="1:16" ht="72" customHeight="1" x14ac:dyDescent="0.3">
      <c r="A38" s="9">
        <v>629</v>
      </c>
      <c r="B38" s="9" t="str">
        <f>IF(VLOOKUP($A38,Sheet1!$A$3:$AW$699,20,FALSE)="","",VLOOKUP($A38,Sheet1!$A$3:$AW$699,20,FALSE))</f>
        <v>MotorOverloadLimit</v>
      </c>
      <c r="C38" s="9" t="str">
        <f>IF(VLOOKUP($A38,Sheet1!$A$3:$AW$699,25,FALSE)="","",VLOOKUP($A38,Sheet1!$A$3:$AW$699,25,FALSE))</f>
        <v>All</v>
      </c>
      <c r="D38" s="142">
        <f>IF(VLOOKUP($A38,Sheet1!$A$3:$AW$699,15,FALSE)="","",VLOOKUP($A38,Sheet1!$A$3:$AW$699,15,FALSE))</f>
        <v>0</v>
      </c>
      <c r="E38" s="142">
        <f>IF(VLOOKUP($A38,Sheet1!$A$3:$AW$699,16,FALSE)="","",VLOOKUP($A38,Sheet1!$A$3:$AW$699,16,FALSE))</f>
        <v>200</v>
      </c>
      <c r="F38" s="142">
        <f>IF(VLOOKUP($A38,Sheet1!$A$3:$AW$699,17,FALSE)="","",VLOOKUP($A38,Sheet1!$A$3:$AW$699,17,FALSE))</f>
        <v>100</v>
      </c>
      <c r="G38" s="142" t="str">
        <f>IF(VLOOKUP($A38,Sheet1!$A$3:$AW$699,18,FALSE)="","",VLOOKUP($A38,Sheet1!$A$3:$AW$699,18,FALSE))</f>
        <v/>
      </c>
      <c r="H38" s="142" t="str">
        <f>IF(VLOOKUP($A38,Sheet1!$A$3:$AW$699,19,FALSE)="","",VLOOKUP($A38,Sheet1!$A$3:$AW$699,19,FALSE))</f>
        <v>% Motor Rated</v>
      </c>
      <c r="I38" s="9" t="str">
        <f>IF(VLOOKUP($A38,Sheet1!$A$3:$AW$699,5,FALSE)="","",VLOOKUP($A38,Sheet1!$A$3:$AW$699,5,FALSE))</f>
        <v>INT</v>
      </c>
      <c r="J38" s="8" t="s">
        <v>82</v>
      </c>
      <c r="K38" s="7" t="s">
        <v>51</v>
      </c>
      <c r="L38" s="146" t="str">
        <f>IF(VLOOKUP($A38,Sheet1!$A$3:$AW$699,7,FALSE)="★","x","")</f>
        <v/>
      </c>
      <c r="M38" s="146" t="str">
        <f>IF(VLOOKUP($A38,Sheet1!$A$3:$AW$699,8,FALSE)="▲","x","")</f>
        <v>x</v>
      </c>
      <c r="N38" s="146" t="str">
        <f>IF(VLOOKUP($A38,Sheet1!$A$3:$AW$699,9,FALSE)="●","x","")</f>
        <v/>
      </c>
      <c r="O38" s="146" t="str">
        <f>IF(VLOOKUP($A38,Sheet1!$A$3:$AW$699,10,FALSE)="■","x","")</f>
        <v/>
      </c>
      <c r="P38" s="9" t="str">
        <f>IF(VLOOKUP($A38,Sheet1!$A$3:$AW$699,2,FALSE)="","",VLOOKUP($A38,Sheet1!$A$3:$AW$699,2,FALSE))</f>
        <v>PN.001</v>
      </c>
    </row>
    <row r="39" spans="1:16" ht="20.399999999999999" x14ac:dyDescent="0.3">
      <c r="A39" s="9">
        <v>630</v>
      </c>
      <c r="B39" s="9" t="str">
        <f>IF(VLOOKUP($A39,Sheet1!$A$3:$AW$699,20,FALSE)="","",VLOOKUP($A39,Sheet1!$A$3:$AW$699,20,FALSE))</f>
        <v>LinearMotorMass</v>
      </c>
      <c r="C39" s="9" t="str">
        <f>IF(VLOOKUP($A39,Sheet1!$A$3:$AW$699,25,FALSE)="","",VLOOKUP($A39,Sheet1!$A$3:$AW$699,25,FALSE))</f>
        <v>All</v>
      </c>
      <c r="D39" s="142">
        <f>IF(VLOOKUP($A39,Sheet1!$A$3:$AW$699,15,FALSE)="","",VLOOKUP($A39,Sheet1!$A$3:$AW$699,15,FALSE))</f>
        <v>0</v>
      </c>
      <c r="E39" s="142">
        <f>IF(VLOOKUP($A39,Sheet1!$A$3:$AW$699,16,FALSE)="","",VLOOKUP($A39,Sheet1!$A$3:$AW$699,16,FALSE))</f>
        <v>500000</v>
      </c>
      <c r="F39" s="142">
        <f>IF(VLOOKUP($A39,Sheet1!$A$3:$AW$699,17,FALSE)="","",VLOOKUP($A39,Sheet1!$A$3:$AW$699,17,FALSE))</f>
        <v>0</v>
      </c>
      <c r="G39" s="142">
        <f>IF(VLOOKUP($A39,Sheet1!$A$3:$AW$699,18,FALSE)="","",VLOOKUP($A39,Sheet1!$A$3:$AW$699,18,FALSE))</f>
        <v>1E-3</v>
      </c>
      <c r="H39" s="142" t="str">
        <f>IF(VLOOKUP($A39,Sheet1!$A$3:$AW$699,19,FALSE)="","",VLOOKUP($A39,Sheet1!$A$3:$AW$699,19,FALSE))</f>
        <v>kg</v>
      </c>
      <c r="I39" s="9" t="str">
        <f>IF(VLOOKUP($A39,Sheet1!$A$3:$AW$699,5,FALSE)="","",VLOOKUP($A39,Sheet1!$A$3:$AW$699,5,FALSE))</f>
        <v>DINT</v>
      </c>
      <c r="J39" s="7" t="s">
        <v>83</v>
      </c>
      <c r="K39" s="7" t="s">
        <v>51</v>
      </c>
      <c r="L39" s="146" t="str">
        <f>IF(VLOOKUP($A39,Sheet1!$A$3:$AW$699,7,FALSE)="★","x","")</f>
        <v/>
      </c>
      <c r="M39" s="146" t="str">
        <f>IF(VLOOKUP($A39,Sheet1!$A$3:$AW$699,8,FALSE)="▲","x","")</f>
        <v>x</v>
      </c>
      <c r="N39" s="146" t="str">
        <f>IF(VLOOKUP($A39,Sheet1!$A$3:$AW$699,9,FALSE)="●","x","")</f>
        <v/>
      </c>
      <c r="O39" s="146" t="str">
        <f>IF(VLOOKUP($A39,Sheet1!$A$3:$AW$699,10,FALSE)="■","x","")</f>
        <v/>
      </c>
      <c r="P39" s="9" t="str">
        <f>IF(VLOOKUP($A39,Sheet1!$A$3:$AW$699,2,FALSE)="","",VLOOKUP($A39,Sheet1!$A$3:$AW$699,2,FALSE))</f>
        <v>PN.002</v>
      </c>
    </row>
    <row r="40" spans="1:16" ht="20.399999999999999" x14ac:dyDescent="0.3">
      <c r="A40" s="9">
        <v>631</v>
      </c>
      <c r="B40" s="9" t="str">
        <f>IF(VLOOKUP($A40,Sheet1!$A$3:$AW$699,20,FALSE)="","",VLOOKUP($A40,Sheet1!$A$3:$AW$699,20,FALSE))</f>
        <v>LinearEncoderResolution</v>
      </c>
      <c r="C40" s="9" t="str">
        <f>IF(VLOOKUP($A40,Sheet1!$A$3:$AW$699,25,FALSE)="","",VLOOKUP($A40,Sheet1!$A$3:$AW$699,25,FALSE))</f>
        <v>All</v>
      </c>
      <c r="D40" s="142">
        <f>IF(VLOOKUP($A40,Sheet1!$A$3:$AW$699,15,FALSE)="","",VLOOKUP($A40,Sheet1!$A$3:$AW$699,15,FALSE))</f>
        <v>18</v>
      </c>
      <c r="E40" s="142">
        <f>IF(VLOOKUP($A40,Sheet1!$A$3:$AW$699,16,FALSE)="","",VLOOKUP($A40,Sheet1!$A$3:$AW$699,16,FALSE))</f>
        <v>62500000</v>
      </c>
      <c r="F40" s="142">
        <f>IF(VLOOKUP($A40,Sheet1!$A$3:$AW$699,17,FALSE)="","",VLOOKUP($A40,Sheet1!$A$3:$AW$699,17,FALSE))</f>
        <v>1000</v>
      </c>
      <c r="G40" s="142" t="str">
        <f>IF(VLOOKUP($A40,Sheet1!$A$3:$AW$699,18,FALSE)="","",VLOOKUP($A40,Sheet1!$A$3:$AW$699,18,FALSE))</f>
        <v/>
      </c>
      <c r="H40" s="142" t="str">
        <f>IF(VLOOKUP($A40,Sheet1!$A$3:$AW$699,19,FALSE)="","",VLOOKUP($A40,Sheet1!$A$3:$AW$699,19,FALSE))</f>
        <v>Lines/Meter</v>
      </c>
      <c r="I40" s="9" t="str">
        <f>IF(VLOOKUP($A40,Sheet1!$A$3:$AW$699,5,FALSE)="","",VLOOKUP($A40,Sheet1!$A$3:$AW$699,5,FALSE))</f>
        <v>DINT</v>
      </c>
      <c r="J40" s="7" t="s">
        <v>84</v>
      </c>
      <c r="K40" s="7" t="s">
        <v>51</v>
      </c>
      <c r="L40" s="146" t="str">
        <f>IF(VLOOKUP($A40,Sheet1!$A$3:$AW$699,7,FALSE)="★","x","")</f>
        <v/>
      </c>
      <c r="M40" s="146" t="str">
        <f>IF(VLOOKUP($A40,Sheet1!$A$3:$AW$699,8,FALSE)="▲","x","")</f>
        <v>x</v>
      </c>
      <c r="N40" s="146" t="str">
        <f>IF(VLOOKUP($A40,Sheet1!$A$3:$AW$699,9,FALSE)="●","x","")</f>
        <v>x</v>
      </c>
      <c r="O40" s="146" t="str">
        <f>IF(VLOOKUP($A40,Sheet1!$A$3:$AW$699,10,FALSE)="■","x","")</f>
        <v/>
      </c>
      <c r="P40" s="9" t="str">
        <f>IF(VLOOKUP($A40,Sheet1!$A$3:$AW$699,2,FALSE)="","",VLOOKUP($A40,Sheet1!$A$3:$AW$699,2,FALSE))</f>
        <v>PN.003</v>
      </c>
    </row>
    <row r="41" spans="1:16" ht="40.799999999999997" x14ac:dyDescent="0.3">
      <c r="A41" s="9">
        <v>632</v>
      </c>
      <c r="B41" s="9" t="str">
        <f>IF(VLOOKUP($A41,Sheet1!$A$3:$AW$699,20,FALSE)="","",VLOOKUP($A41,Sheet1!$A$3:$AW$699,20,FALSE))</f>
        <v>MotorThermostat</v>
      </c>
      <c r="C41" s="9" t="str">
        <f>IF(VLOOKUP($A41,Sheet1!$A$3:$AW$699,25,FALSE)="","",VLOOKUP($A41,Sheet1!$A$3:$AW$699,25,FALSE))</f>
        <v>All</v>
      </c>
      <c r="D41" s="142">
        <f>IF(VLOOKUP($A41,Sheet1!$A$3:$AW$699,15,FALSE)="","",VLOOKUP($A41,Sheet1!$A$3:$AW$699,15,FALSE))</f>
        <v>0</v>
      </c>
      <c r="E41" s="142">
        <f>IF(VLOOKUP($A41,Sheet1!$A$3:$AW$699,16,FALSE)="","",VLOOKUP($A41,Sheet1!$A$3:$AW$699,16,FALSE))</f>
        <v>1</v>
      </c>
      <c r="F41" s="142">
        <f>IF(VLOOKUP($A41,Sheet1!$A$3:$AW$699,17,FALSE)="","",VLOOKUP($A41,Sheet1!$A$3:$AW$699,17,FALSE))</f>
        <v>0</v>
      </c>
      <c r="G41" s="142" t="str">
        <f>IF(VLOOKUP($A41,Sheet1!$A$3:$AW$699,18,FALSE)="","",VLOOKUP($A41,Sheet1!$A$3:$AW$699,18,FALSE))</f>
        <v/>
      </c>
      <c r="H41" s="142" t="str">
        <f>IF(VLOOKUP($A41,Sheet1!$A$3:$AW$699,19,FALSE)="","",VLOOKUP($A41,Sheet1!$A$3:$AW$699,19,FALSE))</f>
        <v/>
      </c>
      <c r="I41" s="9" t="str">
        <f>IF(VLOOKUP($A41,Sheet1!$A$3:$AW$699,5,FALSE)="","",VLOOKUP($A41,Sheet1!$A$3:$AW$699,5,FALSE))</f>
        <v>INT</v>
      </c>
      <c r="J41" s="7" t="s">
        <v>85</v>
      </c>
      <c r="K41" s="7" t="s">
        <v>51</v>
      </c>
      <c r="L41" s="146" t="str">
        <f>IF(VLOOKUP($A41,Sheet1!$A$3:$AW$699,7,FALSE)="★","x","")</f>
        <v/>
      </c>
      <c r="M41" s="146" t="str">
        <f>IF(VLOOKUP($A41,Sheet1!$A$3:$AW$699,8,FALSE)="▲","x","")</f>
        <v>x</v>
      </c>
      <c r="N41" s="146" t="str">
        <f>IF(VLOOKUP($A41,Sheet1!$A$3:$AW$699,9,FALSE)="●","x","")</f>
        <v>x</v>
      </c>
      <c r="O41" s="146" t="str">
        <f>IF(VLOOKUP($A41,Sheet1!$A$3:$AW$699,10,FALSE)="■","x","")</f>
        <v/>
      </c>
      <c r="P41" s="9" t="str">
        <f>IF(VLOOKUP($A41,Sheet1!$A$3:$AW$699,2,FALSE)="","",VLOOKUP($A41,Sheet1!$A$3:$AW$699,2,FALSE))</f>
        <v>PN.004</v>
      </c>
    </row>
    <row r="42" spans="1:16" ht="14.4" x14ac:dyDescent="0.3">
      <c r="A42" s="9">
        <v>633</v>
      </c>
      <c r="B42" s="9" t="str">
        <f>IF(VLOOKUP($A42,Sheet1!$A$3:$AW$699,20,FALSE)="","",VLOOKUP($A42,Sheet1!$A$3:$AW$699,20,FALSE))</f>
        <v>MotorWindingToEncoderResistance</v>
      </c>
      <c r="C42" s="9" t="str">
        <f>IF(VLOOKUP($A42,Sheet1!$A$3:$AW$699,25,FALSE)="","",VLOOKUP($A42,Sheet1!$A$3:$AW$699,25,FALSE))</f>
        <v>All</v>
      </c>
      <c r="D42" s="142">
        <f>IF(VLOOKUP($A42,Sheet1!$A$3:$AW$699,15,FALSE)="","",VLOOKUP($A42,Sheet1!$A$3:$AW$699,15,FALSE))</f>
        <v>0</v>
      </c>
      <c r="E42" s="142">
        <f>IF(VLOOKUP($A42,Sheet1!$A$3:$AW$699,16,FALSE)="","",VLOOKUP($A42,Sheet1!$A$3:$AW$699,16,FALSE))</f>
        <v>65535</v>
      </c>
      <c r="F42" s="142">
        <f>IF(VLOOKUP($A42,Sheet1!$A$3:$AW$699,17,FALSE)="","",VLOOKUP($A42,Sheet1!$A$3:$AW$699,17,FALSE))</f>
        <v>0</v>
      </c>
      <c r="G42" s="142">
        <f>IF(VLOOKUP($A42,Sheet1!$A$3:$AW$699,18,FALSE)="","",VLOOKUP($A42,Sheet1!$A$3:$AW$699,18,FALSE))</f>
        <v>1E-3</v>
      </c>
      <c r="H42" s="142" t="str">
        <f>IF(VLOOKUP($A42,Sheet1!$A$3:$AW$699,19,FALSE)="","",VLOOKUP($A42,Sheet1!$A$3:$AW$699,19,FALSE))</f>
        <v>oC/Watt</v>
      </c>
      <c r="I42" s="9" t="str">
        <f>IF(VLOOKUP($A42,Sheet1!$A$3:$AW$699,5,FALSE)="","",VLOOKUP($A42,Sheet1!$A$3:$AW$699,5,FALSE))</f>
        <v>UDINT</v>
      </c>
      <c r="J42" s="7" t="s">
        <v>86</v>
      </c>
      <c r="K42" s="7" t="s">
        <v>51</v>
      </c>
      <c r="L42" s="146" t="str">
        <f>IF(VLOOKUP($A42,Sheet1!$A$3:$AW$699,7,FALSE)="★","x","")</f>
        <v/>
      </c>
      <c r="M42" s="146" t="str">
        <f>IF(VLOOKUP($A42,Sheet1!$A$3:$AW$699,8,FALSE)="▲","x","")</f>
        <v>x</v>
      </c>
      <c r="N42" s="146" t="str">
        <f>IF(VLOOKUP($A42,Sheet1!$A$3:$AW$699,9,FALSE)="●","x","")</f>
        <v/>
      </c>
      <c r="O42" s="146" t="str">
        <f>IF(VLOOKUP($A42,Sheet1!$A$3:$AW$699,10,FALSE)="■","x","")</f>
        <v/>
      </c>
      <c r="P42" s="9" t="str">
        <f>IF(VLOOKUP($A42,Sheet1!$A$3:$AW$699,2,FALSE)="","",VLOOKUP($A42,Sheet1!$A$3:$AW$699,2,FALSE))</f>
        <v>PN.005</v>
      </c>
    </row>
    <row r="43" spans="1:16" ht="14.4" x14ac:dyDescent="0.3">
      <c r="A43" s="9">
        <v>634</v>
      </c>
      <c r="B43" s="9" t="str">
        <f>IF(VLOOKUP($A43,Sheet1!$A$3:$AW$699,20,FALSE)="","",VLOOKUP($A43,Sheet1!$A$3:$AW$699,20,FALSE))</f>
        <v>MotorWindingToEncoderCapacitance</v>
      </c>
      <c r="C43" s="9" t="str">
        <f>IF(VLOOKUP($A43,Sheet1!$A$3:$AW$699,25,FALSE)="","",VLOOKUP($A43,Sheet1!$A$3:$AW$699,25,FALSE))</f>
        <v>All</v>
      </c>
      <c r="D43" s="142">
        <f>IF(VLOOKUP($A43,Sheet1!$A$3:$AW$699,15,FALSE)="","",VLOOKUP($A43,Sheet1!$A$3:$AW$699,15,FALSE))</f>
        <v>0</v>
      </c>
      <c r="E43" s="142">
        <f>IF(VLOOKUP($A43,Sheet1!$A$3:$AW$699,16,FALSE)="","",VLOOKUP($A43,Sheet1!$A$3:$AW$699,16,FALSE))</f>
        <v>65535</v>
      </c>
      <c r="F43" s="142">
        <f>IF(VLOOKUP($A43,Sheet1!$A$3:$AW$699,17,FALSE)="","",VLOOKUP($A43,Sheet1!$A$3:$AW$699,17,FALSE))</f>
        <v>0</v>
      </c>
      <c r="G43" s="142" t="str">
        <f>IF(VLOOKUP($A43,Sheet1!$A$3:$AW$699,18,FALSE)="","",VLOOKUP($A43,Sheet1!$A$3:$AW$699,18,FALSE))</f>
        <v/>
      </c>
      <c r="H43" s="142" t="str">
        <f>IF(VLOOKUP($A43,Sheet1!$A$3:$AW$699,19,FALSE)="","",VLOOKUP($A43,Sheet1!$A$3:$AW$699,19,FALSE))</f>
        <v>J/oC</v>
      </c>
      <c r="I43" s="9" t="str">
        <f>IF(VLOOKUP($A43,Sheet1!$A$3:$AW$699,5,FALSE)="","",VLOOKUP($A43,Sheet1!$A$3:$AW$699,5,FALSE))</f>
        <v>UDINT</v>
      </c>
      <c r="J43" s="7" t="s">
        <v>87</v>
      </c>
      <c r="K43" s="7" t="s">
        <v>51</v>
      </c>
      <c r="L43" s="146" t="str">
        <f>IF(VLOOKUP($A43,Sheet1!$A$3:$AW$699,7,FALSE)="★","x","")</f>
        <v/>
      </c>
      <c r="M43" s="146" t="str">
        <f>IF(VLOOKUP($A43,Sheet1!$A$3:$AW$699,8,FALSE)="▲","x","")</f>
        <v>x</v>
      </c>
      <c r="N43" s="146" t="str">
        <f>IF(VLOOKUP($A43,Sheet1!$A$3:$AW$699,9,FALSE)="●","x","")</f>
        <v/>
      </c>
      <c r="O43" s="146" t="str">
        <f>IF(VLOOKUP($A43,Sheet1!$A$3:$AW$699,10,FALSE)="■","x","")</f>
        <v/>
      </c>
      <c r="P43" s="9" t="str">
        <f>IF(VLOOKUP($A43,Sheet1!$A$3:$AW$699,2,FALSE)="","",VLOOKUP($A43,Sheet1!$A$3:$AW$699,2,FALSE))</f>
        <v>PN.006</v>
      </c>
    </row>
    <row r="44" spans="1:16" ht="14.4" x14ac:dyDescent="0.3">
      <c r="A44" s="9">
        <v>635</v>
      </c>
      <c r="B44" s="9" t="str">
        <f>IF(VLOOKUP($A44,Sheet1!$A$3:$AW$699,20,FALSE)="","",VLOOKUP($A44,Sheet1!$A$3:$AW$699,20,FALSE))</f>
        <v>MotorWindingToAmbientResistance</v>
      </c>
      <c r="C44" s="9" t="str">
        <f>IF(VLOOKUP($A44,Sheet1!$A$3:$AW$699,25,FALSE)="","",VLOOKUP($A44,Sheet1!$A$3:$AW$699,25,FALSE))</f>
        <v>All</v>
      </c>
      <c r="D44" s="142">
        <f>IF(VLOOKUP($A44,Sheet1!$A$3:$AW$699,15,FALSE)="","",VLOOKUP($A44,Sheet1!$A$3:$AW$699,15,FALSE))</f>
        <v>0</v>
      </c>
      <c r="E44" s="142">
        <f>IF(VLOOKUP($A44,Sheet1!$A$3:$AW$699,16,FALSE)="","",VLOOKUP($A44,Sheet1!$A$3:$AW$699,16,FALSE))</f>
        <v>65535</v>
      </c>
      <c r="F44" s="142">
        <f>IF(VLOOKUP($A44,Sheet1!$A$3:$AW$699,17,FALSE)="","",VLOOKUP($A44,Sheet1!$A$3:$AW$699,17,FALSE))</f>
        <v>0</v>
      </c>
      <c r="G44" s="142">
        <f>IF(VLOOKUP($A44,Sheet1!$A$3:$AW$699,18,FALSE)="","",VLOOKUP($A44,Sheet1!$A$3:$AW$699,18,FALSE))</f>
        <v>1E-3</v>
      </c>
      <c r="H44" s="142" t="str">
        <f>IF(VLOOKUP($A44,Sheet1!$A$3:$AW$699,19,FALSE)="","",VLOOKUP($A44,Sheet1!$A$3:$AW$699,19,FALSE))</f>
        <v>oC/Watt</v>
      </c>
      <c r="I44" s="9" t="str">
        <f>IF(VLOOKUP($A44,Sheet1!$A$3:$AW$699,5,FALSE)="","",VLOOKUP($A44,Sheet1!$A$3:$AW$699,5,FALSE))</f>
        <v>UDINT</v>
      </c>
      <c r="J44" s="7" t="s">
        <v>88</v>
      </c>
      <c r="K44" s="7" t="s">
        <v>51</v>
      </c>
      <c r="L44" s="146" t="str">
        <f>IF(VLOOKUP($A44,Sheet1!$A$3:$AW$699,7,FALSE)="★","x","")</f>
        <v/>
      </c>
      <c r="M44" s="146" t="str">
        <f>IF(VLOOKUP($A44,Sheet1!$A$3:$AW$699,8,FALSE)="▲","x","")</f>
        <v>x</v>
      </c>
      <c r="N44" s="146" t="str">
        <f>IF(VLOOKUP($A44,Sheet1!$A$3:$AW$699,9,FALSE)="●","x","")</f>
        <v/>
      </c>
      <c r="O44" s="146" t="str">
        <f>IF(VLOOKUP($A44,Sheet1!$A$3:$AW$699,10,FALSE)="■","x","")</f>
        <v/>
      </c>
      <c r="P44" s="9" t="str">
        <f>IF(VLOOKUP($A44,Sheet1!$A$3:$AW$699,2,FALSE)="","",VLOOKUP($A44,Sheet1!$A$3:$AW$699,2,FALSE))</f>
        <v>PN.007</v>
      </c>
    </row>
    <row r="45" spans="1:16" ht="14.4" x14ac:dyDescent="0.3">
      <c r="A45" s="9">
        <v>636</v>
      </c>
      <c r="B45" s="9" t="str">
        <f>IF(VLOOKUP($A45,Sheet1!$A$3:$AW$699,20,FALSE)="","",VLOOKUP($A45,Sheet1!$A$3:$AW$699,20,FALSE))</f>
        <v>MotorWindingToAmbientCapacitance</v>
      </c>
      <c r="C45" s="9" t="str">
        <f>IF(VLOOKUP($A45,Sheet1!$A$3:$AW$699,25,FALSE)="","",VLOOKUP($A45,Sheet1!$A$3:$AW$699,25,FALSE))</f>
        <v>All</v>
      </c>
      <c r="D45" s="142">
        <f>IF(VLOOKUP($A45,Sheet1!$A$3:$AW$699,15,FALSE)="","",VLOOKUP($A45,Sheet1!$A$3:$AW$699,15,FALSE))</f>
        <v>0</v>
      </c>
      <c r="E45" s="142">
        <f>IF(VLOOKUP($A45,Sheet1!$A$3:$AW$699,16,FALSE)="","",VLOOKUP($A45,Sheet1!$A$3:$AW$699,16,FALSE))</f>
        <v>65535</v>
      </c>
      <c r="F45" s="142">
        <f>IF(VLOOKUP($A45,Sheet1!$A$3:$AW$699,17,FALSE)="","",VLOOKUP($A45,Sheet1!$A$3:$AW$699,17,FALSE))</f>
        <v>0</v>
      </c>
      <c r="G45" s="142" t="str">
        <f>IF(VLOOKUP($A45,Sheet1!$A$3:$AW$699,18,FALSE)="","",VLOOKUP($A45,Sheet1!$A$3:$AW$699,18,FALSE))</f>
        <v/>
      </c>
      <c r="H45" s="142" t="str">
        <f>IF(VLOOKUP($A45,Sheet1!$A$3:$AW$699,19,FALSE)="","",VLOOKUP($A45,Sheet1!$A$3:$AW$699,19,FALSE))</f>
        <v>J/oC</v>
      </c>
      <c r="I45" s="9" t="str">
        <f>IF(VLOOKUP($A45,Sheet1!$A$3:$AW$699,5,FALSE)="","",VLOOKUP($A45,Sheet1!$A$3:$AW$699,5,FALSE))</f>
        <v>UDINT</v>
      </c>
      <c r="J45" s="7" t="s">
        <v>89</v>
      </c>
      <c r="K45" s="7" t="s">
        <v>51</v>
      </c>
      <c r="L45" s="146" t="str">
        <f>IF(VLOOKUP($A45,Sheet1!$A$3:$AW$699,7,FALSE)="★","x","")</f>
        <v/>
      </c>
      <c r="M45" s="146" t="str">
        <f>IF(VLOOKUP($A45,Sheet1!$A$3:$AW$699,8,FALSE)="▲","x","")</f>
        <v>x</v>
      </c>
      <c r="N45" s="146" t="str">
        <f>IF(VLOOKUP($A45,Sheet1!$A$3:$AW$699,9,FALSE)="●","x","")</f>
        <v/>
      </c>
      <c r="O45" s="146" t="str">
        <f>IF(VLOOKUP($A45,Sheet1!$A$3:$AW$699,10,FALSE)="■","x","")</f>
        <v/>
      </c>
      <c r="P45" s="9" t="str">
        <f>IF(VLOOKUP($A45,Sheet1!$A$3:$AW$699,2,FALSE)="","",VLOOKUP($A45,Sheet1!$A$3:$AW$699,2,FALSE))</f>
        <v>PN.008</v>
      </c>
    </row>
    <row r="46" spans="1:16" ht="81.599999999999994" x14ac:dyDescent="0.3">
      <c r="A46" s="9">
        <v>637</v>
      </c>
      <c r="B46" s="9" t="str">
        <f>IF(VLOOKUP($A46,Sheet1!$A$3:$AW$699,20,FALSE)="","",VLOOKUP($A46,Sheet1!$A$3:$AW$699,20,FALSE))</f>
        <v>CommutationAlignment</v>
      </c>
      <c r="C46" s="9" t="str">
        <f>IF(VLOOKUP($A46,Sheet1!$A$3:$AW$699,25,FALSE)="","",VLOOKUP($A46,Sheet1!$A$3:$AW$699,25,FALSE))</f>
        <v>All</v>
      </c>
      <c r="D46" s="142">
        <f>IF(VLOOKUP($A46,Sheet1!$A$3:$AW$699,15,FALSE)="","",VLOOKUP($A46,Sheet1!$A$3:$AW$699,15,FALSE))</f>
        <v>0</v>
      </c>
      <c r="E46" s="142">
        <f>IF(VLOOKUP($A46,Sheet1!$A$3:$AW$699,16,FALSE)="","",VLOOKUP($A46,Sheet1!$A$3:$AW$699,16,FALSE))</f>
        <v>2</v>
      </c>
      <c r="F46" s="142">
        <f>IF(VLOOKUP($A46,Sheet1!$A$3:$AW$699,17,FALSE)="","",VLOOKUP($A46,Sheet1!$A$3:$AW$699,17,FALSE))</f>
        <v>0</v>
      </c>
      <c r="G46" s="142" t="str">
        <f>IF(VLOOKUP($A46,Sheet1!$A$3:$AW$699,18,FALSE)="","",VLOOKUP($A46,Sheet1!$A$3:$AW$699,18,FALSE))</f>
        <v/>
      </c>
      <c r="H46" s="142" t="str">
        <f>IF(VLOOKUP($A46,Sheet1!$A$3:$AW$699,19,FALSE)="","",VLOOKUP($A46,Sheet1!$A$3:$AW$699,19,FALSE))</f>
        <v/>
      </c>
      <c r="I46" s="9" t="str">
        <f>IF(VLOOKUP($A46,Sheet1!$A$3:$AW$699,5,FALSE)="","",VLOOKUP($A46,Sheet1!$A$3:$AW$699,5,FALSE))</f>
        <v>INT</v>
      </c>
      <c r="J46" s="8" t="s">
        <v>90</v>
      </c>
      <c r="K46" s="7" t="s">
        <v>51</v>
      </c>
      <c r="L46" s="146" t="str">
        <f>IF(VLOOKUP($A46,Sheet1!$A$3:$AW$699,7,FALSE)="★","x","")</f>
        <v/>
      </c>
      <c r="M46" s="146" t="str">
        <f>IF(VLOOKUP($A46,Sheet1!$A$3:$AW$699,8,FALSE)="▲","x","")</f>
        <v>x</v>
      </c>
      <c r="N46" s="146" t="str">
        <f>IF(VLOOKUP($A46,Sheet1!$A$3:$AW$699,9,FALSE)="●","x","")</f>
        <v/>
      </c>
      <c r="O46" s="146" t="str">
        <f>IF(VLOOKUP($A46,Sheet1!$A$3:$AW$699,10,FALSE)="■","x","")</f>
        <v/>
      </c>
      <c r="P46" s="9" t="str">
        <f>IF(VLOOKUP($A46,Sheet1!$A$3:$AW$699,2,FALSE)="","",VLOOKUP($A46,Sheet1!$A$3:$AW$699,2,FALSE))</f>
        <v>PN.009</v>
      </c>
    </row>
    <row r="47" spans="1:16" ht="14.4" x14ac:dyDescent="0.3">
      <c r="A47" s="9">
        <v>638</v>
      </c>
      <c r="B47" s="9" t="str">
        <f>IF(VLOOKUP($A47,Sheet1!$A$3:$AW$699,20,FALSE)="","",VLOOKUP($A47,Sheet1!$A$3:$AW$699,20,FALSE))</f>
        <v>FluxSaturation1_8thPeakCurrent</v>
      </c>
      <c r="C47" s="9" t="str">
        <f>IF(VLOOKUP($A47,Sheet1!$A$3:$AW$699,25,FALSE)="","",VLOOKUP($A47,Sheet1!$A$3:$AW$699,25,FALSE))</f>
        <v>All</v>
      </c>
      <c r="D47" s="142">
        <f>IF(VLOOKUP($A47,Sheet1!$A$3:$AW$699,15,FALSE)="","",VLOOKUP($A47,Sheet1!$A$3:$AW$699,15,FALSE))</f>
        <v>1</v>
      </c>
      <c r="E47" s="142">
        <f>IF(VLOOKUP($A47,Sheet1!$A$3:$AW$699,16,FALSE)="","",VLOOKUP($A47,Sheet1!$A$3:$AW$699,16,FALSE))</f>
        <v>10000</v>
      </c>
      <c r="F47" s="142">
        <f>IF(VLOOKUP($A47,Sheet1!$A$3:$AW$699,17,FALSE)="","",VLOOKUP($A47,Sheet1!$A$3:$AW$699,17,FALSE))</f>
        <v>10000</v>
      </c>
      <c r="G47" s="142">
        <f>IF(VLOOKUP($A47,Sheet1!$A$3:$AW$699,18,FALSE)="","",VLOOKUP($A47,Sheet1!$A$3:$AW$699,18,FALSE))</f>
        <v>0.01</v>
      </c>
      <c r="H47" s="142" t="str">
        <f>IF(VLOOKUP($A47,Sheet1!$A$3:$AW$699,19,FALSE)="","",VLOOKUP($A47,Sheet1!$A$3:$AW$699,19,FALSE))</f>
        <v>%</v>
      </c>
      <c r="I47" s="9" t="str">
        <f>IF(VLOOKUP($A47,Sheet1!$A$3:$AW$699,5,FALSE)="","",VLOOKUP($A47,Sheet1!$A$3:$AW$699,5,FALSE))</f>
        <v>INT</v>
      </c>
      <c r="J47" s="7" t="s">
        <v>91</v>
      </c>
      <c r="K47" s="7" t="s">
        <v>51</v>
      </c>
      <c r="L47" s="146" t="str">
        <f>IF(VLOOKUP($A47,Sheet1!$A$3:$AW$699,7,FALSE)="★","x","")</f>
        <v/>
      </c>
      <c r="M47" s="146" t="str">
        <f>IF(VLOOKUP($A47,Sheet1!$A$3:$AW$699,8,FALSE)="▲","x","")</f>
        <v>x</v>
      </c>
      <c r="N47" s="146" t="str">
        <f>IF(VLOOKUP($A47,Sheet1!$A$3:$AW$699,9,FALSE)="●","x","")</f>
        <v/>
      </c>
      <c r="O47" s="146" t="str">
        <f>IF(VLOOKUP($A47,Sheet1!$A$3:$AW$699,10,FALSE)="■","x","")</f>
        <v/>
      </c>
      <c r="P47" s="9" t="str">
        <f>IF(VLOOKUP($A47,Sheet1!$A$3:$AW$699,2,FALSE)="","",VLOOKUP($A47,Sheet1!$A$3:$AW$699,2,FALSE))</f>
        <v>PN.014</v>
      </c>
    </row>
    <row r="48" spans="1:16" ht="14.4" x14ac:dyDescent="0.3">
      <c r="A48" s="9">
        <v>639</v>
      </c>
      <c r="B48" s="9" t="str">
        <f>IF(VLOOKUP($A48,Sheet1!$A$3:$AW$699,20,FALSE)="","",VLOOKUP($A48,Sheet1!$A$3:$AW$699,20,FALSE))</f>
        <v>FluxSaturation1_4thPeakCurrent</v>
      </c>
      <c r="C48" s="9" t="str">
        <f>IF(VLOOKUP($A48,Sheet1!$A$3:$AW$699,25,FALSE)="","",VLOOKUP($A48,Sheet1!$A$3:$AW$699,25,FALSE))</f>
        <v>All</v>
      </c>
      <c r="D48" s="142">
        <f>IF(VLOOKUP($A48,Sheet1!$A$3:$AW$699,15,FALSE)="","",VLOOKUP($A48,Sheet1!$A$3:$AW$699,15,FALSE))</f>
        <v>1</v>
      </c>
      <c r="E48" s="142">
        <f>IF(VLOOKUP($A48,Sheet1!$A$3:$AW$699,16,FALSE)="","",VLOOKUP($A48,Sheet1!$A$3:$AW$699,16,FALSE))</f>
        <v>10000</v>
      </c>
      <c r="F48" s="142">
        <f>IF(VLOOKUP($A48,Sheet1!$A$3:$AW$699,17,FALSE)="","",VLOOKUP($A48,Sheet1!$A$3:$AW$699,17,FALSE))</f>
        <v>10000</v>
      </c>
      <c r="G48" s="142">
        <f>IF(VLOOKUP($A48,Sheet1!$A$3:$AW$699,18,FALSE)="","",VLOOKUP($A48,Sheet1!$A$3:$AW$699,18,FALSE))</f>
        <v>0.01</v>
      </c>
      <c r="H48" s="142" t="str">
        <f>IF(VLOOKUP($A48,Sheet1!$A$3:$AW$699,19,FALSE)="","",VLOOKUP($A48,Sheet1!$A$3:$AW$699,19,FALSE))</f>
        <v>%</v>
      </c>
      <c r="I48" s="9" t="str">
        <f>IF(VLOOKUP($A48,Sheet1!$A$3:$AW$699,5,FALSE)="","",VLOOKUP($A48,Sheet1!$A$3:$AW$699,5,FALSE))</f>
        <v>INT</v>
      </c>
      <c r="J48" s="7" t="s">
        <v>92</v>
      </c>
      <c r="K48" s="7" t="s">
        <v>51</v>
      </c>
      <c r="L48" s="146" t="str">
        <f>IF(VLOOKUP($A48,Sheet1!$A$3:$AW$699,7,FALSE)="★","x","")</f>
        <v/>
      </c>
      <c r="M48" s="146" t="str">
        <f>IF(VLOOKUP($A48,Sheet1!$A$3:$AW$699,8,FALSE)="▲","x","")</f>
        <v>x</v>
      </c>
      <c r="N48" s="146" t="str">
        <f>IF(VLOOKUP($A48,Sheet1!$A$3:$AW$699,9,FALSE)="●","x","")</f>
        <v/>
      </c>
      <c r="O48" s="146" t="str">
        <f>IF(VLOOKUP($A48,Sheet1!$A$3:$AW$699,10,FALSE)="■","x","")</f>
        <v/>
      </c>
      <c r="P48" s="9" t="str">
        <f>IF(VLOOKUP($A48,Sheet1!$A$3:$AW$699,2,FALSE)="","",VLOOKUP($A48,Sheet1!$A$3:$AW$699,2,FALSE))</f>
        <v>PN.015</v>
      </c>
    </row>
    <row r="49" spans="1:16" ht="14.4" x14ac:dyDescent="0.3">
      <c r="A49" s="9">
        <v>640</v>
      </c>
      <c r="B49" s="9" t="str">
        <f>IF(VLOOKUP($A49,Sheet1!$A$3:$AW$699,20,FALSE)="","",VLOOKUP($A49,Sheet1!$A$3:$AW$699,20,FALSE))</f>
        <v>FluxSaturation3_8thPeakCurrent</v>
      </c>
      <c r="C49" s="9" t="str">
        <f>IF(VLOOKUP($A49,Sheet1!$A$3:$AW$699,25,FALSE)="","",VLOOKUP($A49,Sheet1!$A$3:$AW$699,25,FALSE))</f>
        <v>All</v>
      </c>
      <c r="D49" s="142">
        <f>IF(VLOOKUP($A49,Sheet1!$A$3:$AW$699,15,FALSE)="","",VLOOKUP($A49,Sheet1!$A$3:$AW$699,15,FALSE))</f>
        <v>1</v>
      </c>
      <c r="E49" s="142">
        <f>IF(VLOOKUP($A49,Sheet1!$A$3:$AW$699,16,FALSE)="","",VLOOKUP($A49,Sheet1!$A$3:$AW$699,16,FALSE))</f>
        <v>10000</v>
      </c>
      <c r="F49" s="142">
        <f>IF(VLOOKUP($A49,Sheet1!$A$3:$AW$699,17,FALSE)="","",VLOOKUP($A49,Sheet1!$A$3:$AW$699,17,FALSE))</f>
        <v>10000</v>
      </c>
      <c r="G49" s="142">
        <f>IF(VLOOKUP($A49,Sheet1!$A$3:$AW$699,18,FALSE)="","",VLOOKUP($A49,Sheet1!$A$3:$AW$699,18,FALSE))</f>
        <v>0.01</v>
      </c>
      <c r="H49" s="142" t="str">
        <f>IF(VLOOKUP($A49,Sheet1!$A$3:$AW$699,19,FALSE)="","",VLOOKUP($A49,Sheet1!$A$3:$AW$699,19,FALSE))</f>
        <v>%</v>
      </c>
      <c r="I49" s="9" t="str">
        <f>IF(VLOOKUP($A49,Sheet1!$A$3:$AW$699,5,FALSE)="","",VLOOKUP($A49,Sheet1!$A$3:$AW$699,5,FALSE))</f>
        <v>INT</v>
      </c>
      <c r="J49" s="7" t="s">
        <v>93</v>
      </c>
      <c r="K49" s="7" t="s">
        <v>51</v>
      </c>
      <c r="L49" s="146" t="str">
        <f>IF(VLOOKUP($A49,Sheet1!$A$3:$AW$699,7,FALSE)="★","x","")</f>
        <v/>
      </c>
      <c r="M49" s="146" t="str">
        <f>IF(VLOOKUP($A49,Sheet1!$A$3:$AW$699,8,FALSE)="▲","x","")</f>
        <v>x</v>
      </c>
      <c r="N49" s="146" t="str">
        <f>IF(VLOOKUP($A49,Sheet1!$A$3:$AW$699,9,FALSE)="●","x","")</f>
        <v/>
      </c>
      <c r="O49" s="146" t="str">
        <f>IF(VLOOKUP($A49,Sheet1!$A$3:$AW$699,10,FALSE)="■","x","")</f>
        <v/>
      </c>
      <c r="P49" s="9" t="str">
        <f>IF(VLOOKUP($A49,Sheet1!$A$3:$AW$699,2,FALSE)="","",VLOOKUP($A49,Sheet1!$A$3:$AW$699,2,FALSE))</f>
        <v>PN.016</v>
      </c>
    </row>
    <row r="50" spans="1:16" ht="14.4" x14ac:dyDescent="0.3">
      <c r="A50" s="9">
        <v>641</v>
      </c>
      <c r="B50" s="9" t="str">
        <f>IF(VLOOKUP($A50,Sheet1!$A$3:$AW$699,20,FALSE)="","",VLOOKUP($A50,Sheet1!$A$3:$AW$699,20,FALSE))</f>
        <v>FluxSaturation1_2ndPeakCurrent</v>
      </c>
      <c r="C50" s="9" t="str">
        <f>IF(VLOOKUP($A50,Sheet1!$A$3:$AW$699,25,FALSE)="","",VLOOKUP($A50,Sheet1!$A$3:$AW$699,25,FALSE))</f>
        <v>All</v>
      </c>
      <c r="D50" s="142">
        <f>IF(VLOOKUP($A50,Sheet1!$A$3:$AW$699,15,FALSE)="","",VLOOKUP($A50,Sheet1!$A$3:$AW$699,15,FALSE))</f>
        <v>1</v>
      </c>
      <c r="E50" s="142">
        <f>IF(VLOOKUP($A50,Sheet1!$A$3:$AW$699,16,FALSE)="","",VLOOKUP($A50,Sheet1!$A$3:$AW$699,16,FALSE))</f>
        <v>10000</v>
      </c>
      <c r="F50" s="142">
        <f>IF(VLOOKUP($A50,Sheet1!$A$3:$AW$699,17,FALSE)="","",VLOOKUP($A50,Sheet1!$A$3:$AW$699,17,FALSE))</f>
        <v>10000</v>
      </c>
      <c r="G50" s="142">
        <f>IF(VLOOKUP($A50,Sheet1!$A$3:$AW$699,18,FALSE)="","",VLOOKUP($A50,Sheet1!$A$3:$AW$699,18,FALSE))</f>
        <v>0.01</v>
      </c>
      <c r="H50" s="142" t="str">
        <f>IF(VLOOKUP($A50,Sheet1!$A$3:$AW$699,19,FALSE)="","",VLOOKUP($A50,Sheet1!$A$3:$AW$699,19,FALSE))</f>
        <v>%</v>
      </c>
      <c r="I50" s="9" t="str">
        <f>IF(VLOOKUP($A50,Sheet1!$A$3:$AW$699,5,FALSE)="","",VLOOKUP($A50,Sheet1!$A$3:$AW$699,5,FALSE))</f>
        <v>INT</v>
      </c>
      <c r="J50" s="7" t="s">
        <v>94</v>
      </c>
      <c r="K50" s="7" t="s">
        <v>51</v>
      </c>
      <c r="L50" s="146" t="str">
        <f>IF(VLOOKUP($A50,Sheet1!$A$3:$AW$699,7,FALSE)="★","x","")</f>
        <v/>
      </c>
      <c r="M50" s="146" t="str">
        <f>IF(VLOOKUP($A50,Sheet1!$A$3:$AW$699,8,FALSE)="▲","x","")</f>
        <v>x</v>
      </c>
      <c r="N50" s="146" t="str">
        <f>IF(VLOOKUP($A50,Sheet1!$A$3:$AW$699,9,FALSE)="●","x","")</f>
        <v/>
      </c>
      <c r="O50" s="146" t="str">
        <f>IF(VLOOKUP($A50,Sheet1!$A$3:$AW$699,10,FALSE)="■","x","")</f>
        <v/>
      </c>
      <c r="P50" s="9" t="str">
        <f>IF(VLOOKUP($A50,Sheet1!$A$3:$AW$699,2,FALSE)="","",VLOOKUP($A50,Sheet1!$A$3:$AW$699,2,FALSE))</f>
        <v>PN.017</v>
      </c>
    </row>
    <row r="51" spans="1:16" ht="14.4" x14ac:dyDescent="0.3">
      <c r="A51" s="9">
        <v>642</v>
      </c>
      <c r="B51" s="9" t="str">
        <f>IF(VLOOKUP($A51,Sheet1!$A$3:$AW$699,20,FALSE)="","",VLOOKUP($A51,Sheet1!$A$3:$AW$699,20,FALSE))</f>
        <v>FluxSaturation5_8thPeakCurrent</v>
      </c>
      <c r="C51" s="9" t="str">
        <f>IF(VLOOKUP($A51,Sheet1!$A$3:$AW$699,25,FALSE)="","",VLOOKUP($A51,Sheet1!$A$3:$AW$699,25,FALSE))</f>
        <v>All</v>
      </c>
      <c r="D51" s="142">
        <f>IF(VLOOKUP($A51,Sheet1!$A$3:$AW$699,15,FALSE)="","",VLOOKUP($A51,Sheet1!$A$3:$AW$699,15,FALSE))</f>
        <v>1</v>
      </c>
      <c r="E51" s="142">
        <f>IF(VLOOKUP($A51,Sheet1!$A$3:$AW$699,16,FALSE)="","",VLOOKUP($A51,Sheet1!$A$3:$AW$699,16,FALSE))</f>
        <v>10000</v>
      </c>
      <c r="F51" s="142">
        <f>IF(VLOOKUP($A51,Sheet1!$A$3:$AW$699,17,FALSE)="","",VLOOKUP($A51,Sheet1!$A$3:$AW$699,17,FALSE))</f>
        <v>10000</v>
      </c>
      <c r="G51" s="142">
        <f>IF(VLOOKUP($A51,Sheet1!$A$3:$AW$699,18,FALSE)="","",VLOOKUP($A51,Sheet1!$A$3:$AW$699,18,FALSE))</f>
        <v>0.01</v>
      </c>
      <c r="H51" s="142" t="str">
        <f>IF(VLOOKUP($A51,Sheet1!$A$3:$AW$699,19,FALSE)="","",VLOOKUP($A51,Sheet1!$A$3:$AW$699,19,FALSE))</f>
        <v>%</v>
      </c>
      <c r="I51" s="9" t="str">
        <f>IF(VLOOKUP($A51,Sheet1!$A$3:$AW$699,5,FALSE)="","",VLOOKUP($A51,Sheet1!$A$3:$AW$699,5,FALSE))</f>
        <v>INT</v>
      </c>
      <c r="J51" s="7" t="s">
        <v>95</v>
      </c>
      <c r="K51" s="7" t="s">
        <v>51</v>
      </c>
      <c r="L51" s="146" t="str">
        <f>IF(VLOOKUP($A51,Sheet1!$A$3:$AW$699,7,FALSE)="★","x","")</f>
        <v/>
      </c>
      <c r="M51" s="146" t="str">
        <f>IF(VLOOKUP($A51,Sheet1!$A$3:$AW$699,8,FALSE)="▲","x","")</f>
        <v>x</v>
      </c>
      <c r="N51" s="146" t="str">
        <f>IF(VLOOKUP($A51,Sheet1!$A$3:$AW$699,9,FALSE)="●","x","")</f>
        <v/>
      </c>
      <c r="O51" s="146" t="str">
        <f>IF(VLOOKUP($A51,Sheet1!$A$3:$AW$699,10,FALSE)="■","x","")</f>
        <v/>
      </c>
      <c r="P51" s="9" t="str">
        <f>IF(VLOOKUP($A51,Sheet1!$A$3:$AW$699,2,FALSE)="","",VLOOKUP($A51,Sheet1!$A$3:$AW$699,2,FALSE))</f>
        <v>PN.018</v>
      </c>
    </row>
    <row r="52" spans="1:16" ht="14.4" x14ac:dyDescent="0.3">
      <c r="A52" s="9">
        <v>643</v>
      </c>
      <c r="B52" s="9" t="str">
        <f>IF(VLOOKUP($A52,Sheet1!$A$3:$AW$699,20,FALSE)="","",VLOOKUP($A52,Sheet1!$A$3:$AW$699,20,FALSE))</f>
        <v>FluxSaturation3_4thPeakCurrent</v>
      </c>
      <c r="C52" s="9" t="str">
        <f>IF(VLOOKUP($A52,Sheet1!$A$3:$AW$699,25,FALSE)="","",VLOOKUP($A52,Sheet1!$A$3:$AW$699,25,FALSE))</f>
        <v>All</v>
      </c>
      <c r="D52" s="142">
        <f>IF(VLOOKUP($A52,Sheet1!$A$3:$AW$699,15,FALSE)="","",VLOOKUP($A52,Sheet1!$A$3:$AW$699,15,FALSE))</f>
        <v>1</v>
      </c>
      <c r="E52" s="142">
        <f>IF(VLOOKUP($A52,Sheet1!$A$3:$AW$699,16,FALSE)="","",VLOOKUP($A52,Sheet1!$A$3:$AW$699,16,FALSE))</f>
        <v>10000</v>
      </c>
      <c r="F52" s="142">
        <f>IF(VLOOKUP($A52,Sheet1!$A$3:$AW$699,17,FALSE)="","",VLOOKUP($A52,Sheet1!$A$3:$AW$699,17,FALSE))</f>
        <v>10000</v>
      </c>
      <c r="G52" s="142">
        <f>IF(VLOOKUP($A52,Sheet1!$A$3:$AW$699,18,FALSE)="","",VLOOKUP($A52,Sheet1!$A$3:$AW$699,18,FALSE))</f>
        <v>0.01</v>
      </c>
      <c r="H52" s="142" t="str">
        <f>IF(VLOOKUP($A52,Sheet1!$A$3:$AW$699,19,FALSE)="","",VLOOKUP($A52,Sheet1!$A$3:$AW$699,19,FALSE))</f>
        <v>%</v>
      </c>
      <c r="I52" s="9" t="str">
        <f>IF(VLOOKUP($A52,Sheet1!$A$3:$AW$699,5,FALSE)="","",VLOOKUP($A52,Sheet1!$A$3:$AW$699,5,FALSE))</f>
        <v>INT</v>
      </c>
      <c r="J52" s="7" t="s">
        <v>96</v>
      </c>
      <c r="K52" s="7" t="s">
        <v>51</v>
      </c>
      <c r="L52" s="146" t="str">
        <f>IF(VLOOKUP($A52,Sheet1!$A$3:$AW$699,7,FALSE)="★","x","")</f>
        <v/>
      </c>
      <c r="M52" s="146" t="str">
        <f>IF(VLOOKUP($A52,Sheet1!$A$3:$AW$699,8,FALSE)="▲","x","")</f>
        <v>x</v>
      </c>
      <c r="N52" s="146" t="str">
        <f>IF(VLOOKUP($A52,Sheet1!$A$3:$AW$699,9,FALSE)="●","x","")</f>
        <v/>
      </c>
      <c r="O52" s="146" t="str">
        <f>IF(VLOOKUP($A52,Sheet1!$A$3:$AW$699,10,FALSE)="■","x","")</f>
        <v/>
      </c>
      <c r="P52" s="9" t="str">
        <f>IF(VLOOKUP($A52,Sheet1!$A$3:$AW$699,2,FALSE)="","",VLOOKUP($A52,Sheet1!$A$3:$AW$699,2,FALSE))</f>
        <v>PN.019</v>
      </c>
    </row>
    <row r="53" spans="1:16" ht="14.4" x14ac:dyDescent="0.3">
      <c r="A53" s="9">
        <v>644</v>
      </c>
      <c r="B53" s="9" t="str">
        <f>IF(VLOOKUP($A53,Sheet1!$A$3:$AW$699,20,FALSE)="","",VLOOKUP($A53,Sheet1!$A$3:$AW$699,20,FALSE))</f>
        <v>FluxSaturation7_8thPeakCurrent</v>
      </c>
      <c r="C53" s="9" t="str">
        <f>IF(VLOOKUP($A53,Sheet1!$A$3:$AW$699,25,FALSE)="","",VLOOKUP($A53,Sheet1!$A$3:$AW$699,25,FALSE))</f>
        <v>All</v>
      </c>
      <c r="D53" s="142">
        <f>IF(VLOOKUP($A53,Sheet1!$A$3:$AW$699,15,FALSE)="","",VLOOKUP($A53,Sheet1!$A$3:$AW$699,15,FALSE))</f>
        <v>1</v>
      </c>
      <c r="E53" s="142">
        <f>IF(VLOOKUP($A53,Sheet1!$A$3:$AW$699,16,FALSE)="","",VLOOKUP($A53,Sheet1!$A$3:$AW$699,16,FALSE))</f>
        <v>10000</v>
      </c>
      <c r="F53" s="142">
        <f>IF(VLOOKUP($A53,Sheet1!$A$3:$AW$699,17,FALSE)="","",VLOOKUP($A53,Sheet1!$A$3:$AW$699,17,FALSE))</f>
        <v>10000</v>
      </c>
      <c r="G53" s="142">
        <f>IF(VLOOKUP($A53,Sheet1!$A$3:$AW$699,18,FALSE)="","",VLOOKUP($A53,Sheet1!$A$3:$AW$699,18,FALSE))</f>
        <v>0.01</v>
      </c>
      <c r="H53" s="142" t="str">
        <f>IF(VLOOKUP($A53,Sheet1!$A$3:$AW$699,19,FALSE)="","",VLOOKUP($A53,Sheet1!$A$3:$AW$699,19,FALSE))</f>
        <v>%</v>
      </c>
      <c r="I53" s="9" t="str">
        <f>IF(VLOOKUP($A53,Sheet1!$A$3:$AW$699,5,FALSE)="","",VLOOKUP($A53,Sheet1!$A$3:$AW$699,5,FALSE))</f>
        <v>INT</v>
      </c>
      <c r="J53" s="7" t="s">
        <v>97</v>
      </c>
      <c r="K53" s="7" t="s">
        <v>51</v>
      </c>
      <c r="L53" s="146" t="str">
        <f>IF(VLOOKUP($A53,Sheet1!$A$3:$AW$699,7,FALSE)="★","x","")</f>
        <v/>
      </c>
      <c r="M53" s="146" t="str">
        <f>IF(VLOOKUP($A53,Sheet1!$A$3:$AW$699,8,FALSE)="▲","x","")</f>
        <v>x</v>
      </c>
      <c r="N53" s="146" t="str">
        <f>IF(VLOOKUP($A53,Sheet1!$A$3:$AW$699,9,FALSE)="●","x","")</f>
        <v/>
      </c>
      <c r="O53" s="146" t="str">
        <f>IF(VLOOKUP($A53,Sheet1!$A$3:$AW$699,10,FALSE)="■","x","")</f>
        <v/>
      </c>
      <c r="P53" s="9" t="str">
        <f>IF(VLOOKUP($A53,Sheet1!$A$3:$AW$699,2,FALSE)="","",VLOOKUP($A53,Sheet1!$A$3:$AW$699,2,FALSE))</f>
        <v>PN.020</v>
      </c>
    </row>
    <row r="54" spans="1:16" ht="14.4" x14ac:dyDescent="0.3">
      <c r="A54" s="9">
        <v>645</v>
      </c>
      <c r="B54" s="9" t="str">
        <f>IF(VLOOKUP($A54,Sheet1!$A$3:$AW$699,20,FALSE)="","",VLOOKUP($A54,Sheet1!$A$3:$AW$699,20,FALSE))</f>
        <v>FluxSaturationPeakCurrent</v>
      </c>
      <c r="C54" s="9" t="str">
        <f>IF(VLOOKUP($A54,Sheet1!$A$3:$AW$699,25,FALSE)="","",VLOOKUP($A54,Sheet1!$A$3:$AW$699,25,FALSE))</f>
        <v>All</v>
      </c>
      <c r="D54" s="142">
        <f>IF(VLOOKUP($A54,Sheet1!$A$3:$AW$699,15,FALSE)="","",VLOOKUP($A54,Sheet1!$A$3:$AW$699,15,FALSE))</f>
        <v>1</v>
      </c>
      <c r="E54" s="142">
        <f>IF(VLOOKUP($A54,Sheet1!$A$3:$AW$699,16,FALSE)="","",VLOOKUP($A54,Sheet1!$A$3:$AW$699,16,FALSE))</f>
        <v>10000</v>
      </c>
      <c r="F54" s="142">
        <f>IF(VLOOKUP($A54,Sheet1!$A$3:$AW$699,17,FALSE)="","",VLOOKUP($A54,Sheet1!$A$3:$AW$699,17,FALSE))</f>
        <v>10000</v>
      </c>
      <c r="G54" s="142">
        <f>IF(VLOOKUP($A54,Sheet1!$A$3:$AW$699,18,FALSE)="","",VLOOKUP($A54,Sheet1!$A$3:$AW$699,18,FALSE))</f>
        <v>0.01</v>
      </c>
      <c r="H54" s="142" t="str">
        <f>IF(VLOOKUP($A54,Sheet1!$A$3:$AW$699,19,FALSE)="","",VLOOKUP($A54,Sheet1!$A$3:$AW$699,19,FALSE))</f>
        <v>%</v>
      </c>
      <c r="I54" s="9" t="str">
        <f>IF(VLOOKUP($A54,Sheet1!$A$3:$AW$699,5,FALSE)="","",VLOOKUP($A54,Sheet1!$A$3:$AW$699,5,FALSE))</f>
        <v>INT</v>
      </c>
      <c r="J54" s="7" t="s">
        <v>98</v>
      </c>
      <c r="K54" s="7" t="s">
        <v>51</v>
      </c>
      <c r="L54" s="146" t="str">
        <f>IF(VLOOKUP($A54,Sheet1!$A$3:$AW$699,7,FALSE)="★","x","")</f>
        <v/>
      </c>
      <c r="M54" s="146" t="str">
        <f>IF(VLOOKUP($A54,Sheet1!$A$3:$AW$699,8,FALSE)="▲","x","")</f>
        <v>x</v>
      </c>
      <c r="N54" s="146" t="str">
        <f>IF(VLOOKUP($A54,Sheet1!$A$3:$AW$699,9,FALSE)="●","x","")</f>
        <v/>
      </c>
      <c r="O54" s="146" t="str">
        <f>IF(VLOOKUP($A54,Sheet1!$A$3:$AW$699,10,FALSE)="■","x","")</f>
        <v/>
      </c>
      <c r="P54" s="9" t="str">
        <f>IF(VLOOKUP($A54,Sheet1!$A$3:$AW$699,2,FALSE)="","",VLOOKUP($A54,Sheet1!$A$3:$AW$699,2,FALSE))</f>
        <v>PN.021</v>
      </c>
    </row>
    <row r="55" spans="1:16" ht="51" x14ac:dyDescent="0.3">
      <c r="A55" s="9">
        <v>646</v>
      </c>
      <c r="B55" s="9" t="str">
        <f>IF(VLOOKUP($A55,Sheet1!$A$3:$AW$699,20,FALSE)="","",VLOOKUP($A55,Sheet1!$A$3:$AW$699,20,FALSE))</f>
        <v>MotorDateCode</v>
      </c>
      <c r="C55" s="9" t="str">
        <f>IF(VLOOKUP($A55,Sheet1!$A$3:$AW$699,25,FALSE)="","",VLOOKUP($A55,Sheet1!$A$3:$AW$699,25,FALSE))</f>
        <v>All</v>
      </c>
      <c r="D55" s="142">
        <f>IF(VLOOKUP($A55,Sheet1!$A$3:$AW$699,15,FALSE)="","",VLOOKUP($A55,Sheet1!$A$3:$AW$699,15,FALSE))</f>
        <v>0</v>
      </c>
      <c r="E55" s="142" t="str">
        <f>IF(VLOOKUP($A55,Sheet1!$A$3:$AW$699,16,FALSE)="","",VLOOKUP($A55,Sheet1!$A$3:$AW$699,16,FALSE))</f>
        <v>0xFFFFFFFF</v>
      </c>
      <c r="F55" s="142">
        <f>IF(VLOOKUP($A55,Sheet1!$A$3:$AW$699,17,FALSE)="","",VLOOKUP($A55,Sheet1!$A$3:$AW$699,17,FALSE))</f>
        <v>0</v>
      </c>
      <c r="G55" s="142" t="str">
        <f>IF(VLOOKUP($A55,Sheet1!$A$3:$AW$699,18,FALSE)="","",VLOOKUP($A55,Sheet1!$A$3:$AW$699,18,FALSE))</f>
        <v/>
      </c>
      <c r="H55" s="142" t="str">
        <f>IF(VLOOKUP($A55,Sheet1!$A$3:$AW$699,19,FALSE)="","",VLOOKUP($A55,Sheet1!$A$3:$AW$699,19,FALSE))</f>
        <v/>
      </c>
      <c r="I55" s="9" t="str">
        <f>IF(VLOOKUP($A55,Sheet1!$A$3:$AW$699,5,FALSE)="","",VLOOKUP($A55,Sheet1!$A$3:$AW$699,5,FALSE))</f>
        <v>UDINT</v>
      </c>
      <c r="J55" s="7" t="s">
        <v>99</v>
      </c>
      <c r="K55" s="7" t="s">
        <v>51</v>
      </c>
      <c r="L55" s="146" t="str">
        <f>IF(VLOOKUP($A55,Sheet1!$A$3:$AW$699,7,FALSE)="★","x","")</f>
        <v>x</v>
      </c>
      <c r="M55" s="146" t="str">
        <f>IF(VLOOKUP($A55,Sheet1!$A$3:$AW$699,8,FALSE)="▲","x","")</f>
        <v/>
      </c>
      <c r="N55" s="146" t="str">
        <f>IF(VLOOKUP($A55,Sheet1!$A$3:$AW$699,9,FALSE)="●","x","")</f>
        <v/>
      </c>
      <c r="O55" s="146" t="str">
        <f>IF(VLOOKUP($A55,Sheet1!$A$3:$AW$699,10,FALSE)="■","x","")</f>
        <v>x</v>
      </c>
      <c r="P55" s="9" t="str">
        <f>IF(VLOOKUP($A55,Sheet1!$A$3:$AW$699,2,FALSE)="","",VLOOKUP($A55,Sheet1!$A$3:$AW$699,2,FALSE))</f>
        <v>PN.022</v>
      </c>
    </row>
    <row r="56" spans="1:16" ht="14.4" x14ac:dyDescent="0.3">
      <c r="A56" s="9">
        <v>647</v>
      </c>
      <c r="B56" s="9" t="str">
        <f>IF(VLOOKUP($A56,Sheet1!$A$3:$AW$699,20,FALSE)="","",VLOOKUP($A56,Sheet1!$A$3:$AW$699,20,FALSE))</f>
        <v>PMMotorRatedTorque</v>
      </c>
      <c r="C56" s="9" t="str">
        <f>IF(VLOOKUP($A56,Sheet1!$A$3:$AW$699,25,FALSE)="","",VLOOKUP($A56,Sheet1!$A$3:$AW$699,25,FALSE))</f>
        <v>All</v>
      </c>
      <c r="D56" s="142">
        <f>IF(VLOOKUP($A56,Sheet1!$A$3:$AW$699,15,FALSE)="","",VLOOKUP($A56,Sheet1!$A$3:$AW$699,15,FALSE))</f>
        <v>0</v>
      </c>
      <c r="E56" s="142">
        <f>IF(VLOOKUP($A56,Sheet1!$A$3:$AW$699,16,FALSE)="","",VLOOKUP($A56,Sheet1!$A$3:$AW$699,16,FALSE))</f>
        <v>65535</v>
      </c>
      <c r="F56" s="142">
        <f>IF(VLOOKUP($A56,Sheet1!$A$3:$AW$699,17,FALSE)="","",VLOOKUP($A56,Sheet1!$A$3:$AW$699,17,FALSE))</f>
        <v>0</v>
      </c>
      <c r="G56" s="142">
        <f>IF(VLOOKUP($A56,Sheet1!$A$3:$AW$699,18,FALSE)="","",VLOOKUP($A56,Sheet1!$A$3:$AW$699,18,FALSE))</f>
        <v>0.01</v>
      </c>
      <c r="H56" s="142" t="str">
        <f>IF(VLOOKUP($A56,Sheet1!$A$3:$AW$699,19,FALSE)="","",VLOOKUP($A56,Sheet1!$A$3:$AW$699,19,FALSE))</f>
        <v>N-m</v>
      </c>
      <c r="I56" s="9" t="str">
        <f>IF(VLOOKUP($A56,Sheet1!$A$3:$AW$699,5,FALSE)="","",VLOOKUP($A56,Sheet1!$A$3:$AW$699,5,FALSE))</f>
        <v>UINT</v>
      </c>
      <c r="J56" s="7" t="s">
        <v>100</v>
      </c>
      <c r="K56" s="7" t="s">
        <v>51</v>
      </c>
      <c r="L56" s="146" t="str">
        <f>IF(VLOOKUP($A56,Sheet1!$A$3:$AW$699,7,FALSE)="★","x","")</f>
        <v/>
      </c>
      <c r="M56" s="146" t="str">
        <f>IF(VLOOKUP($A56,Sheet1!$A$3:$AW$699,8,FALSE)="▲","x","")</f>
        <v>x</v>
      </c>
      <c r="N56" s="146" t="str">
        <f>IF(VLOOKUP($A56,Sheet1!$A$3:$AW$699,9,FALSE)="●","x","")</f>
        <v/>
      </c>
      <c r="O56" s="146" t="str">
        <f>IF(VLOOKUP($A56,Sheet1!$A$3:$AW$699,10,FALSE)="■","x","")</f>
        <v/>
      </c>
      <c r="P56" s="9" t="str">
        <f>IF(VLOOKUP($A56,Sheet1!$A$3:$AW$699,2,FALSE)="","",VLOOKUP($A56,Sheet1!$A$3:$AW$699,2,FALSE))</f>
        <v>PN.023</v>
      </c>
    </row>
    <row r="57" spans="1:16" ht="20.399999999999999" x14ac:dyDescent="0.3">
      <c r="A57" s="9">
        <v>648</v>
      </c>
      <c r="B57" s="9" t="str">
        <f>IF(VLOOKUP($A57,Sheet1!$A$3:$AW$699,20,FALSE)="","",VLOOKUP($A57,Sheet1!$A$3:$AW$699,20,FALSE))</f>
        <v>PMMotorRatedForce</v>
      </c>
      <c r="C57" s="9" t="str">
        <f>IF(VLOOKUP($A57,Sheet1!$A$3:$AW$699,25,FALSE)="","",VLOOKUP($A57,Sheet1!$A$3:$AW$699,25,FALSE))</f>
        <v>All</v>
      </c>
      <c r="D57" s="142">
        <f>IF(VLOOKUP($A57,Sheet1!$A$3:$AW$699,15,FALSE)="","",VLOOKUP($A57,Sheet1!$A$3:$AW$699,15,FALSE))</f>
        <v>0</v>
      </c>
      <c r="E57" s="142">
        <f>IF(VLOOKUP($A57,Sheet1!$A$3:$AW$699,16,FALSE)="","",VLOOKUP($A57,Sheet1!$A$3:$AW$699,16,FALSE))</f>
        <v>6553500</v>
      </c>
      <c r="F57" s="142">
        <f>IF(VLOOKUP($A57,Sheet1!$A$3:$AW$699,17,FALSE)="","",VLOOKUP($A57,Sheet1!$A$3:$AW$699,17,FALSE))</f>
        <v>0</v>
      </c>
      <c r="G57" s="142">
        <f>IF(VLOOKUP($A57,Sheet1!$A$3:$AW$699,18,FALSE)="","",VLOOKUP($A57,Sheet1!$A$3:$AW$699,18,FALSE))</f>
        <v>0.01</v>
      </c>
      <c r="H57" s="142" t="str">
        <f>IF(VLOOKUP($A57,Sheet1!$A$3:$AW$699,19,FALSE)="","",VLOOKUP($A57,Sheet1!$A$3:$AW$699,19,FALSE))</f>
        <v>N</v>
      </c>
      <c r="I57" s="9" t="str">
        <f>IF(VLOOKUP($A57,Sheet1!$A$3:$AW$699,5,FALSE)="","",VLOOKUP($A57,Sheet1!$A$3:$AW$699,5,FALSE))</f>
        <v>UDINT</v>
      </c>
      <c r="J57" s="7" t="s">
        <v>101</v>
      </c>
      <c r="K57" s="7" t="s">
        <v>51</v>
      </c>
      <c r="L57" s="146" t="str">
        <f>IF(VLOOKUP($A57,Sheet1!$A$3:$AW$699,7,FALSE)="★","x","")</f>
        <v/>
      </c>
      <c r="M57" s="146" t="str">
        <f>IF(VLOOKUP($A57,Sheet1!$A$3:$AW$699,8,FALSE)="▲","x","")</f>
        <v>x</v>
      </c>
      <c r="N57" s="146" t="str">
        <f>IF(VLOOKUP($A57,Sheet1!$A$3:$AW$699,9,FALSE)="●","x","")</f>
        <v/>
      </c>
      <c r="O57" s="146" t="str">
        <f>IF(VLOOKUP($A57,Sheet1!$A$3:$AW$699,10,FALSE)="■","x","")</f>
        <v/>
      </c>
      <c r="P57" s="9" t="str">
        <f>IF(VLOOKUP($A57,Sheet1!$A$3:$AW$699,2,FALSE)="","",VLOOKUP($A57,Sheet1!$A$3:$AW$699,2,FALSE))</f>
        <v>PN.024</v>
      </c>
    </row>
    <row r="58" spans="1:16" ht="14.4" x14ac:dyDescent="0.3">
      <c r="A58" s="9">
        <v>649</v>
      </c>
      <c r="B58" s="9" t="str">
        <f>IF(VLOOKUP($A58,Sheet1!$A$3:$AW$699,20,FALSE)="","",VLOOKUP($A58,Sheet1!$A$3:$AW$699,20,FALSE))</f>
        <v>MaxContinuousTorqueLimit</v>
      </c>
      <c r="C58" s="9" t="str">
        <f>IF(VLOOKUP($A58,Sheet1!$A$3:$AW$699,25,FALSE)="","",VLOOKUP($A58,Sheet1!$A$3:$AW$699,25,FALSE))</f>
        <v>All</v>
      </c>
      <c r="D58" s="142">
        <f>IF(VLOOKUP($A58,Sheet1!$A$3:$AW$699,15,FALSE)="","",VLOOKUP($A58,Sheet1!$A$3:$AW$699,15,FALSE))</f>
        <v>0</v>
      </c>
      <c r="E58" s="142">
        <f>IF(VLOOKUP($A58,Sheet1!$A$3:$AW$699,16,FALSE)="","",VLOOKUP($A58,Sheet1!$A$3:$AW$699,16,FALSE))</f>
        <v>10000</v>
      </c>
      <c r="F58" s="142">
        <f>IF(VLOOKUP($A58,Sheet1!$A$3:$AW$699,17,FALSE)="","",VLOOKUP($A58,Sheet1!$A$3:$AW$699,17,FALSE))</f>
        <v>0</v>
      </c>
      <c r="G58" s="142">
        <f>IF(VLOOKUP($A58,Sheet1!$A$3:$AW$699,18,FALSE)="","",VLOOKUP($A58,Sheet1!$A$3:$AW$699,18,FALSE))</f>
        <v>0.01</v>
      </c>
      <c r="H58" s="142" t="str">
        <f>IF(VLOOKUP($A58,Sheet1!$A$3:$AW$699,19,FALSE)="","",VLOOKUP($A58,Sheet1!$A$3:$AW$699,19,FALSE))</f>
        <v>%</v>
      </c>
      <c r="I58" s="9" t="str">
        <f>IF(VLOOKUP($A58,Sheet1!$A$3:$AW$699,5,FALSE)="","",VLOOKUP($A58,Sheet1!$A$3:$AW$699,5,FALSE))</f>
        <v>INT</v>
      </c>
      <c r="J58" s="7" t="s">
        <v>102</v>
      </c>
      <c r="K58" s="7" t="s">
        <v>51</v>
      </c>
      <c r="L58" s="146" t="str">
        <f>IF(VLOOKUP($A58,Sheet1!$A$3:$AW$699,7,FALSE)="★","x","")</f>
        <v>x</v>
      </c>
      <c r="M58" s="146" t="str">
        <f>IF(VLOOKUP($A58,Sheet1!$A$3:$AW$699,8,FALSE)="▲","x","")</f>
        <v/>
      </c>
      <c r="N58" s="146" t="str">
        <f>IF(VLOOKUP($A58,Sheet1!$A$3:$AW$699,9,FALSE)="●","x","")</f>
        <v/>
      </c>
      <c r="O58" s="146" t="str">
        <f>IF(VLOOKUP($A58,Sheet1!$A$3:$AW$699,10,FALSE)="■","x","")</f>
        <v>x</v>
      </c>
      <c r="P58" s="9" t="str">
        <f>IF(VLOOKUP($A58,Sheet1!$A$3:$AW$699,2,FALSE)="","",VLOOKUP($A58,Sheet1!$A$3:$AW$699,2,FALSE))</f>
        <v>PN.025</v>
      </c>
    </row>
    <row r="59" spans="1:16" ht="14.4" x14ac:dyDescent="0.3">
      <c r="A59" s="9">
        <v>655</v>
      </c>
      <c r="B59" s="9" t="str">
        <f>IF(VLOOKUP($A59,Sheet1!$A$3:$AW$699,20,FALSE)="","",VLOOKUP($A59,Sheet1!$A$3:$AW$699,20,FALSE))</f>
        <v>OutputCurrent</v>
      </c>
      <c r="C59" s="9" t="str">
        <f>IF(VLOOKUP($A59,Sheet1!$A$3:$AW$699,25,FALSE)="","",VLOOKUP($A59,Sheet1!$A$3:$AW$699,25,FALSE))</f>
        <v>All</v>
      </c>
      <c r="D59" s="142">
        <f>IF(VLOOKUP($A59,Sheet1!$A$3:$AW$699,15,FALSE)="","",VLOOKUP($A59,Sheet1!$A$3:$AW$699,15,FALSE))</f>
        <v>0</v>
      </c>
      <c r="E59" s="142" t="str">
        <f>IF(VLOOKUP($A59,Sheet1!$A$3:$AW$699,16,FALSE)="","",VLOOKUP($A59,Sheet1!$A$3:$AW$699,16,FALSE))</f>
        <v>0xFFFFFFFF</v>
      </c>
      <c r="F59" s="142">
        <f>IF(VLOOKUP($A59,Sheet1!$A$3:$AW$699,17,FALSE)="","",VLOOKUP($A59,Sheet1!$A$3:$AW$699,17,FALSE))</f>
        <v>0</v>
      </c>
      <c r="G59" s="142">
        <f>IF(VLOOKUP($A59,Sheet1!$A$3:$AW$699,18,FALSE)="","",VLOOKUP($A59,Sheet1!$A$3:$AW$699,18,FALSE))</f>
        <v>0.01</v>
      </c>
      <c r="H59" s="142" t="str">
        <f>IF(VLOOKUP($A59,Sheet1!$A$3:$AW$699,19,FALSE)="","",VLOOKUP($A59,Sheet1!$A$3:$AW$699,19,FALSE))</f>
        <v>Amps (RMS)</v>
      </c>
      <c r="I59" s="9" t="str">
        <f>IF(VLOOKUP($A59,Sheet1!$A$3:$AW$699,5,FALSE)="","",VLOOKUP($A59,Sheet1!$A$3:$AW$699,5,FALSE))</f>
        <v>UDINT</v>
      </c>
      <c r="J59" s="7" t="s">
        <v>103</v>
      </c>
      <c r="K59" s="7" t="s">
        <v>51</v>
      </c>
      <c r="L59" s="146" t="str">
        <f>IF(VLOOKUP($A59,Sheet1!$A$3:$AW$699,7,FALSE)="★","x","")</f>
        <v>x</v>
      </c>
      <c r="M59" s="146" t="str">
        <f>IF(VLOOKUP($A59,Sheet1!$A$3:$AW$699,8,FALSE)="▲","x","")</f>
        <v/>
      </c>
      <c r="N59" s="146" t="str">
        <f>IF(VLOOKUP($A59,Sheet1!$A$3:$AW$699,9,FALSE)="●","x","")</f>
        <v/>
      </c>
      <c r="O59" s="146" t="str">
        <f>IF(VLOOKUP($A59,Sheet1!$A$3:$AW$699,10,FALSE)="■","x","")</f>
        <v>x</v>
      </c>
      <c r="P59" s="9" t="str">
        <f>IF(VLOOKUP($A59,Sheet1!$A$3:$AW$699,2,FALSE)="","",VLOOKUP($A59,Sheet1!$A$3:$AW$699,2,FALSE))</f>
        <v>PN.037</v>
      </c>
    </row>
    <row r="60" spans="1:16" ht="14.4" x14ac:dyDescent="0.3">
      <c r="A60" s="9">
        <v>656</v>
      </c>
      <c r="B60" s="9" t="str">
        <f>IF(VLOOKUP($A60,Sheet1!$A$3:$AW$699,20,FALSE)="","",VLOOKUP($A60,Sheet1!$A$3:$AW$699,20,FALSE))</f>
        <v>MotorCapacity</v>
      </c>
      <c r="C60" s="9" t="str">
        <f>IF(VLOOKUP($A60,Sheet1!$A$3:$AW$699,25,FALSE)="","",VLOOKUP($A60,Sheet1!$A$3:$AW$699,25,FALSE))</f>
        <v>All</v>
      </c>
      <c r="D60" s="142">
        <f>IF(VLOOKUP($A60,Sheet1!$A$3:$AW$699,15,FALSE)="","",VLOOKUP($A60,Sheet1!$A$3:$AW$699,15,FALSE))</f>
        <v>0</v>
      </c>
      <c r="E60" s="142">
        <f>IF(VLOOKUP($A60,Sheet1!$A$3:$AW$699,16,FALSE)="","",VLOOKUP($A60,Sheet1!$A$3:$AW$699,16,FALSE))</f>
        <v>1000</v>
      </c>
      <c r="F60" s="142">
        <f>IF(VLOOKUP($A60,Sheet1!$A$3:$AW$699,17,FALSE)="","",VLOOKUP($A60,Sheet1!$A$3:$AW$699,17,FALSE))</f>
        <v>0</v>
      </c>
      <c r="G60" s="142">
        <f>IF(VLOOKUP($A60,Sheet1!$A$3:$AW$699,18,FALSE)="","",VLOOKUP($A60,Sheet1!$A$3:$AW$699,18,FALSE))</f>
        <v>1</v>
      </c>
      <c r="H60" s="142" t="str">
        <f>IF(VLOOKUP($A60,Sheet1!$A$3:$AW$699,19,FALSE)="","",VLOOKUP($A60,Sheet1!$A$3:$AW$699,19,FALSE))</f>
        <v>%</v>
      </c>
      <c r="I60" s="9" t="str">
        <f>IF(VLOOKUP($A60,Sheet1!$A$3:$AW$699,5,FALSE)="","",VLOOKUP($A60,Sheet1!$A$3:$AW$699,5,FALSE))</f>
        <v>INT</v>
      </c>
      <c r="J60" s="7" t="s">
        <v>104</v>
      </c>
      <c r="K60" s="7" t="s">
        <v>51</v>
      </c>
      <c r="L60" s="146" t="str">
        <f>IF(VLOOKUP($A60,Sheet1!$A$3:$AW$699,7,FALSE)="★","x","")</f>
        <v>x</v>
      </c>
      <c r="M60" s="146" t="str">
        <f>IF(VLOOKUP($A60,Sheet1!$A$3:$AW$699,8,FALSE)="▲","x","")</f>
        <v/>
      </c>
      <c r="N60" s="146" t="str">
        <f>IF(VLOOKUP($A60,Sheet1!$A$3:$AW$699,9,FALSE)="●","x","")</f>
        <v/>
      </c>
      <c r="O60" s="146" t="str">
        <f>IF(VLOOKUP($A60,Sheet1!$A$3:$AW$699,10,FALSE)="■","x","")</f>
        <v>x</v>
      </c>
      <c r="P60" s="9" t="str">
        <f>IF(VLOOKUP($A60,Sheet1!$A$3:$AW$699,2,FALSE)="","",VLOOKUP($A60,Sheet1!$A$3:$AW$699,2,FALSE))</f>
        <v>PN.038</v>
      </c>
    </row>
    <row r="61" spans="1:16" ht="81.599999999999994" x14ac:dyDescent="0.3">
      <c r="A61" s="9">
        <v>659</v>
      </c>
      <c r="B61" s="9" t="str">
        <f>IF(VLOOKUP($A61,Sheet1!$A$3:$AW$699,20,FALSE)="","",VLOOKUP($A61,Sheet1!$A$3:$AW$699,20,FALSE))</f>
        <v>TotalInertia</v>
      </c>
      <c r="C61" s="9" t="str">
        <f>IF(VLOOKUP($A61,Sheet1!$A$3:$AW$699,25,FALSE)="","",VLOOKUP($A61,Sheet1!$A$3:$AW$699,25,FALSE))</f>
        <v>All</v>
      </c>
      <c r="D61" s="142">
        <f>IF(VLOOKUP($A61,Sheet1!$A$3:$AW$699,15,FALSE)="","",VLOOKUP($A61,Sheet1!$A$3:$AW$699,15,FALSE))</f>
        <v>0</v>
      </c>
      <c r="E61" s="142">
        <f>IF(VLOOKUP($A61,Sheet1!$A$3:$AW$699,16,FALSE)="","",VLOOKUP($A61,Sheet1!$A$3:$AW$699,16,FALSE))</f>
        <v>2147483647</v>
      </c>
      <c r="F61" s="142">
        <f>IF(VLOOKUP($A61,Sheet1!$A$3:$AW$699,17,FALSE)="","",VLOOKUP($A61,Sheet1!$A$3:$AW$699,17,FALSE))</f>
        <v>0</v>
      </c>
      <c r="G61" s="142">
        <f>IF(VLOOKUP($A61,Sheet1!$A$3:$AW$699,18,FALSE)="","",VLOOKUP($A61,Sheet1!$A$3:$AW$699,18,FALSE))</f>
        <v>1E-3</v>
      </c>
      <c r="H61" s="142" t="str">
        <f>IF(VLOOKUP($A61,Sheet1!$A$3:$AW$699,19,FALSE)="","",VLOOKUP($A61,Sheet1!$A$3:$AW$699,19,FALSE))</f>
        <v>10^-4kg-m^2
kg</v>
      </c>
      <c r="I61" s="9" t="str">
        <f>IF(VLOOKUP($A61,Sheet1!$A$3:$AW$699,5,FALSE)="","",VLOOKUP($A61,Sheet1!$A$3:$AW$699,5,FALSE))</f>
        <v>DINT</v>
      </c>
      <c r="J61" s="7" t="s">
        <v>105</v>
      </c>
      <c r="K61" s="7" t="s">
        <v>51</v>
      </c>
      <c r="L61" s="146" t="str">
        <f>IF(VLOOKUP($A61,Sheet1!$A$3:$AW$699,7,FALSE)="★","x","")</f>
        <v/>
      </c>
      <c r="M61" s="146" t="str">
        <f>IF(VLOOKUP($A61,Sheet1!$A$3:$AW$699,8,FALSE)="▲","x","")</f>
        <v/>
      </c>
      <c r="N61" s="146" t="str">
        <f>IF(VLOOKUP($A61,Sheet1!$A$3:$AW$699,9,FALSE)="●","x","")</f>
        <v/>
      </c>
      <c r="O61" s="146" t="str">
        <f>IF(VLOOKUP($A61,Sheet1!$A$3:$AW$699,10,FALSE)="■","x","")</f>
        <v/>
      </c>
      <c r="P61" s="9" t="str">
        <f>IF(VLOOKUP($A61,Sheet1!$A$3:$AW$699,2,FALSE)="","",VLOOKUP($A61,Sheet1!$A$3:$AW$699,2,FALSE))</f>
        <v>PN.044</v>
      </c>
    </row>
    <row r="62" spans="1:16" ht="91.8" x14ac:dyDescent="0.3">
      <c r="A62" s="9">
        <v>660</v>
      </c>
      <c r="B62" s="9" t="str">
        <f>IF(VLOOKUP($A62,Sheet1!$A$3:$AW$699,20,FALSE)="","",VLOOKUP($A62,Sheet1!$A$3:$AW$699,20,FALSE))</f>
        <v>UseLoadRatio</v>
      </c>
      <c r="C62" s="9" t="str">
        <f>IF(VLOOKUP($A62,Sheet1!$A$3:$AW$699,25,FALSE)="","",VLOOKUP($A62,Sheet1!$A$3:$AW$699,25,FALSE))</f>
        <v>All</v>
      </c>
      <c r="D62" s="142">
        <f>IF(VLOOKUP($A62,Sheet1!$A$3:$AW$699,15,FALSE)="","",VLOOKUP($A62,Sheet1!$A$3:$AW$699,15,FALSE))</f>
        <v>0</v>
      </c>
      <c r="E62" s="142">
        <f>IF(VLOOKUP($A62,Sheet1!$A$3:$AW$699,16,FALSE)="","",VLOOKUP($A62,Sheet1!$A$3:$AW$699,16,FALSE))</f>
        <v>1</v>
      </c>
      <c r="F62" s="142">
        <f>IF(VLOOKUP($A62,Sheet1!$A$3:$AW$699,17,FALSE)="","",VLOOKUP($A62,Sheet1!$A$3:$AW$699,17,FALSE))</f>
        <v>0</v>
      </c>
      <c r="G62" s="142" t="str">
        <f>IF(VLOOKUP($A62,Sheet1!$A$3:$AW$699,18,FALSE)="","",VLOOKUP($A62,Sheet1!$A$3:$AW$699,18,FALSE))</f>
        <v/>
      </c>
      <c r="H62" s="142" t="str">
        <f>IF(VLOOKUP($A62,Sheet1!$A$3:$AW$699,19,FALSE)="","",VLOOKUP($A62,Sheet1!$A$3:$AW$699,19,FALSE))</f>
        <v/>
      </c>
      <c r="I62" s="9" t="str">
        <f>IF(VLOOKUP($A62,Sheet1!$A$3:$AW$699,5,FALSE)="","",VLOOKUP($A62,Sheet1!$A$3:$AW$699,5,FALSE))</f>
        <v>INT</v>
      </c>
      <c r="J62" s="7" t="s">
        <v>106</v>
      </c>
      <c r="K62" s="7" t="s">
        <v>51</v>
      </c>
      <c r="L62" s="146" t="str">
        <f>IF(VLOOKUP($A62,Sheet1!$A$3:$AW$699,7,FALSE)="★","x","")</f>
        <v/>
      </c>
      <c r="M62" s="146" t="str">
        <f>IF(VLOOKUP($A62,Sheet1!$A$3:$AW$699,8,FALSE)="▲","x","")</f>
        <v/>
      </c>
      <c r="N62" s="146" t="str">
        <f>IF(VLOOKUP($A62,Sheet1!$A$3:$AW$699,9,FALSE)="●","x","")</f>
        <v/>
      </c>
      <c r="O62" s="146" t="str">
        <f>IF(VLOOKUP($A62,Sheet1!$A$3:$AW$699,10,FALSE)="■","x","")</f>
        <v/>
      </c>
      <c r="P62" s="9" t="str">
        <f>IF(VLOOKUP($A62,Sheet1!$A$3:$AW$699,2,FALSE)="","",VLOOKUP($A62,Sheet1!$A$3:$AW$699,2,FALSE))</f>
        <v>PN.045</v>
      </c>
    </row>
    <row r="63" spans="1:16" ht="103.2" customHeight="1" x14ac:dyDescent="0.3">
      <c r="A63" s="9">
        <v>661</v>
      </c>
      <c r="B63" s="9" t="str">
        <f>IF(VLOOKUP($A63,Sheet1!$A$3:$AW$699,20,FALSE)="","",VLOOKUP($A63,Sheet1!$A$3:$AW$699,20,FALSE))</f>
        <v>EncCommProtocol</v>
      </c>
      <c r="C63" s="9" t="str">
        <f>IF(VLOOKUP($A63,Sheet1!$A$3:$AW$699,25,FALSE)="","",VLOOKUP($A63,Sheet1!$A$3:$AW$699,25,FALSE))</f>
        <v>All</v>
      </c>
      <c r="D63" s="142">
        <f>IF(VLOOKUP($A63,Sheet1!$A$3:$AW$699,15,FALSE)="","",VLOOKUP($A63,Sheet1!$A$3:$AW$699,15,FALSE))</f>
        <v>0</v>
      </c>
      <c r="E63" s="142" t="str">
        <f>IF(VLOOKUP($A63,Sheet1!$A$3:$AW$699,16,FALSE)="","",VLOOKUP($A63,Sheet1!$A$3:$AW$699,16,FALSE))</f>
        <v>0xFFFF</v>
      </c>
      <c r="F63" s="142">
        <f>IF(VLOOKUP($A63,Sheet1!$A$3:$AW$699,17,FALSE)="","",VLOOKUP($A63,Sheet1!$A$3:$AW$699,17,FALSE))</f>
        <v>0</v>
      </c>
      <c r="G63" s="142" t="str">
        <f>IF(VLOOKUP($A63,Sheet1!$A$3:$AW$699,18,FALSE)="","",VLOOKUP($A63,Sheet1!$A$3:$AW$699,18,FALSE))</f>
        <v/>
      </c>
      <c r="H63" s="142" t="str">
        <f>IF(VLOOKUP($A63,Sheet1!$A$3:$AW$699,19,FALSE)="","",VLOOKUP($A63,Sheet1!$A$3:$AW$699,19,FALSE))</f>
        <v/>
      </c>
      <c r="I63" s="9" t="str">
        <f>IF(VLOOKUP($A63,Sheet1!$A$3:$AW$699,5,FALSE)="","",VLOOKUP($A63,Sheet1!$A$3:$AW$699,5,FALSE))</f>
        <v>UINT</v>
      </c>
      <c r="J63" s="7" t="s">
        <v>107</v>
      </c>
      <c r="K63" s="7" t="s">
        <v>51</v>
      </c>
      <c r="L63" s="146" t="str">
        <f>IF(VLOOKUP($A63,Sheet1!$A$3:$AW$699,7,FALSE)="★","x","")</f>
        <v/>
      </c>
      <c r="M63" s="146" t="str">
        <f>IF(VLOOKUP($A63,Sheet1!$A$3:$AW$699,8,FALSE)="▲","x","")</f>
        <v>x</v>
      </c>
      <c r="N63" s="146" t="str">
        <f>IF(VLOOKUP($A63,Sheet1!$A$3:$AW$699,9,FALSE)="●","x","")</f>
        <v/>
      </c>
      <c r="O63" s="146" t="str">
        <f>IF(VLOOKUP($A63,Sheet1!$A$3:$AW$699,10,FALSE)="■","x","")</f>
        <v/>
      </c>
      <c r="P63" s="9" t="str">
        <f>IF(VLOOKUP($A63,Sheet1!$A$3:$AW$699,2,FALSE)="","",VLOOKUP($A63,Sheet1!$A$3:$AW$699,2,FALSE))</f>
        <v>PN.046</v>
      </c>
    </row>
    <row r="64" spans="1:16" ht="19.95" customHeight="1" x14ac:dyDescent="0.3">
      <c r="A64" s="9">
        <v>688</v>
      </c>
      <c r="B64" s="9" t="str">
        <f>IF(VLOOKUP($A64,Sheet1!$A$3:$AW$699,20,FALSE)="","",VLOOKUP($A64,Sheet1!$A$3:$AW$699,20,FALSE))</f>
        <v>InductionMotorStatorResistance</v>
      </c>
      <c r="C64" s="9" t="str">
        <f>IF(VLOOKUP($A64,Sheet1!$A$3:$AW$699,25,FALSE)="","",VLOOKUP($A64,Sheet1!$A$3:$AW$699,25,FALSE))</f>
        <v>All</v>
      </c>
      <c r="D64" s="142">
        <f>IF(VLOOKUP($A64,Sheet1!$A$3:$AW$699,15,FALSE)="","",VLOOKUP($A64,Sheet1!$A$3:$AW$699,15,FALSE))</f>
        <v>0</v>
      </c>
      <c r="E64" s="142">
        <f>IF(VLOOKUP($A64,Sheet1!$A$3:$AW$699,16,FALSE)="","",VLOOKUP($A64,Sheet1!$A$3:$AW$699,16,FALSE))</f>
        <v>15999</v>
      </c>
      <c r="F64" s="142">
        <f>IF(VLOOKUP($A64,Sheet1!$A$3:$AW$699,17,FALSE)="","",VLOOKUP($A64,Sheet1!$A$3:$AW$699,17,FALSE))</f>
        <v>0</v>
      </c>
      <c r="G64" s="142">
        <f>IF(VLOOKUP($A64,Sheet1!$A$3:$AW$699,18,FALSE)="","",VLOOKUP($A64,Sheet1!$A$3:$AW$699,18,FALSE))</f>
        <v>1E-3</v>
      </c>
      <c r="H64" s="142" t="str">
        <f>IF(VLOOKUP($A64,Sheet1!$A$3:$AW$699,19,FALSE)="","",VLOOKUP($A64,Sheet1!$A$3:$AW$699,19,FALSE))</f>
        <v>Ohms</v>
      </c>
      <c r="I64" s="9" t="str">
        <f>IF(VLOOKUP($A64,Sheet1!$A$3:$AW$699,5,FALSE)="","",VLOOKUP($A64,Sheet1!$A$3:$AW$699,5,FALSE))</f>
        <v>INT</v>
      </c>
      <c r="J64" s="7" t="s">
        <v>108</v>
      </c>
      <c r="K64" s="7" t="s">
        <v>51</v>
      </c>
      <c r="L64" s="146" t="str">
        <f>IF(VLOOKUP($A64,Sheet1!$A$3:$AW$699,7,FALSE)="★","x","")</f>
        <v/>
      </c>
      <c r="M64" s="146" t="str">
        <f>IF(VLOOKUP($A64,Sheet1!$A$3:$AW$699,8,FALSE)="▲","x","")</f>
        <v>x</v>
      </c>
      <c r="N64" s="146" t="str">
        <f>IF(VLOOKUP($A64,Sheet1!$A$3:$AW$699,9,FALSE)="●","x","")</f>
        <v/>
      </c>
      <c r="O64" s="146" t="str">
        <f>IF(VLOOKUP($A64,Sheet1!$A$3:$AW$699,10,FALSE)="■","x","")</f>
        <v/>
      </c>
      <c r="P64" s="9" t="str">
        <f>IF(VLOOKUP($A64,Sheet1!$A$3:$AW$699,2,FALSE)="","",VLOOKUP($A64,Sheet1!$A$3:$AW$699,2,FALSE))</f>
        <v>PM.074</v>
      </c>
    </row>
    <row r="65" spans="1:16" ht="19.95" customHeight="1" x14ac:dyDescent="0.3">
      <c r="A65" s="9">
        <v>692</v>
      </c>
      <c r="B65" s="9" t="str">
        <f>IF(VLOOKUP($A65,Sheet1!$A$3:$AW$699,20,FALSE)="","",VLOOKUP($A65,Sheet1!$A$3:$AW$699,20,FALSE))</f>
        <v>LinearMotorRatedVelocity</v>
      </c>
      <c r="C65" s="9" t="str">
        <f>IF(VLOOKUP($A65,Sheet1!$A$3:$AW$699,25,FALSE)="","",VLOOKUP($A65,Sheet1!$A$3:$AW$699,25,FALSE))</f>
        <v>All</v>
      </c>
      <c r="D65" s="142">
        <f>IF(VLOOKUP($A65,Sheet1!$A$3:$AW$699,15,FALSE)="","",VLOOKUP($A65,Sheet1!$A$3:$AW$699,15,FALSE))</f>
        <v>0</v>
      </c>
      <c r="E65" s="142">
        <f>IF(VLOOKUP($A65,Sheet1!$A$3:$AW$699,16,FALSE)="","",VLOOKUP($A65,Sheet1!$A$3:$AW$699,16,FALSE))</f>
        <v>15999</v>
      </c>
      <c r="F65" s="142">
        <f>IF(VLOOKUP($A65,Sheet1!$A$3:$AW$699,17,FALSE)="","",VLOOKUP($A65,Sheet1!$A$3:$AW$699,17,FALSE))</f>
        <v>4000</v>
      </c>
      <c r="G65" s="142" t="str">
        <f>IF(VLOOKUP($A65,Sheet1!$A$3:$AW$699,18,FALSE)="","",VLOOKUP($A65,Sheet1!$A$3:$AW$699,18,FALSE))</f>
        <v/>
      </c>
      <c r="H65" s="142" t="str">
        <f>IF(VLOOKUP($A65,Sheet1!$A$3:$AW$699,19,FALSE)="","",VLOOKUP($A65,Sheet1!$A$3:$AW$699,19,FALSE))</f>
        <v>mm/s</v>
      </c>
      <c r="I65" s="9" t="str">
        <f>IF(VLOOKUP($A65,Sheet1!$A$3:$AW$699,5,FALSE)="","",VLOOKUP($A65,Sheet1!$A$3:$AW$699,5,FALSE))</f>
        <v>INT</v>
      </c>
      <c r="J65" s="7" t="s">
        <v>109</v>
      </c>
      <c r="K65" s="7" t="s">
        <v>51</v>
      </c>
      <c r="L65" s="146" t="str">
        <f>IF(VLOOKUP($A65,Sheet1!$A$3:$AW$699,7,FALSE)="★","x","")</f>
        <v/>
      </c>
      <c r="M65" s="146" t="str">
        <f>IF(VLOOKUP($A65,Sheet1!$A$3:$AW$699,8,FALSE)="▲","x","")</f>
        <v>x</v>
      </c>
      <c r="N65" s="146" t="str">
        <f>IF(VLOOKUP($A65,Sheet1!$A$3:$AW$699,9,FALSE)="●","x","")</f>
        <v>x</v>
      </c>
      <c r="O65" s="146" t="str">
        <f>IF(VLOOKUP($A65,Sheet1!$A$3:$AW$699,10,FALSE)="■","x","")</f>
        <v/>
      </c>
      <c r="P65" s="9" t="str">
        <f>IF(VLOOKUP($A65,Sheet1!$A$3:$AW$699,2,FALSE)="","",VLOOKUP($A65,Sheet1!$A$3:$AW$699,2,FALSE))</f>
        <v>PM.047</v>
      </c>
    </row>
    <row r="66" spans="1:16" ht="19.95" customHeight="1" x14ac:dyDescent="0.3">
      <c r="A66" s="9">
        <v>693</v>
      </c>
      <c r="B66" s="9" t="str">
        <f>IF(VLOOKUP($A66,Sheet1!$A$3:$AW$699,20,FALSE)="","",VLOOKUP($A66,Sheet1!$A$3:$AW$699,20,FALSE))</f>
        <v>LinearMotorMaxVelocity</v>
      </c>
      <c r="C66" s="9" t="str">
        <f>IF(VLOOKUP($A66,Sheet1!$A$3:$AW$699,25,FALSE)="","",VLOOKUP($A66,Sheet1!$A$3:$AW$699,25,FALSE))</f>
        <v>All</v>
      </c>
      <c r="D66" s="142">
        <f>IF(VLOOKUP($A66,Sheet1!$A$3:$AW$699,15,FALSE)="","",VLOOKUP($A66,Sheet1!$A$3:$AW$699,15,FALSE))</f>
        <v>0</v>
      </c>
      <c r="E66" s="142">
        <f>IF(VLOOKUP($A66,Sheet1!$A$3:$AW$699,16,FALSE)="","",VLOOKUP($A66,Sheet1!$A$3:$AW$699,16,FALSE))</f>
        <v>15999</v>
      </c>
      <c r="F66" s="142">
        <f>IF(VLOOKUP($A66,Sheet1!$A$3:$AW$699,17,FALSE)="","",VLOOKUP($A66,Sheet1!$A$3:$AW$699,17,FALSE))</f>
        <v>4000</v>
      </c>
      <c r="G66" s="142" t="str">
        <f>IF(VLOOKUP($A66,Sheet1!$A$3:$AW$699,18,FALSE)="","",VLOOKUP($A66,Sheet1!$A$3:$AW$699,18,FALSE))</f>
        <v/>
      </c>
      <c r="H66" s="142" t="str">
        <f>IF(VLOOKUP($A66,Sheet1!$A$3:$AW$699,19,FALSE)="","",VLOOKUP($A66,Sheet1!$A$3:$AW$699,19,FALSE))</f>
        <v>mm/s</v>
      </c>
      <c r="I66" s="9" t="str">
        <f>IF(VLOOKUP($A66,Sheet1!$A$3:$AW$699,5,FALSE)="","",VLOOKUP($A66,Sheet1!$A$3:$AW$699,5,FALSE))</f>
        <v>INT</v>
      </c>
      <c r="J66" s="7" t="s">
        <v>110</v>
      </c>
      <c r="K66" s="7" t="s">
        <v>51</v>
      </c>
      <c r="L66" s="146" t="str">
        <f>IF(VLOOKUP($A66,Sheet1!$A$3:$AW$699,7,FALSE)="★","x","")</f>
        <v/>
      </c>
      <c r="M66" s="146" t="str">
        <f>IF(VLOOKUP($A66,Sheet1!$A$3:$AW$699,8,FALSE)="▲","x","")</f>
        <v>x</v>
      </c>
      <c r="N66" s="146" t="str">
        <f>IF(VLOOKUP($A66,Sheet1!$A$3:$AW$699,9,FALSE)="●","x","")</f>
        <v>x</v>
      </c>
      <c r="O66" s="146" t="str">
        <f>IF(VLOOKUP($A66,Sheet1!$A$3:$AW$699,10,FALSE)="■","x","")</f>
        <v/>
      </c>
      <c r="P66" s="9" t="str">
        <f>IF(VLOOKUP($A66,Sheet1!$A$3:$AW$699,2,FALSE)="","",VLOOKUP($A66,Sheet1!$A$3:$AW$699,2,FALSE))</f>
        <v>PM.048</v>
      </c>
    </row>
    <row r="67" spans="1:16" ht="19.95" customHeight="1" x14ac:dyDescent="0.3">
      <c r="A67" s="9">
        <v>694</v>
      </c>
      <c r="B67" s="9" t="str">
        <f>IF(VLOOKUP($A67,Sheet1!$A$3:$AW$699,20,FALSE)="","",VLOOKUP($A67,Sheet1!$A$3:$AW$699,20,FALSE))</f>
        <v>LinearMotorVoltageConstant</v>
      </c>
      <c r="C67" s="9" t="str">
        <f>IF(VLOOKUP($A67,Sheet1!$A$3:$AW$699,25,FALSE)="","",VLOOKUP($A67,Sheet1!$A$3:$AW$699,25,FALSE))</f>
        <v>All</v>
      </c>
      <c r="D67" s="142">
        <f>IF(VLOOKUP($A67,Sheet1!$A$3:$AW$699,15,FALSE)="","",VLOOKUP($A67,Sheet1!$A$3:$AW$699,15,FALSE))</f>
        <v>0</v>
      </c>
      <c r="E67" s="142">
        <f>IF(VLOOKUP($A67,Sheet1!$A$3:$AW$699,16,FALSE)="","",VLOOKUP($A67,Sheet1!$A$3:$AW$699,16,FALSE))</f>
        <v>5912</v>
      </c>
      <c r="F67" s="142">
        <f>IF(VLOOKUP($A67,Sheet1!$A$3:$AW$699,17,FALSE)="","",VLOOKUP($A67,Sheet1!$A$3:$AW$699,17,FALSE))</f>
        <v>0</v>
      </c>
      <c r="G67" s="142">
        <f>IF(VLOOKUP($A67,Sheet1!$A$3:$AW$699,18,FALSE)="","",VLOOKUP($A67,Sheet1!$A$3:$AW$699,18,FALSE))</f>
        <v>0.1</v>
      </c>
      <c r="H67" s="142" t="str">
        <f>IF(VLOOKUP($A67,Sheet1!$A$3:$AW$699,19,FALSE)="","",VLOOKUP($A67,Sheet1!$A$3:$AW$699,19,FALSE))</f>
        <v>Vrms/(m/s)</v>
      </c>
      <c r="I67" s="9" t="str">
        <f>IF(VLOOKUP($A67,Sheet1!$A$3:$AW$699,5,FALSE)="","",VLOOKUP($A67,Sheet1!$A$3:$AW$699,5,FALSE))</f>
        <v>INT</v>
      </c>
      <c r="J67" s="7" t="s">
        <v>111</v>
      </c>
      <c r="K67" s="7" t="s">
        <v>51</v>
      </c>
      <c r="L67" s="146" t="str">
        <f>IF(VLOOKUP($A67,Sheet1!$A$3:$AW$699,7,FALSE)="★","x","")</f>
        <v/>
      </c>
      <c r="M67" s="146" t="str">
        <f>IF(VLOOKUP($A67,Sheet1!$A$3:$AW$699,8,FALSE)="▲","x","")</f>
        <v>x</v>
      </c>
      <c r="N67" s="146" t="str">
        <f>IF(VLOOKUP($A67,Sheet1!$A$3:$AW$699,9,FALSE)="●","x","")</f>
        <v/>
      </c>
      <c r="O67" s="146" t="str">
        <f>IF(VLOOKUP($A67,Sheet1!$A$3:$AW$699,10,FALSE)="■","x","")</f>
        <v/>
      </c>
      <c r="P67" s="9" t="str">
        <f>IF(VLOOKUP($A67,Sheet1!$A$3:$AW$699,2,FALSE)="","",VLOOKUP($A67,Sheet1!$A$3:$AW$699,2,FALSE))</f>
        <v>PM.053</v>
      </c>
    </row>
    <row r="68" spans="1:16" ht="19.95" customHeight="1" x14ac:dyDescent="0.3">
      <c r="A68" s="9">
        <v>695</v>
      </c>
      <c r="B68" s="9" t="str">
        <f>IF(VLOOKUP($A68,Sheet1!$A$3:$AW$699,20,FALSE)="","",VLOOKUP($A68,Sheet1!$A$3:$AW$699,20,FALSE))</f>
        <v>EncoderSerialNumber</v>
      </c>
      <c r="C68" s="9" t="str">
        <f>IF(VLOOKUP($A68,Sheet1!$A$3:$AW$699,25,FALSE)="","",VLOOKUP($A68,Sheet1!$A$3:$AW$699,25,FALSE))</f>
        <v>All</v>
      </c>
      <c r="D68" s="142" t="str">
        <f>IF(VLOOKUP($A68,Sheet1!$A$3:$AW$699,15,FALSE)="","",VLOOKUP($A68,Sheet1!$A$3:$AW$699,15,FALSE))</f>
        <v/>
      </c>
      <c r="E68" s="142" t="str">
        <f>IF(VLOOKUP($A68,Sheet1!$A$3:$AW$699,16,FALSE)="","",VLOOKUP($A68,Sheet1!$A$3:$AW$699,16,FALSE))</f>
        <v/>
      </c>
      <c r="F68" s="142" t="str">
        <f>IF(VLOOKUP($A68,Sheet1!$A$3:$AW$699,17,FALSE)="","",VLOOKUP($A68,Sheet1!$A$3:$AW$699,17,FALSE))</f>
        <v/>
      </c>
      <c r="G68" s="142" t="str">
        <f>IF(VLOOKUP($A68,Sheet1!$A$3:$AW$699,18,FALSE)="","",VLOOKUP($A68,Sheet1!$A$3:$AW$699,18,FALSE))</f>
        <v/>
      </c>
      <c r="H68" s="142" t="str">
        <f>IF(VLOOKUP($A68,Sheet1!$A$3:$AW$699,19,FALSE)="","",VLOOKUP($A68,Sheet1!$A$3:$AW$699,19,FALSE))</f>
        <v/>
      </c>
      <c r="I68" s="9" t="str">
        <f>IF(VLOOKUP($A68,Sheet1!$A$3:$AW$699,5,FALSE)="","",VLOOKUP($A68,Sheet1!$A$3:$AW$699,5,FALSE))</f>
        <v>SHORT_STRING</v>
      </c>
      <c r="J68" s="7" t="s">
        <v>112</v>
      </c>
      <c r="K68" s="7" t="s">
        <v>51</v>
      </c>
      <c r="L68" s="146" t="str">
        <f>IF(VLOOKUP($A68,Sheet1!$A$3:$AW$699,7,FALSE)="★","x","")</f>
        <v>x</v>
      </c>
      <c r="M68" s="146" t="str">
        <f>IF(VLOOKUP($A68,Sheet1!$A$3:$AW$699,8,FALSE)="▲","x","")</f>
        <v/>
      </c>
      <c r="N68" s="146" t="str">
        <f>IF(VLOOKUP($A68,Sheet1!$A$3:$AW$699,9,FALSE)="●","x","")</f>
        <v/>
      </c>
      <c r="O68" s="146" t="str">
        <f>IF(VLOOKUP($A68,Sheet1!$A$3:$AW$699,10,FALSE)="■","x","")</f>
        <v>x</v>
      </c>
      <c r="P68" s="9" t="str">
        <f>IF(VLOOKUP($A68,Sheet1!$A$3:$AW$699,2,FALSE)="","",VLOOKUP($A68,Sheet1!$A$3:$AW$699,2,FALSE))</f>
        <v>PN.050</v>
      </c>
    </row>
    <row r="69" spans="1:16" ht="19.95" customHeight="1" x14ac:dyDescent="0.3">
      <c r="A69" s="9">
        <v>696</v>
      </c>
      <c r="B69" s="9" t="str">
        <f>IF(VLOOKUP($A69,Sheet1!$A$3:$AW$699,20,FALSE)="","",VLOOKUP($A69,Sheet1!$A$3:$AW$699,20,FALSE))</f>
        <v>MotorOverloadDerateHz</v>
      </c>
      <c r="C69" s="9" t="str">
        <f>IF(VLOOKUP($A69,Sheet1!$A$3:$AW$699,25,FALSE)="","",VLOOKUP($A69,Sheet1!$A$3:$AW$699,25,FALSE))</f>
        <v>All</v>
      </c>
      <c r="D69" s="142">
        <f>IF(VLOOKUP($A69,Sheet1!$A$3:$AW$699,15,FALSE)="","",VLOOKUP($A69,Sheet1!$A$3:$AW$699,15,FALSE))</f>
        <v>0</v>
      </c>
      <c r="E69" s="142">
        <f>IF(VLOOKUP($A69,Sheet1!$A$3:$AW$699,16,FALSE)="","",VLOOKUP($A69,Sheet1!$A$3:$AW$699,16,FALSE))</f>
        <v>4096</v>
      </c>
      <c r="F69" s="142">
        <f>IF(VLOOKUP($A69,Sheet1!$A$3:$AW$699,17,FALSE)="","",VLOOKUP($A69,Sheet1!$A$3:$AW$699,17,FALSE))</f>
        <v>20</v>
      </c>
      <c r="G69" s="142" t="str">
        <f>IF(VLOOKUP($A69,Sheet1!$A$3:$AW$699,18,FALSE)="","",VLOOKUP($A69,Sheet1!$A$3:$AW$699,18,FALSE))</f>
        <v/>
      </c>
      <c r="H69" s="142" t="str">
        <f>IF(VLOOKUP($A69,Sheet1!$A$3:$AW$699,19,FALSE)="","",VLOOKUP($A69,Sheet1!$A$3:$AW$699,19,FALSE))</f>
        <v>Hz</v>
      </c>
      <c r="I69" s="9" t="str">
        <f>IF(VLOOKUP($A69,Sheet1!$A$3:$AW$699,5,FALSE)="","",VLOOKUP($A69,Sheet1!$A$3:$AW$699,5,FALSE))</f>
        <v>INT</v>
      </c>
      <c r="J69" s="7" t="s">
        <v>113</v>
      </c>
      <c r="K69" s="7" t="s">
        <v>51</v>
      </c>
      <c r="L69" s="146" t="str">
        <f>IF(VLOOKUP($A69,Sheet1!$A$3:$AW$699,7,FALSE)="★","x","")</f>
        <v/>
      </c>
      <c r="M69" s="146" t="str">
        <f>IF(VLOOKUP($A69,Sheet1!$A$3:$AW$699,8,FALSE)="▲","x","")</f>
        <v>x</v>
      </c>
      <c r="N69" s="146" t="str">
        <f>IF(VLOOKUP($A69,Sheet1!$A$3:$AW$699,9,FALSE)="●","x","")</f>
        <v/>
      </c>
      <c r="O69" s="146" t="str">
        <f>IF(VLOOKUP($A69,Sheet1!$A$3:$AW$699,10,FALSE)="■","x","")</f>
        <v/>
      </c>
      <c r="P69" s="9" t="str">
        <f>IF(VLOOKUP($A69,Sheet1!$A$3:$AW$699,2,FALSE)="","",VLOOKUP($A69,Sheet1!$A$3:$AW$699,2,FALSE))</f>
        <v>PN.053</v>
      </c>
    </row>
  </sheetData>
  <autoFilter ref="A4:P4" xr:uid="{33502405-101A-4F97-9AC1-3D7C3E9837D1}"/>
  <mergeCells count="2">
    <mergeCell ref="A1:B1"/>
    <mergeCell ref="A2:B2"/>
  </mergeCells>
  <hyperlinks>
    <hyperlink ref="A2" r:id="rId1" display="Kinetix 5100 Servo Drive User Manual, publication 2198-UM004" xr:uid="{BCB6A5F6-00DA-4B5C-9492-A8C6F698B62D}"/>
  </hyperlinks>
  <pageMargins left="0.7" right="0.7" top="0.75" bottom="0.75" header="0.3" footer="0.3"/>
  <pageSetup paperSize="17" scale="88" fitToHeight="0" orientation="landscape"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5B4B6-A66F-477C-963E-9004AFB3B46F}">
  <sheetPr>
    <pageSetUpPr fitToPage="1"/>
  </sheetPr>
  <dimension ref="A1:P70"/>
  <sheetViews>
    <sheetView zoomScaleNormal="100" workbookViewId="0">
      <pane xSplit="2" ySplit="4" topLeftCell="C20" activePane="bottomRight" state="frozen"/>
      <selection pane="topRight" activeCell="F18" sqref="F18"/>
      <selection pane="bottomLeft" activeCell="F18" sqref="F18"/>
      <selection pane="bottomRight" activeCell="G5" sqref="G5"/>
    </sheetView>
  </sheetViews>
  <sheetFormatPr defaultColWidth="9.109375" defaultRowHeight="14.4" x14ac:dyDescent="0.3"/>
  <cols>
    <col min="1" max="1" width="5.6640625" style="144" customWidth="1"/>
    <col min="2" max="2" width="30.6640625" style="144" customWidth="1"/>
    <col min="3" max="3" width="10.6640625" style="144" customWidth="1"/>
    <col min="4" max="4" width="10.6640625" style="143" customWidth="1"/>
    <col min="5" max="5" width="11.6640625" style="143" customWidth="1"/>
    <col min="6" max="6" width="10.44140625" style="143" bestFit="1" customWidth="1"/>
    <col min="7" max="7" width="10.44140625" style="143" customWidth="1"/>
    <col min="8" max="8" width="10.6640625" style="143" customWidth="1"/>
    <col min="9" max="9" width="10.6640625" style="144" customWidth="1"/>
    <col min="10" max="10" width="45.6640625" style="147" customWidth="1"/>
    <col min="11" max="11" width="10.6640625" style="144" customWidth="1"/>
    <col min="12" max="15" width="10.6640625" style="15" customWidth="1"/>
    <col min="16" max="16" width="10.6640625" style="144" customWidth="1"/>
    <col min="17" max="16384" width="9.109375" style="144"/>
  </cols>
  <sheetData>
    <row r="1" spans="1:16" ht="30" customHeight="1" x14ac:dyDescent="0.3">
      <c r="A1" s="224" t="s">
        <v>29</v>
      </c>
      <c r="B1" s="224"/>
      <c r="J1" s="144"/>
    </row>
    <row r="2" spans="1:16" ht="30" customHeight="1" x14ac:dyDescent="0.3">
      <c r="A2" s="225" t="s">
        <v>30</v>
      </c>
      <c r="B2" s="225"/>
      <c r="J2" s="144"/>
    </row>
    <row r="3" spans="1:16" x14ac:dyDescent="0.3">
      <c r="J3" s="144"/>
    </row>
    <row r="4" spans="1:16" s="5" customFormat="1" ht="20.399999999999999" x14ac:dyDescent="0.3">
      <c r="A4" s="4" t="s">
        <v>31</v>
      </c>
      <c r="B4" s="4" t="s">
        <v>32</v>
      </c>
      <c r="C4" s="4" t="s">
        <v>33</v>
      </c>
      <c r="D4" s="4" t="s">
        <v>34</v>
      </c>
      <c r="E4" s="4" t="s">
        <v>35</v>
      </c>
      <c r="F4" s="4" t="s">
        <v>36</v>
      </c>
      <c r="G4" s="4" t="s">
        <v>37</v>
      </c>
      <c r="H4" s="4" t="s">
        <v>38</v>
      </c>
      <c r="I4" s="4" t="s">
        <v>39</v>
      </c>
      <c r="J4" s="4" t="s">
        <v>40</v>
      </c>
      <c r="K4" s="4" t="s">
        <v>41</v>
      </c>
      <c r="L4" s="4" t="s">
        <v>42</v>
      </c>
      <c r="M4" s="4" t="s">
        <v>43</v>
      </c>
      <c r="N4" s="4" t="s">
        <v>44</v>
      </c>
      <c r="O4" s="4" t="s">
        <v>45</v>
      </c>
      <c r="P4" s="4" t="s">
        <v>46</v>
      </c>
    </row>
    <row r="5" spans="1:16" ht="40.799999999999997" x14ac:dyDescent="0.3">
      <c r="A5" s="9">
        <v>14</v>
      </c>
      <c r="B5" s="9" t="str">
        <f>IF(VLOOKUP($A5,Sheet1!$A$3:$AW$699,20,FALSE)="","",VLOOKUP($A5,Sheet1!$A$3:$AW$699,20,FALSE))</f>
        <v>DataType</v>
      </c>
      <c r="C5" s="9" t="str">
        <f>IF(VLOOKUP($A5,Sheet1!$A$3:$AW$699,25,FALSE)="","",VLOOKUP($A5,Sheet1!$A$3:$AW$699,25,FALSE))</f>
        <v>All</v>
      </c>
      <c r="D5" s="142">
        <f>IF(VLOOKUP($A5,Sheet1!$A$3:$AW$699,15,FALSE)="","",VLOOKUP($A5,Sheet1!$A$3:$AW$699,15,FALSE))</f>
        <v>0</v>
      </c>
      <c r="E5" s="142">
        <f>IF(VLOOKUP($A5,Sheet1!$A$3:$AW$699,16,FALSE)="","",VLOOKUP($A5,Sheet1!$A$3:$AW$699,16,FALSE))</f>
        <v>1</v>
      </c>
      <c r="F5" s="142">
        <f>IF(VLOOKUP($A5,Sheet1!$A$3:$AW$699,17,FALSE)="","",VLOOKUP($A5,Sheet1!$A$3:$AW$699,17,FALSE))</f>
        <v>0</v>
      </c>
      <c r="G5" s="142" t="str">
        <f>IF(VLOOKUP($A5,Sheet1!$A$3:$AW$699,18,FALSE)="","",VLOOKUP($A5,Sheet1!$A$3:$AW$699,18,FALSE))</f>
        <v/>
      </c>
      <c r="H5" s="142" t="str">
        <f>IF(VLOOKUP($A5,Sheet1!$A$3:$AW$699,19,FALSE)="","",VLOOKUP($A5,Sheet1!$A$3:$AW$699,19,FALSE))</f>
        <v/>
      </c>
      <c r="I5" s="9" t="str">
        <f>IF(VLOOKUP($A5,Sheet1!$A$3:$AW$699,5,FALSE)="","",VLOOKUP($A5,Sheet1!$A$3:$AW$699,5,FALSE))</f>
        <v>USINT</v>
      </c>
      <c r="J5" s="9" t="s">
        <v>114</v>
      </c>
      <c r="K5" s="9" t="s">
        <v>115</v>
      </c>
      <c r="L5" s="146" t="str">
        <f>IF(VLOOKUP($A5,Sheet1!$A$3:$AW$699,7,FALSE)="★","x","")</f>
        <v>x</v>
      </c>
      <c r="M5" s="146" t="str">
        <f>IF(VLOOKUP($A5,Sheet1!$A$3:$AW$699,8,FALSE)="▲","x","")</f>
        <v/>
      </c>
      <c r="N5" s="146" t="str">
        <f>IF(VLOOKUP($A5,Sheet1!$A$3:$AW$699,9,FALSE)="●","x","")</f>
        <v/>
      </c>
      <c r="O5" s="146" t="str">
        <f>IF(VLOOKUP($A5,Sheet1!$A$3:$AW$699,10,FALSE)="■","x","")</f>
        <v/>
      </c>
      <c r="P5" s="9" t="str">
        <f>IF(VLOOKUP($A5,Sheet1!$A$3:$AW$699,2,FALSE)="","",VLOOKUP($A5,Sheet1!$A$3:$AW$699,2,FALSE))</f>
        <v/>
      </c>
    </row>
    <row r="6" spans="1:16" ht="40.799999999999997" x14ac:dyDescent="0.3">
      <c r="A6" s="9">
        <v>15</v>
      </c>
      <c r="B6" s="9" t="str">
        <f>IF(VLOOKUP($A6,Sheet1!$A$3:$AW$699,20,FALSE)="","",VLOOKUP($A6,Sheet1!$A$3:$AW$699,20,FALSE))</f>
        <v>PositionDataUnit</v>
      </c>
      <c r="C6" s="9" t="str">
        <f>IF(VLOOKUP($A6,Sheet1!$A$3:$AW$699,25,FALSE)="","",VLOOKUP($A6,Sheet1!$A$3:$AW$699,25,FALSE))</f>
        <v>All</v>
      </c>
      <c r="D6" s="142">
        <f>IF(VLOOKUP($A6,Sheet1!$A$3:$AW$699,15,FALSE)="","",VLOOKUP($A6,Sheet1!$A$3:$AW$699,15,FALSE))</f>
        <v>0</v>
      </c>
      <c r="E6" s="142">
        <f>IF(VLOOKUP($A6,Sheet1!$A$3:$AW$699,16,FALSE)="","",VLOOKUP($A6,Sheet1!$A$3:$AW$699,16,FALSE))</f>
        <v>0</v>
      </c>
      <c r="F6" s="142">
        <f>IF(VLOOKUP($A6,Sheet1!$A$3:$AW$699,17,FALSE)="","",VLOOKUP($A6,Sheet1!$A$3:$AW$699,17,FALSE))</f>
        <v>0</v>
      </c>
      <c r="G6" s="142" t="str">
        <f>IF(VLOOKUP($A6,Sheet1!$A$3:$AW$699,18,FALSE)="","",VLOOKUP($A6,Sheet1!$A$3:$AW$699,18,FALSE))</f>
        <v/>
      </c>
      <c r="H6" s="142" t="str">
        <f>IF(VLOOKUP($A6,Sheet1!$A$3:$AW$699,19,FALSE)="","",VLOOKUP($A6,Sheet1!$A$3:$AW$699,19,FALSE))</f>
        <v/>
      </c>
      <c r="I6" s="9" t="str">
        <f>IF(VLOOKUP($A6,Sheet1!$A$3:$AW$699,5,FALSE)="","",VLOOKUP($A6,Sheet1!$A$3:$AW$699,5,FALSE))</f>
        <v>USINT</v>
      </c>
      <c r="J6" s="9" t="s">
        <v>116</v>
      </c>
      <c r="K6" s="9" t="s">
        <v>115</v>
      </c>
      <c r="L6" s="146" t="str">
        <f>IF(VLOOKUP($A6,Sheet1!$A$3:$AW$699,7,FALSE)="★","x","")</f>
        <v>x</v>
      </c>
      <c r="M6" s="146" t="str">
        <f>IF(VLOOKUP($A6,Sheet1!$A$3:$AW$699,8,FALSE)="▲","x","")</f>
        <v/>
      </c>
      <c r="N6" s="146" t="str">
        <f>IF(VLOOKUP($A6,Sheet1!$A$3:$AW$699,9,FALSE)="●","x","")</f>
        <v/>
      </c>
      <c r="O6" s="146" t="str">
        <f>IF(VLOOKUP($A6,Sheet1!$A$3:$AW$699,10,FALSE)="■","x","")</f>
        <v/>
      </c>
      <c r="P6" s="9" t="str">
        <f>IF(VLOOKUP($A6,Sheet1!$A$3:$AW$699,2,FALSE)="","",VLOOKUP($A6,Sheet1!$A$3:$AW$699,2,FALSE))</f>
        <v/>
      </c>
    </row>
    <row r="7" spans="1:16" ht="61.2" customHeight="1" x14ac:dyDescent="0.3">
      <c r="A7" s="9">
        <v>16</v>
      </c>
      <c r="B7" s="9" t="str">
        <f>IF(VLOOKUP($A7,Sheet1!$A$3:$AW$699,20,FALSE)="","",VLOOKUP($A7,Sheet1!$A$3:$AW$699,20,FALSE))</f>
        <v>SpeedDataUnit</v>
      </c>
      <c r="C7" s="9" t="str">
        <f>IF(VLOOKUP($A7,Sheet1!$A$3:$AW$699,25,FALSE)="","",VLOOKUP($A7,Sheet1!$A$3:$AW$699,25,FALSE))</f>
        <v>All</v>
      </c>
      <c r="D7" s="142">
        <f>IF(VLOOKUP($A7,Sheet1!$A$3:$AW$699,15,FALSE)="","",VLOOKUP($A7,Sheet1!$A$3:$AW$699,15,FALSE))</f>
        <v>0</v>
      </c>
      <c r="E7" s="142">
        <f>IF(VLOOKUP($A7,Sheet1!$A$3:$AW$699,16,FALSE)="","",VLOOKUP($A7,Sheet1!$A$3:$AW$699,16,FALSE))</f>
        <v>6</v>
      </c>
      <c r="F7" s="142">
        <f>IF(VLOOKUP($A7,Sheet1!$A$3:$AW$699,17,FALSE)="","",VLOOKUP($A7,Sheet1!$A$3:$AW$699,17,FALSE))</f>
        <v>1</v>
      </c>
      <c r="G7" s="142" t="str">
        <f>IF(VLOOKUP($A7,Sheet1!$A$3:$AW$699,18,FALSE)="","",VLOOKUP($A7,Sheet1!$A$3:$AW$699,18,FALSE))</f>
        <v/>
      </c>
      <c r="H7" s="142" t="str">
        <f>IF(VLOOKUP($A7,Sheet1!$A$3:$AW$699,19,FALSE)="","",VLOOKUP($A7,Sheet1!$A$3:$AW$699,19,FALSE))</f>
        <v/>
      </c>
      <c r="I7" s="9" t="str">
        <f>IF(VLOOKUP($A7,Sheet1!$A$3:$AW$699,5,FALSE)="","",VLOOKUP($A7,Sheet1!$A$3:$AW$699,5,FALSE))</f>
        <v>USINT</v>
      </c>
      <c r="J7" s="9" t="s">
        <v>117</v>
      </c>
      <c r="K7" s="9" t="s">
        <v>115</v>
      </c>
      <c r="L7" s="146" t="str">
        <f>IF(VLOOKUP($A7,Sheet1!$A$3:$AW$699,7,FALSE)="★","x","")</f>
        <v>x</v>
      </c>
      <c r="M7" s="146" t="str">
        <f>IF(VLOOKUP($A7,Sheet1!$A$3:$AW$699,8,FALSE)="▲","x","")</f>
        <v/>
      </c>
      <c r="N7" s="146" t="str">
        <f>IF(VLOOKUP($A7,Sheet1!$A$3:$AW$699,9,FALSE)="●","x","")</f>
        <v/>
      </c>
      <c r="O7" s="146" t="str">
        <f>IF(VLOOKUP($A7,Sheet1!$A$3:$AW$699,10,FALSE)="■","x","")</f>
        <v/>
      </c>
      <c r="P7" s="9" t="str">
        <f>IF(VLOOKUP($A7,Sheet1!$A$3:$AW$699,2,FALSE)="","",VLOOKUP($A7,Sheet1!$A$3:$AW$699,2,FALSE))</f>
        <v/>
      </c>
    </row>
    <row r="8" spans="1:16" ht="40.799999999999997" x14ac:dyDescent="0.3">
      <c r="A8" s="9">
        <v>17</v>
      </c>
      <c r="B8" s="9" t="str">
        <f>IF(VLOOKUP($A8,Sheet1!$A$3:$AW$699,20,FALSE)="","",VLOOKUP($A8,Sheet1!$A$3:$AW$699,20,FALSE))</f>
        <v>AccelDataUnit</v>
      </c>
      <c r="C8" s="9" t="str">
        <f>IF(VLOOKUP($A8,Sheet1!$A$3:$AW$699,25,FALSE)="","",VLOOKUP($A8,Sheet1!$A$3:$AW$699,25,FALSE))</f>
        <v>All</v>
      </c>
      <c r="D8" s="142">
        <f>IF(VLOOKUP($A8,Sheet1!$A$3:$AW$699,15,FALSE)="","",VLOOKUP($A8,Sheet1!$A$3:$AW$699,15,FALSE))</f>
        <v>0</v>
      </c>
      <c r="E8" s="142">
        <f>IF(VLOOKUP($A8,Sheet1!$A$3:$AW$699,16,FALSE)="","",VLOOKUP($A8,Sheet1!$A$3:$AW$699,16,FALSE))</f>
        <v>6</v>
      </c>
      <c r="F8" s="142">
        <f>IF(VLOOKUP($A8,Sheet1!$A$3:$AW$699,17,FALSE)="","",VLOOKUP($A8,Sheet1!$A$3:$AW$699,17,FALSE))</f>
        <v>1</v>
      </c>
      <c r="G8" s="142" t="str">
        <f>IF(VLOOKUP($A8,Sheet1!$A$3:$AW$699,18,FALSE)="","",VLOOKUP($A8,Sheet1!$A$3:$AW$699,18,FALSE))</f>
        <v/>
      </c>
      <c r="H8" s="142" t="str">
        <f>IF(VLOOKUP($A8,Sheet1!$A$3:$AW$699,19,FALSE)="","",VLOOKUP($A8,Sheet1!$A$3:$AW$699,19,FALSE))</f>
        <v/>
      </c>
      <c r="I8" s="9" t="str">
        <f>IF(VLOOKUP($A8,Sheet1!$A$3:$AW$699,5,FALSE)="","",VLOOKUP($A8,Sheet1!$A$3:$AW$699,5,FALSE))</f>
        <v>USINT</v>
      </c>
      <c r="J8" s="9" t="s">
        <v>118</v>
      </c>
      <c r="K8" s="9" t="s">
        <v>115</v>
      </c>
      <c r="L8" s="146" t="str">
        <f>IF(VLOOKUP($A8,Sheet1!$A$3:$AW$699,7,FALSE)="★","x","")</f>
        <v>x</v>
      </c>
      <c r="M8" s="146" t="str">
        <f>IF(VLOOKUP($A8,Sheet1!$A$3:$AW$699,8,FALSE)="▲","x","")</f>
        <v/>
      </c>
      <c r="N8" s="146" t="str">
        <f>IF(VLOOKUP($A8,Sheet1!$A$3:$AW$699,9,FALSE)="●","x","")</f>
        <v/>
      </c>
      <c r="O8" s="146" t="str">
        <f>IF(VLOOKUP($A8,Sheet1!$A$3:$AW$699,10,FALSE)="■","x","")</f>
        <v/>
      </c>
      <c r="P8" s="9" t="str">
        <f>IF(VLOOKUP($A8,Sheet1!$A$3:$AW$699,2,FALSE)="","",VLOOKUP($A8,Sheet1!$A$3:$AW$699,2,FALSE))</f>
        <v/>
      </c>
    </row>
    <row r="9" spans="1:16" ht="40.799999999999997" x14ac:dyDescent="0.3">
      <c r="A9" s="9">
        <v>18</v>
      </c>
      <c r="B9" s="9" t="str">
        <f>IF(VLOOKUP($A9,Sheet1!$A$3:$AW$699,20,FALSE)="","",VLOOKUP($A9,Sheet1!$A$3:$AW$699,20,FALSE))</f>
        <v>TorqueDataUnit</v>
      </c>
      <c r="C9" s="9" t="str">
        <f>IF(VLOOKUP($A9,Sheet1!$A$3:$AW$699,25,FALSE)="","",VLOOKUP($A9,Sheet1!$A$3:$AW$699,25,FALSE))</f>
        <v>All</v>
      </c>
      <c r="D9" s="142">
        <f>IF(VLOOKUP($A9,Sheet1!$A$3:$AW$699,15,FALSE)="","",VLOOKUP($A9,Sheet1!$A$3:$AW$699,15,FALSE))</f>
        <v>0</v>
      </c>
      <c r="E9" s="142">
        <f>IF(VLOOKUP($A9,Sheet1!$A$3:$AW$699,16,FALSE)="","",VLOOKUP($A9,Sheet1!$A$3:$AW$699,16,FALSE))</f>
        <v>1</v>
      </c>
      <c r="F9" s="142">
        <f>IF(VLOOKUP($A9,Sheet1!$A$3:$AW$699,17,FALSE)="","",VLOOKUP($A9,Sheet1!$A$3:$AW$699,17,FALSE))</f>
        <v>1</v>
      </c>
      <c r="G9" s="142" t="str">
        <f>IF(VLOOKUP($A9,Sheet1!$A$3:$AW$699,18,FALSE)="","",VLOOKUP($A9,Sheet1!$A$3:$AW$699,18,FALSE))</f>
        <v/>
      </c>
      <c r="H9" s="142" t="str">
        <f>IF(VLOOKUP($A9,Sheet1!$A$3:$AW$699,19,FALSE)="","",VLOOKUP($A9,Sheet1!$A$3:$AW$699,19,FALSE))</f>
        <v/>
      </c>
      <c r="I9" s="9" t="str">
        <f>IF(VLOOKUP($A9,Sheet1!$A$3:$AW$699,5,FALSE)="","",VLOOKUP($A9,Sheet1!$A$3:$AW$699,5,FALSE))</f>
        <v>USINT</v>
      </c>
      <c r="J9" s="9" t="s">
        <v>119</v>
      </c>
      <c r="K9" s="9" t="s">
        <v>115</v>
      </c>
      <c r="L9" s="146" t="str">
        <f>IF(VLOOKUP($A9,Sheet1!$A$3:$AW$699,7,FALSE)="★","x","")</f>
        <v>x</v>
      </c>
      <c r="M9" s="146" t="str">
        <f>IF(VLOOKUP($A9,Sheet1!$A$3:$AW$699,8,FALSE)="▲","x","")</f>
        <v/>
      </c>
      <c r="N9" s="146" t="str">
        <f>IF(VLOOKUP($A9,Sheet1!$A$3:$AW$699,9,FALSE)="●","x","")</f>
        <v/>
      </c>
      <c r="O9" s="146" t="str">
        <f>IF(VLOOKUP($A9,Sheet1!$A$3:$AW$699,10,FALSE)="■","x","")</f>
        <v/>
      </c>
      <c r="P9" s="9" t="str">
        <f>IF(VLOOKUP($A9,Sheet1!$A$3:$AW$699,2,FALSE)="","",VLOOKUP($A9,Sheet1!$A$3:$AW$699,2,FALSE))</f>
        <v/>
      </c>
    </row>
    <row r="10" spans="1:16" ht="30.6" x14ac:dyDescent="0.3">
      <c r="A10" s="9">
        <v>19</v>
      </c>
      <c r="B10" s="9" t="str">
        <f>IF(VLOOKUP($A10,Sheet1!$A$3:$AW$699,20,FALSE)="","",VLOOKUP($A10,Sheet1!$A$3:$AW$699,20,FALSE))</f>
        <v>TorqueRampTimeUnit</v>
      </c>
      <c r="C10" s="9" t="str">
        <f>IF(VLOOKUP($A10,Sheet1!$A$3:$AW$699,25,FALSE)="","",VLOOKUP($A10,Sheet1!$A$3:$AW$699,25,FALSE))</f>
        <v>All</v>
      </c>
      <c r="D10" s="142">
        <f>IF(VLOOKUP($A10,Sheet1!$A$3:$AW$699,15,FALSE)="","",VLOOKUP($A10,Sheet1!$A$3:$AW$699,15,FALSE))</f>
        <v>0</v>
      </c>
      <c r="E10" s="142">
        <f>IF(VLOOKUP($A10,Sheet1!$A$3:$AW$699,16,FALSE)="","",VLOOKUP($A10,Sheet1!$A$3:$AW$699,16,FALSE))</f>
        <v>1</v>
      </c>
      <c r="F10" s="142">
        <f>IF(VLOOKUP($A10,Sheet1!$A$3:$AW$699,17,FALSE)="","",VLOOKUP($A10,Sheet1!$A$3:$AW$699,17,FALSE))</f>
        <v>0</v>
      </c>
      <c r="G10" s="142" t="str">
        <f>IF(VLOOKUP($A10,Sheet1!$A$3:$AW$699,18,FALSE)="","",VLOOKUP($A10,Sheet1!$A$3:$AW$699,18,FALSE))</f>
        <v/>
      </c>
      <c r="H10" s="142" t="str">
        <f>IF(VLOOKUP($A10,Sheet1!$A$3:$AW$699,19,FALSE)="","",VLOOKUP($A10,Sheet1!$A$3:$AW$699,19,FALSE))</f>
        <v/>
      </c>
      <c r="I10" s="9" t="str">
        <f>IF(VLOOKUP($A10,Sheet1!$A$3:$AW$699,5,FALSE)="","",VLOOKUP($A10,Sheet1!$A$3:$AW$699,5,FALSE))</f>
        <v>USINT</v>
      </c>
      <c r="J10" s="9" t="s">
        <v>120</v>
      </c>
      <c r="K10" s="9" t="s">
        <v>115</v>
      </c>
      <c r="L10" s="146" t="str">
        <f>IF(VLOOKUP($A10,Sheet1!$A$3:$AW$699,7,FALSE)="★","x","")</f>
        <v>x</v>
      </c>
      <c r="M10" s="146" t="str">
        <f>IF(VLOOKUP($A10,Sheet1!$A$3:$AW$699,8,FALSE)="▲","x","")</f>
        <v/>
      </c>
      <c r="N10" s="146" t="str">
        <f>IF(VLOOKUP($A10,Sheet1!$A$3:$AW$699,9,FALSE)="●","x","")</f>
        <v/>
      </c>
      <c r="O10" s="146" t="str">
        <f>IF(VLOOKUP($A10,Sheet1!$A$3:$AW$699,10,FALSE)="■","x","")</f>
        <v/>
      </c>
      <c r="P10" s="9" t="str">
        <f>IF(VLOOKUP($A10,Sheet1!$A$3:$AW$699,2,FALSE)="","",VLOOKUP($A10,Sheet1!$A$3:$AW$699,2,FALSE))</f>
        <v/>
      </c>
    </row>
    <row r="11" spans="1:16" ht="102" x14ac:dyDescent="0.3">
      <c r="A11" s="9">
        <v>20</v>
      </c>
      <c r="B11" s="9" t="str">
        <f>IF(VLOOKUP($A11,Sheet1!$A$3:$AW$699,20,FALSE)="","",VLOOKUP($A11,Sheet1!$A$3:$AW$699,20,FALSE))</f>
        <v>OperatingMode</v>
      </c>
      <c r="C11" s="9" t="str">
        <f>IF(VLOOKUP($A11,Sheet1!$A$3:$AW$699,25,FALSE)="","",VLOOKUP($A11,Sheet1!$A$3:$AW$699,25,FALSE))</f>
        <v>IO</v>
      </c>
      <c r="D11" s="142">
        <f>IF(VLOOKUP($A11,Sheet1!$A$3:$AW$699,15,FALSE)="","",VLOOKUP($A11,Sheet1!$A$3:$AW$699,15,FALSE))</f>
        <v>0</v>
      </c>
      <c r="E11" s="142">
        <f>IF(VLOOKUP($A11,Sheet1!$A$3:$AW$699,16,FALSE)="","",VLOOKUP($A11,Sheet1!$A$3:$AW$699,16,FALSE))</f>
        <v>6</v>
      </c>
      <c r="F11" s="142">
        <f>IF(VLOOKUP($A11,Sheet1!$A$3:$AW$699,17,FALSE)="","",VLOOKUP($A11,Sheet1!$A$3:$AW$699,17,FALSE))</f>
        <v>0</v>
      </c>
      <c r="G11" s="142" t="str">
        <f>IF(VLOOKUP($A11,Sheet1!$A$3:$AW$699,18,FALSE)="","",VLOOKUP($A11,Sheet1!$A$3:$AW$699,18,FALSE))</f>
        <v/>
      </c>
      <c r="H11" s="142" t="str">
        <f>IF(VLOOKUP($A11,Sheet1!$A$3:$AW$699,19,FALSE)="","",VLOOKUP($A11,Sheet1!$A$3:$AW$699,19,FALSE))</f>
        <v/>
      </c>
      <c r="I11" s="9" t="str">
        <f>IF(VLOOKUP($A11,Sheet1!$A$3:$AW$699,5,FALSE)="","",VLOOKUP($A11,Sheet1!$A$3:$AW$699,5,FALSE))</f>
        <v>SINT</v>
      </c>
      <c r="J11" s="9" t="s">
        <v>121</v>
      </c>
      <c r="K11" s="9" t="s">
        <v>115</v>
      </c>
      <c r="L11" s="146" t="str">
        <f>IF(VLOOKUP($A11,Sheet1!$A$3:$AW$699,7,FALSE)="★","x","")</f>
        <v/>
      </c>
      <c r="M11" s="146" t="str">
        <f>IF(VLOOKUP($A11,Sheet1!$A$3:$AW$699,8,FALSE)="▲","x","")</f>
        <v/>
      </c>
      <c r="N11" s="146" t="str">
        <f>IF(VLOOKUP($A11,Sheet1!$A$3:$AW$699,9,FALSE)="●","x","")</f>
        <v/>
      </c>
      <c r="O11" s="146" t="str">
        <f>IF(VLOOKUP($A11,Sheet1!$A$3:$AW$699,10,FALSE)="■","x","")</f>
        <v/>
      </c>
      <c r="P11" s="9" t="str">
        <f>IF(VLOOKUP($A11,Sheet1!$A$3:$AW$699,2,FALSE)="","",VLOOKUP($A11,Sheet1!$A$3:$AW$699,2,FALSE))</f>
        <v/>
      </c>
    </row>
    <row r="12" spans="1:16" ht="20.399999999999999" x14ac:dyDescent="0.3">
      <c r="A12" s="9">
        <v>21</v>
      </c>
      <c r="B12" s="9" t="str">
        <f>IF(VLOOKUP($A12,Sheet1!$A$3:$AW$699,20,FALSE)="","",VLOOKUP($A12,Sheet1!$A$3:$AW$699,20,FALSE))</f>
        <v>ServoOn</v>
      </c>
      <c r="C12" s="9" t="str">
        <f>IF(VLOOKUP($A12,Sheet1!$A$3:$AW$699,25,FALSE)="","",VLOOKUP($A12,Sheet1!$A$3:$AW$699,25,FALSE))</f>
        <v>IO</v>
      </c>
      <c r="D12" s="142">
        <f>IF(VLOOKUP($A12,Sheet1!$A$3:$AW$699,15,FALSE)="","",VLOOKUP($A12,Sheet1!$A$3:$AW$699,15,FALSE))</f>
        <v>0</v>
      </c>
      <c r="E12" s="142">
        <f>IF(VLOOKUP($A12,Sheet1!$A$3:$AW$699,16,FALSE)="","",VLOOKUP($A12,Sheet1!$A$3:$AW$699,16,FALSE))</f>
        <v>1</v>
      </c>
      <c r="F12" s="142">
        <f>IF(VLOOKUP($A12,Sheet1!$A$3:$AW$699,17,FALSE)="","",VLOOKUP($A12,Sheet1!$A$3:$AW$699,17,FALSE))</f>
        <v>0</v>
      </c>
      <c r="G12" s="142" t="str">
        <f>IF(VLOOKUP($A12,Sheet1!$A$3:$AW$699,18,FALSE)="","",VLOOKUP($A12,Sheet1!$A$3:$AW$699,18,FALSE))</f>
        <v/>
      </c>
      <c r="H12" s="142" t="str">
        <f>IF(VLOOKUP($A12,Sheet1!$A$3:$AW$699,19,FALSE)="","",VLOOKUP($A12,Sheet1!$A$3:$AW$699,19,FALSE))</f>
        <v/>
      </c>
      <c r="I12" s="9" t="str">
        <f>IF(VLOOKUP($A12,Sheet1!$A$3:$AW$699,5,FALSE)="","",VLOOKUP($A12,Sheet1!$A$3:$AW$699,5,FALSE))</f>
        <v>BOOL</v>
      </c>
      <c r="J12" s="9" t="s">
        <v>122</v>
      </c>
      <c r="K12" s="9" t="s">
        <v>115</v>
      </c>
      <c r="L12" s="146" t="str">
        <f>IF(VLOOKUP($A12,Sheet1!$A$3:$AW$699,7,FALSE)="★","x","")</f>
        <v/>
      </c>
      <c r="M12" s="146" t="str">
        <f>IF(VLOOKUP($A12,Sheet1!$A$3:$AW$699,8,FALSE)="▲","x","")</f>
        <v/>
      </c>
      <c r="N12" s="146" t="str">
        <f>IF(VLOOKUP($A12,Sheet1!$A$3:$AW$699,9,FALSE)="●","x","")</f>
        <v/>
      </c>
      <c r="O12" s="146" t="str">
        <f>IF(VLOOKUP($A12,Sheet1!$A$3:$AW$699,10,FALSE)="■","x","")</f>
        <v/>
      </c>
      <c r="P12" s="9" t="str">
        <f>IF(VLOOKUP($A12,Sheet1!$A$3:$AW$699,2,FALSE)="","",VLOOKUP($A12,Sheet1!$A$3:$AW$699,2,FALSE))</f>
        <v/>
      </c>
    </row>
    <row r="13" spans="1:16" ht="20.399999999999999" x14ac:dyDescent="0.3">
      <c r="A13" s="9">
        <v>22</v>
      </c>
      <c r="B13" s="9" t="str">
        <f>IF(VLOOKUP($A13,Sheet1!$A$3:$AW$699,20,FALSE)="","",VLOOKUP($A13,Sheet1!$A$3:$AW$699,20,FALSE))</f>
        <v>ServoOff</v>
      </c>
      <c r="C13" s="9" t="str">
        <f>IF(VLOOKUP($A13,Sheet1!$A$3:$AW$699,25,FALSE)="","",VLOOKUP($A13,Sheet1!$A$3:$AW$699,25,FALSE))</f>
        <v>IO</v>
      </c>
      <c r="D13" s="142">
        <f>IF(VLOOKUP($A13,Sheet1!$A$3:$AW$699,15,FALSE)="","",VLOOKUP($A13,Sheet1!$A$3:$AW$699,15,FALSE))</f>
        <v>0</v>
      </c>
      <c r="E13" s="142">
        <f>IF(VLOOKUP($A13,Sheet1!$A$3:$AW$699,16,FALSE)="","",VLOOKUP($A13,Sheet1!$A$3:$AW$699,16,FALSE))</f>
        <v>1</v>
      </c>
      <c r="F13" s="142">
        <f>IF(VLOOKUP($A13,Sheet1!$A$3:$AW$699,17,FALSE)="","",VLOOKUP($A13,Sheet1!$A$3:$AW$699,17,FALSE))</f>
        <v>0</v>
      </c>
      <c r="G13" s="142" t="str">
        <f>IF(VLOOKUP($A13,Sheet1!$A$3:$AW$699,18,FALSE)="","",VLOOKUP($A13,Sheet1!$A$3:$AW$699,18,FALSE))</f>
        <v/>
      </c>
      <c r="H13" s="142" t="str">
        <f>IF(VLOOKUP($A13,Sheet1!$A$3:$AW$699,19,FALSE)="","",VLOOKUP($A13,Sheet1!$A$3:$AW$699,19,FALSE))</f>
        <v/>
      </c>
      <c r="I13" s="9" t="str">
        <f>IF(VLOOKUP($A13,Sheet1!$A$3:$AW$699,5,FALSE)="","",VLOOKUP($A13,Sheet1!$A$3:$AW$699,5,FALSE))</f>
        <v>BOOL</v>
      </c>
      <c r="J13" s="9" t="s">
        <v>123</v>
      </c>
      <c r="K13" s="9" t="s">
        <v>115</v>
      </c>
      <c r="L13" s="146" t="str">
        <f>IF(VLOOKUP($A13,Sheet1!$A$3:$AW$699,7,FALSE)="★","x","")</f>
        <v/>
      </c>
      <c r="M13" s="146" t="str">
        <f>IF(VLOOKUP($A13,Sheet1!$A$3:$AW$699,8,FALSE)="▲","x","")</f>
        <v/>
      </c>
      <c r="N13" s="146" t="str">
        <f>IF(VLOOKUP($A13,Sheet1!$A$3:$AW$699,9,FALSE)="●","x","")</f>
        <v/>
      </c>
      <c r="O13" s="146" t="str">
        <f>IF(VLOOKUP($A13,Sheet1!$A$3:$AW$699,10,FALSE)="■","x","")</f>
        <v/>
      </c>
      <c r="P13" s="9" t="str">
        <f>IF(VLOOKUP($A13,Sheet1!$A$3:$AW$699,2,FALSE)="","",VLOOKUP($A13,Sheet1!$A$3:$AW$699,2,FALSE))</f>
        <v/>
      </c>
    </row>
    <row r="14" spans="1:16" ht="20.399999999999999" x14ac:dyDescent="0.3">
      <c r="A14" s="9">
        <v>23</v>
      </c>
      <c r="B14" s="9" t="str">
        <f>IF(VLOOKUP($A14,Sheet1!$A$3:$AW$699,20,FALSE)="","",VLOOKUP($A14,Sheet1!$A$3:$AW$699,20,FALSE))</f>
        <v>StopMotion</v>
      </c>
      <c r="C14" s="9" t="str">
        <f>IF(VLOOKUP($A14,Sheet1!$A$3:$AW$699,25,FALSE)="","",VLOOKUP($A14,Sheet1!$A$3:$AW$699,25,FALSE))</f>
        <v>IO</v>
      </c>
      <c r="D14" s="142">
        <f>IF(VLOOKUP($A14,Sheet1!$A$3:$AW$699,15,FALSE)="","",VLOOKUP($A14,Sheet1!$A$3:$AW$699,15,FALSE))</f>
        <v>0</v>
      </c>
      <c r="E14" s="142">
        <f>IF(VLOOKUP($A14,Sheet1!$A$3:$AW$699,16,FALSE)="","",VLOOKUP($A14,Sheet1!$A$3:$AW$699,16,FALSE))</f>
        <v>1</v>
      </c>
      <c r="F14" s="142">
        <f>IF(VLOOKUP($A14,Sheet1!$A$3:$AW$699,17,FALSE)="","",VLOOKUP($A14,Sheet1!$A$3:$AW$699,17,FALSE))</f>
        <v>0</v>
      </c>
      <c r="G14" s="142" t="str">
        <f>IF(VLOOKUP($A14,Sheet1!$A$3:$AW$699,18,FALSE)="","",VLOOKUP($A14,Sheet1!$A$3:$AW$699,18,FALSE))</f>
        <v/>
      </c>
      <c r="H14" s="142" t="str">
        <f>IF(VLOOKUP($A14,Sheet1!$A$3:$AW$699,19,FALSE)="","",VLOOKUP($A14,Sheet1!$A$3:$AW$699,19,FALSE))</f>
        <v/>
      </c>
      <c r="I14" s="9" t="str">
        <f>IF(VLOOKUP($A14,Sheet1!$A$3:$AW$699,5,FALSE)="","",VLOOKUP($A14,Sheet1!$A$3:$AW$699,5,FALSE))</f>
        <v>BOOL</v>
      </c>
      <c r="J14" s="9" t="s">
        <v>124</v>
      </c>
      <c r="K14" s="9" t="s">
        <v>115</v>
      </c>
      <c r="L14" s="146" t="str">
        <f>IF(VLOOKUP($A14,Sheet1!$A$3:$AW$699,7,FALSE)="★","x","")</f>
        <v/>
      </c>
      <c r="M14" s="146" t="str">
        <f>IF(VLOOKUP($A14,Sheet1!$A$3:$AW$699,8,FALSE)="▲","x","")</f>
        <v/>
      </c>
      <c r="N14" s="146" t="str">
        <f>IF(VLOOKUP($A14,Sheet1!$A$3:$AW$699,9,FALSE)="●","x","")</f>
        <v/>
      </c>
      <c r="O14" s="146" t="str">
        <f>IF(VLOOKUP($A14,Sheet1!$A$3:$AW$699,10,FALSE)="■","x","")</f>
        <v/>
      </c>
      <c r="P14" s="9" t="str">
        <f>IF(VLOOKUP($A14,Sheet1!$A$3:$AW$699,2,FALSE)="","",VLOOKUP($A14,Sheet1!$A$3:$AW$699,2,FALSE))</f>
        <v/>
      </c>
    </row>
    <row r="15" spans="1:16" ht="20.399999999999999" x14ac:dyDescent="0.3">
      <c r="A15" s="9">
        <v>24</v>
      </c>
      <c r="B15" s="9" t="str">
        <f>IF(VLOOKUP($A15,Sheet1!$A$3:$AW$699,20,FALSE)="","",VLOOKUP($A15,Sheet1!$A$3:$AW$699,20,FALSE))</f>
        <v>FaultReset</v>
      </c>
      <c r="C15" s="9" t="str">
        <f>IF(VLOOKUP($A15,Sheet1!$A$3:$AW$699,25,FALSE)="","",VLOOKUP($A15,Sheet1!$A$3:$AW$699,25,FALSE))</f>
        <v>IO</v>
      </c>
      <c r="D15" s="142">
        <f>IF(VLOOKUP($A15,Sheet1!$A$3:$AW$699,15,FALSE)="","",VLOOKUP($A15,Sheet1!$A$3:$AW$699,15,FALSE))</f>
        <v>0</v>
      </c>
      <c r="E15" s="142">
        <f>IF(VLOOKUP($A15,Sheet1!$A$3:$AW$699,16,FALSE)="","",VLOOKUP($A15,Sheet1!$A$3:$AW$699,16,FALSE))</f>
        <v>1</v>
      </c>
      <c r="F15" s="142">
        <f>IF(VLOOKUP($A15,Sheet1!$A$3:$AW$699,17,FALSE)="","",VLOOKUP($A15,Sheet1!$A$3:$AW$699,17,FALSE))</f>
        <v>0</v>
      </c>
      <c r="G15" s="142" t="str">
        <f>IF(VLOOKUP($A15,Sheet1!$A$3:$AW$699,18,FALSE)="","",VLOOKUP($A15,Sheet1!$A$3:$AW$699,18,FALSE))</f>
        <v/>
      </c>
      <c r="H15" s="142" t="str">
        <f>IF(VLOOKUP($A15,Sheet1!$A$3:$AW$699,19,FALSE)="","",VLOOKUP($A15,Sheet1!$A$3:$AW$699,19,FALSE))</f>
        <v/>
      </c>
      <c r="I15" s="9" t="str">
        <f>IF(VLOOKUP($A15,Sheet1!$A$3:$AW$699,5,FALSE)="","",VLOOKUP($A15,Sheet1!$A$3:$AW$699,5,FALSE))</f>
        <v>BOOL</v>
      </c>
      <c r="J15" s="9" t="s">
        <v>125</v>
      </c>
      <c r="K15" s="9" t="s">
        <v>115</v>
      </c>
      <c r="L15" s="146" t="str">
        <f>IF(VLOOKUP($A15,Sheet1!$A$3:$AW$699,7,FALSE)="★","x","")</f>
        <v/>
      </c>
      <c r="M15" s="146" t="str">
        <f>IF(VLOOKUP($A15,Sheet1!$A$3:$AW$699,8,FALSE)="▲","x","")</f>
        <v/>
      </c>
      <c r="N15" s="146" t="str">
        <f>IF(VLOOKUP($A15,Sheet1!$A$3:$AW$699,9,FALSE)="●","x","")</f>
        <v/>
      </c>
      <c r="O15" s="146" t="str">
        <f>IF(VLOOKUP($A15,Sheet1!$A$3:$AW$699,10,FALSE)="■","x","")</f>
        <v/>
      </c>
      <c r="P15" s="9" t="str">
        <f>IF(VLOOKUP($A15,Sheet1!$A$3:$AW$699,2,FALSE)="","",VLOOKUP($A15,Sheet1!$A$3:$AW$699,2,FALSE))</f>
        <v/>
      </c>
    </row>
    <row r="16" spans="1:16" ht="30.6" x14ac:dyDescent="0.3">
      <c r="A16" s="9">
        <v>25</v>
      </c>
      <c r="B16" s="9" t="str">
        <f>IF(VLOOKUP($A16,Sheet1!$A$3:$AW$699,20,FALSE)="","",VLOOKUP($A16,Sheet1!$A$3:$AW$699,20,FALSE))</f>
        <v>StartMotion</v>
      </c>
      <c r="C16" s="9" t="str">
        <f>IF(VLOOKUP($A16,Sheet1!$A$3:$AW$699,25,FALSE)="","",VLOOKUP($A16,Sheet1!$A$3:$AW$699,25,FALSE))</f>
        <v>IO</v>
      </c>
      <c r="D16" s="142">
        <f>IF(VLOOKUP($A16,Sheet1!$A$3:$AW$699,15,FALSE)="","",VLOOKUP($A16,Sheet1!$A$3:$AW$699,15,FALSE))</f>
        <v>0</v>
      </c>
      <c r="E16" s="142">
        <f>IF(VLOOKUP($A16,Sheet1!$A$3:$AW$699,16,FALSE)="","",VLOOKUP($A16,Sheet1!$A$3:$AW$699,16,FALSE))</f>
        <v>1</v>
      </c>
      <c r="F16" s="142">
        <f>IF(VLOOKUP($A16,Sheet1!$A$3:$AW$699,17,FALSE)="","",VLOOKUP($A16,Sheet1!$A$3:$AW$699,17,FALSE))</f>
        <v>0</v>
      </c>
      <c r="G16" s="142" t="str">
        <f>IF(VLOOKUP($A16,Sheet1!$A$3:$AW$699,18,FALSE)="","",VLOOKUP($A16,Sheet1!$A$3:$AW$699,18,FALSE))</f>
        <v/>
      </c>
      <c r="H16" s="142" t="str">
        <f>IF(VLOOKUP($A16,Sheet1!$A$3:$AW$699,19,FALSE)="","",VLOOKUP($A16,Sheet1!$A$3:$AW$699,19,FALSE))</f>
        <v/>
      </c>
      <c r="I16" s="9" t="str">
        <f>IF(VLOOKUP($A16,Sheet1!$A$3:$AW$699,5,FALSE)="","",VLOOKUP($A16,Sheet1!$A$3:$AW$699,5,FALSE))</f>
        <v>BOOL</v>
      </c>
      <c r="J16" s="9" t="s">
        <v>126</v>
      </c>
      <c r="K16" s="9" t="s">
        <v>115</v>
      </c>
      <c r="L16" s="146" t="str">
        <f>IF(VLOOKUP($A16,Sheet1!$A$3:$AW$699,7,FALSE)="★","x","")</f>
        <v/>
      </c>
      <c r="M16" s="146" t="str">
        <f>IF(VLOOKUP($A16,Sheet1!$A$3:$AW$699,8,FALSE)="▲","x","")</f>
        <v/>
      </c>
      <c r="N16" s="146" t="str">
        <f>IF(VLOOKUP($A16,Sheet1!$A$3:$AW$699,9,FALSE)="●","x","")</f>
        <v/>
      </c>
      <c r="O16" s="146" t="str">
        <f>IF(VLOOKUP($A16,Sheet1!$A$3:$AW$699,10,FALSE)="■","x","")</f>
        <v/>
      </c>
      <c r="P16" s="9" t="str">
        <f>IF(VLOOKUP($A16,Sheet1!$A$3:$AW$699,2,FALSE)="","",VLOOKUP($A16,Sheet1!$A$3:$AW$699,2,FALSE))</f>
        <v/>
      </c>
    </row>
    <row r="17" spans="1:16" x14ac:dyDescent="0.3">
      <c r="A17" s="9">
        <v>26</v>
      </c>
      <c r="B17" s="9" t="str">
        <f>IF(VLOOKUP($A17,Sheet1!$A$3:$AW$699,20,FALSE)="","",VLOOKUP($A17,Sheet1!$A$3:$AW$699,20,FALSE))</f>
        <v>SpeedReference</v>
      </c>
      <c r="C17" s="9" t="str">
        <f>IF(VLOOKUP($A17,Sheet1!$A$3:$AW$699,25,FALSE)="","",VLOOKUP($A17,Sheet1!$A$3:$AW$699,25,FALSE))</f>
        <v>IO</v>
      </c>
      <c r="D17" s="142">
        <f>IF(VLOOKUP($A17,Sheet1!$A$3:$AW$699,15,FALSE)="","",VLOOKUP($A17,Sheet1!$A$3:$AW$699,15,FALSE))</f>
        <v>-80000</v>
      </c>
      <c r="E17" s="142">
        <f>IF(VLOOKUP($A17,Sheet1!$A$3:$AW$699,16,FALSE)="","",VLOOKUP($A17,Sheet1!$A$3:$AW$699,16,FALSE))</f>
        <v>80000</v>
      </c>
      <c r="F17" s="142">
        <f>IF(VLOOKUP($A17,Sheet1!$A$3:$AW$699,17,FALSE)="","",VLOOKUP($A17,Sheet1!$A$3:$AW$699,17,FALSE))</f>
        <v>0</v>
      </c>
      <c r="G17" s="142" t="str">
        <f>IF(VLOOKUP($A17,Sheet1!$A$3:$AW$699,18,FALSE)="","",VLOOKUP($A17,Sheet1!$A$3:$AW$699,18,FALSE))</f>
        <v/>
      </c>
      <c r="H17" s="142" t="str">
        <f>IF(VLOOKUP($A17,Sheet1!$A$3:$AW$699,19,FALSE)="","",VLOOKUP($A17,Sheet1!$A$3:$AW$699,19,FALSE))</f>
        <v>0.1RPM</v>
      </c>
      <c r="I17" s="9" t="str">
        <f>IF(VLOOKUP($A17,Sheet1!$A$3:$AW$699,5,FALSE)="","",VLOOKUP($A17,Sheet1!$A$3:$AW$699,5,FALSE))</f>
        <v>DINT</v>
      </c>
      <c r="J17" s="9" t="s">
        <v>127</v>
      </c>
      <c r="K17" s="9" t="s">
        <v>115</v>
      </c>
      <c r="L17" s="146" t="str">
        <f>IF(VLOOKUP($A17,Sheet1!$A$3:$AW$699,7,FALSE)="★","x","")</f>
        <v/>
      </c>
      <c r="M17" s="146" t="str">
        <f>IF(VLOOKUP($A17,Sheet1!$A$3:$AW$699,8,FALSE)="▲","x","")</f>
        <v/>
      </c>
      <c r="N17" s="146" t="str">
        <f>IF(VLOOKUP($A17,Sheet1!$A$3:$AW$699,9,FALSE)="●","x","")</f>
        <v/>
      </c>
      <c r="O17" s="146" t="str">
        <f>IF(VLOOKUP($A17,Sheet1!$A$3:$AW$699,10,FALSE)="■","x","")</f>
        <v/>
      </c>
      <c r="P17" s="9" t="str">
        <f>IF(VLOOKUP($A17,Sheet1!$A$3:$AW$699,2,FALSE)="","",VLOOKUP($A17,Sheet1!$A$3:$AW$699,2,FALSE))</f>
        <v/>
      </c>
    </row>
    <row r="18" spans="1:16" ht="30.6" x14ac:dyDescent="0.3">
      <c r="A18" s="9">
        <v>27</v>
      </c>
      <c r="B18" s="9" t="str">
        <f>IF(VLOOKUP($A18,Sheet1!$A$3:$AW$699,20,FALSE)="","",VLOOKUP($A18,Sheet1!$A$3:$AW$699,20,FALSE))</f>
        <v>AccelReference</v>
      </c>
      <c r="C18" s="9" t="str">
        <f>IF(VLOOKUP($A18,Sheet1!$A$3:$AW$699,25,FALSE)="","",VLOOKUP($A18,Sheet1!$A$3:$AW$699,25,FALSE))</f>
        <v>IO</v>
      </c>
      <c r="D18" s="142">
        <f>IF(VLOOKUP($A18,Sheet1!$A$3:$AW$699,15,FALSE)="","",VLOOKUP($A18,Sheet1!$A$3:$AW$699,15,FALSE))</f>
        <v>458</v>
      </c>
      <c r="E18" s="142">
        <f>IF(VLOOKUP($A18,Sheet1!$A$3:$AW$699,16,FALSE)="","",VLOOKUP($A18,Sheet1!$A$3:$AW$699,16,FALSE))</f>
        <v>30000000</v>
      </c>
      <c r="F18" s="142">
        <f>IF(VLOOKUP($A18,Sheet1!$A$3:$AW$699,17,FALSE)="","",VLOOKUP($A18,Sheet1!$A$3:$AW$699,17,FALSE))</f>
        <v>150000</v>
      </c>
      <c r="G18" s="142" t="str">
        <f>IF(VLOOKUP($A18,Sheet1!$A$3:$AW$699,18,FALSE)="","",VLOOKUP($A18,Sheet1!$A$3:$AW$699,18,FALSE))</f>
        <v/>
      </c>
      <c r="H18" s="142" t="str">
        <f>IF(VLOOKUP($A18,Sheet1!$A$3:$AW$699,19,FALSE)="","",VLOOKUP($A18,Sheet1!$A$3:$AW$699,19,FALSE))</f>
        <v>0.1RPM/s</v>
      </c>
      <c r="I18" s="9" t="str">
        <f>IF(VLOOKUP($A18,Sheet1!$A$3:$AW$699,5,FALSE)="","",VLOOKUP($A18,Sheet1!$A$3:$AW$699,5,FALSE))</f>
        <v>DINT</v>
      </c>
      <c r="J18" s="9" t="s">
        <v>128</v>
      </c>
      <c r="K18" s="9" t="s">
        <v>115</v>
      </c>
      <c r="L18" s="146" t="str">
        <f>IF(VLOOKUP($A18,Sheet1!$A$3:$AW$699,7,FALSE)="★","x","")</f>
        <v/>
      </c>
      <c r="M18" s="146" t="str">
        <f>IF(VLOOKUP($A18,Sheet1!$A$3:$AW$699,8,FALSE)="▲","x","")</f>
        <v/>
      </c>
      <c r="N18" s="146" t="str">
        <f>IF(VLOOKUP($A18,Sheet1!$A$3:$AW$699,9,FALSE)="●","x","")</f>
        <v/>
      </c>
      <c r="O18" s="146" t="str">
        <f>IF(VLOOKUP($A18,Sheet1!$A$3:$AW$699,10,FALSE)="■","x","")</f>
        <v/>
      </c>
      <c r="P18" s="9" t="str">
        <f>IF(VLOOKUP($A18,Sheet1!$A$3:$AW$699,2,FALSE)="","",VLOOKUP($A18,Sheet1!$A$3:$AW$699,2,FALSE))</f>
        <v/>
      </c>
    </row>
    <row r="19" spans="1:16" ht="30.6" x14ac:dyDescent="0.3">
      <c r="A19" s="9">
        <v>28</v>
      </c>
      <c r="B19" s="9" t="str">
        <f>IF(VLOOKUP($A19,Sheet1!$A$3:$AW$699,20,FALSE)="","",VLOOKUP($A19,Sheet1!$A$3:$AW$699,20,FALSE))</f>
        <v>DecelReference</v>
      </c>
      <c r="C19" s="9" t="str">
        <f>IF(VLOOKUP($A19,Sheet1!$A$3:$AW$699,25,FALSE)="","",VLOOKUP($A19,Sheet1!$A$3:$AW$699,25,FALSE))</f>
        <v>IO</v>
      </c>
      <c r="D19" s="142">
        <f>IF(VLOOKUP($A19,Sheet1!$A$3:$AW$699,15,FALSE)="","",VLOOKUP($A19,Sheet1!$A$3:$AW$699,15,FALSE))</f>
        <v>458</v>
      </c>
      <c r="E19" s="142">
        <f>IF(VLOOKUP($A19,Sheet1!$A$3:$AW$699,16,FALSE)="","",VLOOKUP($A19,Sheet1!$A$3:$AW$699,16,FALSE))</f>
        <v>30000000</v>
      </c>
      <c r="F19" s="142">
        <f>IF(VLOOKUP($A19,Sheet1!$A$3:$AW$699,17,FALSE)="","",VLOOKUP($A19,Sheet1!$A$3:$AW$699,17,FALSE))</f>
        <v>150000</v>
      </c>
      <c r="G19" s="142" t="str">
        <f>IF(VLOOKUP($A19,Sheet1!$A$3:$AW$699,18,FALSE)="","",VLOOKUP($A19,Sheet1!$A$3:$AW$699,18,FALSE))</f>
        <v/>
      </c>
      <c r="H19" s="142" t="str">
        <f>IF(VLOOKUP($A19,Sheet1!$A$3:$AW$699,19,FALSE)="","",VLOOKUP($A19,Sheet1!$A$3:$AW$699,19,FALSE))</f>
        <v>0.1RPM/s</v>
      </c>
      <c r="I19" s="9" t="str">
        <f>IF(VLOOKUP($A19,Sheet1!$A$3:$AW$699,5,FALSE)="","",VLOOKUP($A19,Sheet1!$A$3:$AW$699,5,FALSE))</f>
        <v>DINT</v>
      </c>
      <c r="J19" s="9" t="s">
        <v>129</v>
      </c>
      <c r="K19" s="9" t="s">
        <v>115</v>
      </c>
      <c r="L19" s="146" t="str">
        <f>IF(VLOOKUP($A19,Sheet1!$A$3:$AW$699,7,FALSE)="★","x","")</f>
        <v/>
      </c>
      <c r="M19" s="146" t="str">
        <f>IF(VLOOKUP($A19,Sheet1!$A$3:$AW$699,8,FALSE)="▲","x","")</f>
        <v/>
      </c>
      <c r="N19" s="146" t="str">
        <f>IF(VLOOKUP($A19,Sheet1!$A$3:$AW$699,9,FALSE)="●","x","")</f>
        <v/>
      </c>
      <c r="O19" s="146" t="str">
        <f>IF(VLOOKUP($A19,Sheet1!$A$3:$AW$699,10,FALSE)="■","x","")</f>
        <v/>
      </c>
      <c r="P19" s="9" t="str">
        <f>IF(VLOOKUP($A19,Sheet1!$A$3:$AW$699,2,FALSE)="","",VLOOKUP($A19,Sheet1!$A$3:$AW$699,2,FALSE))</f>
        <v/>
      </c>
    </row>
    <row r="20" spans="1:16" ht="30.6" x14ac:dyDescent="0.3">
      <c r="A20" s="9">
        <v>29</v>
      </c>
      <c r="B20" s="9" t="str">
        <f>IF(VLOOKUP($A20,Sheet1!$A$3:$AW$699,20,FALSE)="","",VLOOKUP($A20,Sheet1!$A$3:$AW$699,20,FALSE))</f>
        <v>HomingMethod</v>
      </c>
      <c r="C20" s="9" t="str">
        <f>IF(VLOOKUP($A20,Sheet1!$A$3:$AW$699,25,FALSE)="","",VLOOKUP($A20,Sheet1!$A$3:$AW$699,25,FALSE))</f>
        <v>IO</v>
      </c>
      <c r="D20" s="142">
        <f>IF(VLOOKUP($A20,Sheet1!$A$3:$AW$699,15,FALSE)="","",VLOOKUP($A20,Sheet1!$A$3:$AW$699,15,FALSE))</f>
        <v>0</v>
      </c>
      <c r="E20" s="142">
        <f>IF(VLOOKUP($A20,Sheet1!$A$3:$AW$699,16,FALSE)="","",VLOOKUP($A20,Sheet1!$A$3:$AW$699,16,FALSE))</f>
        <v>38</v>
      </c>
      <c r="F20" s="142">
        <f>IF(VLOOKUP($A20,Sheet1!$A$3:$AW$699,17,FALSE)="","",VLOOKUP($A20,Sheet1!$A$3:$AW$699,17,FALSE))</f>
        <v>0</v>
      </c>
      <c r="G20" s="142" t="str">
        <f>IF(VLOOKUP($A20,Sheet1!$A$3:$AW$699,18,FALSE)="","",VLOOKUP($A20,Sheet1!$A$3:$AW$699,18,FALSE))</f>
        <v/>
      </c>
      <c r="H20" s="142" t="str">
        <f>IF(VLOOKUP($A20,Sheet1!$A$3:$AW$699,19,FALSE)="","",VLOOKUP($A20,Sheet1!$A$3:$AW$699,19,FALSE))</f>
        <v/>
      </c>
      <c r="I20" s="9" t="str">
        <f>IF(VLOOKUP($A20,Sheet1!$A$3:$AW$699,5,FALSE)="","",VLOOKUP($A20,Sheet1!$A$3:$AW$699,5,FALSE))</f>
        <v>SINT</v>
      </c>
      <c r="J20" s="10" t="s">
        <v>130</v>
      </c>
      <c r="K20" s="9" t="s">
        <v>115</v>
      </c>
      <c r="L20" s="146" t="str">
        <f>IF(VLOOKUP($A20,Sheet1!$A$3:$AW$699,7,FALSE)="★","x","")</f>
        <v/>
      </c>
      <c r="M20" s="146" t="str">
        <f>IF(VLOOKUP($A20,Sheet1!$A$3:$AW$699,8,FALSE)="▲","x","")</f>
        <v/>
      </c>
      <c r="N20" s="146" t="str">
        <f>IF(VLOOKUP($A20,Sheet1!$A$3:$AW$699,9,FALSE)="●","x","")</f>
        <v/>
      </c>
      <c r="O20" s="146" t="str">
        <f>IF(VLOOKUP($A20,Sheet1!$A$3:$AW$699,10,FALSE)="■","x","")</f>
        <v/>
      </c>
      <c r="P20" s="9" t="str">
        <f>IF(VLOOKUP($A20,Sheet1!$A$3:$AW$699,2,FALSE)="","",VLOOKUP($A20,Sheet1!$A$3:$AW$699,2,FALSE))</f>
        <v/>
      </c>
    </row>
    <row r="21" spans="1:16" ht="30.6" x14ac:dyDescent="0.3">
      <c r="A21" s="9">
        <v>30</v>
      </c>
      <c r="B21" s="9" t="str">
        <f>IF(VLOOKUP($A21,Sheet1!$A$3:$AW$699,20,FALSE)="","",VLOOKUP($A21,Sheet1!$A$3:$AW$699,20,FALSE))</f>
        <v>PositionReference</v>
      </c>
      <c r="C21" s="9" t="str">
        <f>IF(VLOOKUP($A21,Sheet1!$A$3:$AW$699,25,FALSE)="","",VLOOKUP($A21,Sheet1!$A$3:$AW$699,25,FALSE))</f>
        <v>IO</v>
      </c>
      <c r="D21" s="142" t="str">
        <f>IF(VLOOKUP($A21,Sheet1!$A$3:$AW$699,15,FALSE)="","",VLOOKUP($A21,Sheet1!$A$3:$AW$699,15,FALSE))</f>
        <v>-2147483648</v>
      </c>
      <c r="E21" s="142">
        <f>IF(VLOOKUP($A21,Sheet1!$A$3:$AW$699,16,FALSE)="","",VLOOKUP($A21,Sheet1!$A$3:$AW$699,16,FALSE))</f>
        <v>2147483647</v>
      </c>
      <c r="F21" s="142">
        <f>IF(VLOOKUP($A21,Sheet1!$A$3:$AW$699,17,FALSE)="","",VLOOKUP($A21,Sheet1!$A$3:$AW$699,17,FALSE))</f>
        <v>0</v>
      </c>
      <c r="G21" s="142" t="str">
        <f>IF(VLOOKUP($A21,Sheet1!$A$3:$AW$699,18,FALSE)="","",VLOOKUP($A21,Sheet1!$A$3:$AW$699,18,FALSE))</f>
        <v/>
      </c>
      <c r="H21" s="142" t="str">
        <f>IF(VLOOKUP($A21,Sheet1!$A$3:$AW$699,19,FALSE)="","",VLOOKUP($A21,Sheet1!$A$3:$AW$699,19,FALSE))</f>
        <v>PUU</v>
      </c>
      <c r="I21" s="9" t="str">
        <f>IF(VLOOKUP($A21,Sheet1!$A$3:$AW$699,5,FALSE)="","",VLOOKUP($A21,Sheet1!$A$3:$AW$699,5,FALSE))</f>
        <v>DINT</v>
      </c>
      <c r="J21" s="9" t="s">
        <v>131</v>
      </c>
      <c r="K21" s="9" t="s">
        <v>115</v>
      </c>
      <c r="L21" s="146" t="str">
        <f>IF(VLOOKUP($A21,Sheet1!$A$3:$AW$699,7,FALSE)="★","x","")</f>
        <v/>
      </c>
      <c r="M21" s="146" t="str">
        <f>IF(VLOOKUP($A21,Sheet1!$A$3:$AW$699,8,FALSE)="▲","x","")</f>
        <v/>
      </c>
      <c r="N21" s="146" t="str">
        <f>IF(VLOOKUP($A21,Sheet1!$A$3:$AW$699,9,FALSE)="●","x","")</f>
        <v/>
      </c>
      <c r="O21" s="146" t="str">
        <f>IF(VLOOKUP($A21,Sheet1!$A$3:$AW$699,10,FALSE)="■","x","")</f>
        <v/>
      </c>
      <c r="P21" s="9" t="str">
        <f>IF(VLOOKUP($A21,Sheet1!$A$3:$AW$699,2,FALSE)="","",VLOOKUP($A21,Sheet1!$A$3:$AW$699,2,FALSE))</f>
        <v/>
      </c>
    </row>
    <row r="22" spans="1:16" ht="30.6" x14ac:dyDescent="0.3">
      <c r="A22" s="9">
        <v>31</v>
      </c>
      <c r="B22" s="9" t="str">
        <f>IF(VLOOKUP($A22,Sheet1!$A$3:$AW$699,20,FALSE)="","",VLOOKUP($A22,Sheet1!$A$3:$AW$699,20,FALSE))</f>
        <v>HomeReturnSpeed</v>
      </c>
      <c r="C22" s="9" t="str">
        <f>IF(VLOOKUP($A22,Sheet1!$A$3:$AW$699,25,FALSE)="","",VLOOKUP($A22,Sheet1!$A$3:$AW$699,25,FALSE))</f>
        <v>IO</v>
      </c>
      <c r="D22" s="142">
        <f>IF(VLOOKUP($A22,Sheet1!$A$3:$AW$699,15,FALSE)="","",VLOOKUP($A22,Sheet1!$A$3:$AW$699,15,FALSE))</f>
        <v>1</v>
      </c>
      <c r="E22" s="142">
        <f>IF(VLOOKUP($A22,Sheet1!$A$3:$AW$699,16,FALSE)="","",VLOOKUP($A22,Sheet1!$A$3:$AW$699,16,FALSE))</f>
        <v>5000</v>
      </c>
      <c r="F22" s="142">
        <f>IF(VLOOKUP($A22,Sheet1!$A$3:$AW$699,17,FALSE)="","",VLOOKUP($A22,Sheet1!$A$3:$AW$699,17,FALSE))</f>
        <v>200</v>
      </c>
      <c r="G22" s="142" t="str">
        <f>IF(VLOOKUP($A22,Sheet1!$A$3:$AW$699,18,FALSE)="","",VLOOKUP($A22,Sheet1!$A$3:$AW$699,18,FALSE))</f>
        <v/>
      </c>
      <c r="H22" s="142" t="str">
        <f>IF(VLOOKUP($A22,Sheet1!$A$3:$AW$699,19,FALSE)="","",VLOOKUP($A22,Sheet1!$A$3:$AW$699,19,FALSE))</f>
        <v>0.1RPM</v>
      </c>
      <c r="I22" s="9" t="str">
        <f>IF(VLOOKUP($A22,Sheet1!$A$3:$AW$699,5,FALSE)="","",VLOOKUP($A22,Sheet1!$A$3:$AW$699,5,FALSE))</f>
        <v>DINT</v>
      </c>
      <c r="J22" s="9" t="s">
        <v>132</v>
      </c>
      <c r="K22" s="9" t="s">
        <v>115</v>
      </c>
      <c r="L22" s="146" t="str">
        <f>IF(VLOOKUP($A22,Sheet1!$A$3:$AW$699,7,FALSE)="★","x","")</f>
        <v/>
      </c>
      <c r="M22" s="146" t="str">
        <f>IF(VLOOKUP($A22,Sheet1!$A$3:$AW$699,8,FALSE)="▲","x","")</f>
        <v/>
      </c>
      <c r="N22" s="146" t="str">
        <f>IF(VLOOKUP($A22,Sheet1!$A$3:$AW$699,9,FALSE)="●","x","")</f>
        <v/>
      </c>
      <c r="O22" s="146" t="str">
        <f>IF(VLOOKUP($A22,Sheet1!$A$3:$AW$699,10,FALSE)="■","x","")</f>
        <v/>
      </c>
      <c r="P22" s="9" t="str">
        <f>IF(VLOOKUP($A22,Sheet1!$A$3:$AW$699,2,FALSE)="","",VLOOKUP($A22,Sheet1!$A$3:$AW$699,2,FALSE))</f>
        <v/>
      </c>
    </row>
    <row r="23" spans="1:16" ht="61.2" x14ac:dyDescent="0.3">
      <c r="A23" s="9">
        <v>32</v>
      </c>
      <c r="B23" s="9" t="str">
        <f>IF(VLOOKUP($A23,Sheet1!$A$3:$AW$699,20,FALSE)="","",VLOOKUP($A23,Sheet1!$A$3:$AW$699,20,FALSE))</f>
        <v>NonCyclicMoveType</v>
      </c>
      <c r="C23" s="9" t="str">
        <f>IF(VLOOKUP($A23,Sheet1!$A$3:$AW$699,25,FALSE)="","",VLOOKUP($A23,Sheet1!$A$3:$AW$699,25,FALSE))</f>
        <v>IO</v>
      </c>
      <c r="D23" s="142">
        <f>IF(VLOOKUP($A23,Sheet1!$A$3:$AW$699,15,FALSE)="","",VLOOKUP($A23,Sheet1!$A$3:$AW$699,15,FALSE))</f>
        <v>0</v>
      </c>
      <c r="E23" s="142">
        <f>IF(VLOOKUP($A23,Sheet1!$A$3:$AW$699,16,FALSE)="","",VLOOKUP($A23,Sheet1!$A$3:$AW$699,16,FALSE))</f>
        <v>3</v>
      </c>
      <c r="F23" s="142">
        <f>IF(VLOOKUP($A23,Sheet1!$A$3:$AW$699,17,FALSE)="","",VLOOKUP($A23,Sheet1!$A$3:$AW$699,17,FALSE))</f>
        <v>0</v>
      </c>
      <c r="G23" s="142" t="str">
        <f>IF(VLOOKUP($A23,Sheet1!$A$3:$AW$699,18,FALSE)="","",VLOOKUP($A23,Sheet1!$A$3:$AW$699,18,FALSE))</f>
        <v/>
      </c>
      <c r="H23" s="142" t="str">
        <f>IF(VLOOKUP($A23,Sheet1!$A$3:$AW$699,19,FALSE)="","",VLOOKUP($A23,Sheet1!$A$3:$AW$699,19,FALSE))</f>
        <v/>
      </c>
      <c r="I23" s="9" t="str">
        <f>IF(VLOOKUP($A23,Sheet1!$A$3:$AW$699,5,FALSE)="","",VLOOKUP($A23,Sheet1!$A$3:$AW$699,5,FALSE))</f>
        <v>SINT</v>
      </c>
      <c r="J23" s="9" t="s">
        <v>133</v>
      </c>
      <c r="K23" s="9" t="s">
        <v>115</v>
      </c>
      <c r="L23" s="146" t="str">
        <f>IF(VLOOKUP($A23,Sheet1!$A$3:$AW$699,7,FALSE)="★","x","")</f>
        <v/>
      </c>
      <c r="M23" s="146" t="str">
        <f>IF(VLOOKUP($A23,Sheet1!$A$3:$AW$699,8,FALSE)="▲","x","")</f>
        <v/>
      </c>
      <c r="N23" s="146" t="str">
        <f>IF(VLOOKUP($A23,Sheet1!$A$3:$AW$699,9,FALSE)="●","x","")</f>
        <v/>
      </c>
      <c r="O23" s="146" t="str">
        <f>IF(VLOOKUP($A23,Sheet1!$A$3:$AW$699,10,FALSE)="■","x","")</f>
        <v/>
      </c>
      <c r="P23" s="9" t="str">
        <f>IF(VLOOKUP($A23,Sheet1!$A$3:$AW$699,2,FALSE)="","",VLOOKUP($A23,Sheet1!$A$3:$AW$699,2,FALSE))</f>
        <v/>
      </c>
    </row>
    <row r="24" spans="1:16" ht="30.6" x14ac:dyDescent="0.3">
      <c r="A24" s="9">
        <v>33</v>
      </c>
      <c r="B24" s="9" t="str">
        <f>IF(VLOOKUP($A24,Sheet1!$A$3:$AW$699,20,FALSE)="","",VLOOKUP($A24,Sheet1!$A$3:$AW$699,20,FALSE))</f>
        <v>TorqueReference</v>
      </c>
      <c r="C24" s="9" t="str">
        <f>IF(VLOOKUP($A24,Sheet1!$A$3:$AW$699,25,FALSE)="","",VLOOKUP($A24,Sheet1!$A$3:$AW$699,25,FALSE))</f>
        <v>IO</v>
      </c>
      <c r="D24" s="142" t="str">
        <f>IF(VLOOKUP($A24,Sheet1!$A$3:$AW$699,15,FALSE)="","",VLOOKUP($A24,Sheet1!$A$3:$AW$699,15,FALSE))</f>
        <v>-4000</v>
      </c>
      <c r="E24" s="142">
        <f>IF(VLOOKUP($A24,Sheet1!$A$3:$AW$699,16,FALSE)="","",VLOOKUP($A24,Sheet1!$A$3:$AW$699,16,FALSE))</f>
        <v>4000</v>
      </c>
      <c r="F24" s="142">
        <f>IF(VLOOKUP($A24,Sheet1!$A$3:$AW$699,17,FALSE)="","",VLOOKUP($A24,Sheet1!$A$3:$AW$699,17,FALSE))</f>
        <v>0</v>
      </c>
      <c r="G24" s="142" t="str">
        <f>IF(VLOOKUP($A24,Sheet1!$A$3:$AW$699,18,FALSE)="","",VLOOKUP($A24,Sheet1!$A$3:$AW$699,18,FALSE))</f>
        <v/>
      </c>
      <c r="H24" s="142" t="str">
        <f>IF(VLOOKUP($A24,Sheet1!$A$3:$AW$699,19,FALSE)="","",VLOOKUP($A24,Sheet1!$A$3:$AW$699,19,FALSE))</f>
        <v>%</v>
      </c>
      <c r="I24" s="9" t="str">
        <f>IF(VLOOKUP($A24,Sheet1!$A$3:$AW$699,5,FALSE)="","",VLOOKUP($A24,Sheet1!$A$3:$AW$699,5,FALSE))</f>
        <v>DINT</v>
      </c>
      <c r="J24" s="9" t="s">
        <v>134</v>
      </c>
      <c r="K24" s="9" t="s">
        <v>115</v>
      </c>
      <c r="L24" s="146" t="str">
        <f>IF(VLOOKUP($A24,Sheet1!$A$3:$AW$699,7,FALSE)="★","x","")</f>
        <v/>
      </c>
      <c r="M24" s="146" t="str">
        <f>IF(VLOOKUP($A24,Sheet1!$A$3:$AW$699,8,FALSE)="▲","x","")</f>
        <v/>
      </c>
      <c r="N24" s="146" t="str">
        <f>IF(VLOOKUP($A24,Sheet1!$A$3:$AW$699,9,FALSE)="●","x","")</f>
        <v/>
      </c>
      <c r="O24" s="146" t="str">
        <f>IF(VLOOKUP($A24,Sheet1!$A$3:$AW$699,10,FALSE)="■","x","")</f>
        <v/>
      </c>
      <c r="P24" s="9" t="str">
        <f>IF(VLOOKUP($A24,Sheet1!$A$3:$AW$699,2,FALSE)="","",VLOOKUP($A24,Sheet1!$A$3:$AW$699,2,FALSE))</f>
        <v/>
      </c>
    </row>
    <row r="25" spans="1:16" ht="30.6" x14ac:dyDescent="0.3">
      <c r="A25" s="9">
        <v>34</v>
      </c>
      <c r="B25" s="9" t="str">
        <f>IF(VLOOKUP($A25,Sheet1!$A$3:$AW$699,20,FALSE)="","",VLOOKUP($A25,Sheet1!$A$3:$AW$699,20,FALSE))</f>
        <v>TorqueRampTime</v>
      </c>
      <c r="C25" s="9" t="str">
        <f>IF(VLOOKUP($A25,Sheet1!$A$3:$AW$699,25,FALSE)="","",VLOOKUP($A25,Sheet1!$A$3:$AW$699,25,FALSE))</f>
        <v>IO</v>
      </c>
      <c r="D25" s="142">
        <f>IF(VLOOKUP($A25,Sheet1!$A$3:$AW$699,15,FALSE)="","",VLOOKUP($A25,Sheet1!$A$3:$AW$699,15,FALSE))</f>
        <v>1</v>
      </c>
      <c r="E25" s="142">
        <f>IF(VLOOKUP($A25,Sheet1!$A$3:$AW$699,16,FALSE)="","",VLOOKUP($A25,Sheet1!$A$3:$AW$699,16,FALSE))</f>
        <v>65500</v>
      </c>
      <c r="F25" s="142">
        <f>IF(VLOOKUP($A25,Sheet1!$A$3:$AW$699,17,FALSE)="","",VLOOKUP($A25,Sheet1!$A$3:$AW$699,17,FALSE))</f>
        <v>1000</v>
      </c>
      <c r="G25" s="142" t="str">
        <f>IF(VLOOKUP($A25,Sheet1!$A$3:$AW$699,18,FALSE)="","",VLOOKUP($A25,Sheet1!$A$3:$AW$699,18,FALSE))</f>
        <v/>
      </c>
      <c r="H25" s="142" t="str">
        <f>IF(VLOOKUP($A25,Sheet1!$A$3:$AW$699,19,FALSE)="","",VLOOKUP($A25,Sheet1!$A$3:$AW$699,19,FALSE))</f>
        <v>ms</v>
      </c>
      <c r="I25" s="9" t="str">
        <f>IF(VLOOKUP($A25,Sheet1!$A$3:$AW$699,5,FALSE)="","",VLOOKUP($A25,Sheet1!$A$3:$AW$699,5,FALSE))</f>
        <v>DINT</v>
      </c>
      <c r="J25" s="9" t="s">
        <v>135</v>
      </c>
      <c r="K25" s="9" t="s">
        <v>115</v>
      </c>
      <c r="L25" s="146" t="str">
        <f>IF(VLOOKUP($A25,Sheet1!$A$3:$AW$699,7,FALSE)="★","x","")</f>
        <v/>
      </c>
      <c r="M25" s="146" t="str">
        <f>IF(VLOOKUP($A25,Sheet1!$A$3:$AW$699,8,FALSE)="▲","x","")</f>
        <v/>
      </c>
      <c r="N25" s="146" t="str">
        <f>IF(VLOOKUP($A25,Sheet1!$A$3:$AW$699,9,FALSE)="●","x","")</f>
        <v/>
      </c>
      <c r="O25" s="146" t="str">
        <f>IF(VLOOKUP($A25,Sheet1!$A$3:$AW$699,10,FALSE)="■","x","")</f>
        <v/>
      </c>
      <c r="P25" s="9" t="str">
        <f>IF(VLOOKUP($A25,Sheet1!$A$3:$AW$699,2,FALSE)="","",VLOOKUP($A25,Sheet1!$A$3:$AW$699,2,FALSE))</f>
        <v/>
      </c>
    </row>
    <row r="26" spans="1:16" ht="40.799999999999997" x14ac:dyDescent="0.3">
      <c r="A26" s="9">
        <v>35</v>
      </c>
      <c r="B26" s="9" t="str">
        <f>IF(VLOOKUP($A26,Sheet1!$A$3:$AW$699,20,FALSE)="","",VLOOKUP($A26,Sheet1!$A$3:$AW$699,20,FALSE))</f>
        <v>PositionCommandOverlap</v>
      </c>
      <c r="C26" s="9" t="str">
        <f>IF(VLOOKUP($A26,Sheet1!$A$3:$AW$699,25,FALSE)="","",VLOOKUP($A26,Sheet1!$A$3:$AW$699,25,FALSE))</f>
        <v>IO</v>
      </c>
      <c r="D26" s="142">
        <f>IF(VLOOKUP($A26,Sheet1!$A$3:$AW$699,15,FALSE)="","",VLOOKUP($A26,Sheet1!$A$3:$AW$699,15,FALSE))</f>
        <v>0</v>
      </c>
      <c r="E26" s="142">
        <f>IF(VLOOKUP($A26,Sheet1!$A$3:$AW$699,16,FALSE)="","",VLOOKUP($A26,Sheet1!$A$3:$AW$699,16,FALSE))</f>
        <v>1</v>
      </c>
      <c r="F26" s="142">
        <f>IF(VLOOKUP($A26,Sheet1!$A$3:$AW$699,17,FALSE)="","",VLOOKUP($A26,Sheet1!$A$3:$AW$699,17,FALSE))</f>
        <v>0</v>
      </c>
      <c r="G26" s="142" t="str">
        <f>IF(VLOOKUP($A26,Sheet1!$A$3:$AW$699,18,FALSE)="","",VLOOKUP($A26,Sheet1!$A$3:$AW$699,18,FALSE))</f>
        <v/>
      </c>
      <c r="H26" s="142" t="str">
        <f>IF(VLOOKUP($A26,Sheet1!$A$3:$AW$699,19,FALSE)="","",VLOOKUP($A26,Sheet1!$A$3:$AW$699,19,FALSE))</f>
        <v/>
      </c>
      <c r="I26" s="9" t="str">
        <f>IF(VLOOKUP($A26,Sheet1!$A$3:$AW$699,5,FALSE)="","",VLOOKUP($A26,Sheet1!$A$3:$AW$699,5,FALSE))</f>
        <v>BOOL</v>
      </c>
      <c r="J26" s="9" t="s">
        <v>136</v>
      </c>
      <c r="K26" s="9" t="s">
        <v>115</v>
      </c>
      <c r="L26" s="146" t="str">
        <f>IF(VLOOKUP($A26,Sheet1!$A$3:$AW$699,7,FALSE)="★","x","")</f>
        <v/>
      </c>
      <c r="M26" s="146" t="str">
        <f>IF(VLOOKUP($A26,Sheet1!$A$3:$AW$699,8,FALSE)="▲","x","")</f>
        <v/>
      </c>
      <c r="N26" s="146" t="str">
        <f>IF(VLOOKUP($A26,Sheet1!$A$3:$AW$699,9,FALSE)="●","x","")</f>
        <v/>
      </c>
      <c r="O26" s="146" t="str">
        <f>IF(VLOOKUP($A26,Sheet1!$A$3:$AW$699,10,FALSE)="■","x","")</f>
        <v/>
      </c>
      <c r="P26" s="9" t="str">
        <f>IF(VLOOKUP($A26,Sheet1!$A$3:$AW$699,2,FALSE)="","",VLOOKUP($A26,Sheet1!$A$3:$AW$699,2,FALSE))</f>
        <v/>
      </c>
    </row>
    <row r="27" spans="1:16" ht="40.799999999999997" x14ac:dyDescent="0.3">
      <c r="A27" s="9">
        <v>36</v>
      </c>
      <c r="B27" s="9" t="str">
        <f>IF(VLOOKUP($A27,Sheet1!$A$3:$AW$699,20,FALSE)="","",VLOOKUP($A27,Sheet1!$A$3:$AW$699,20,FALSE))</f>
        <v>PositionCommandOverride</v>
      </c>
      <c r="C27" s="9" t="str">
        <f>IF(VLOOKUP($A27,Sheet1!$A$3:$AW$699,25,FALSE)="","",VLOOKUP($A27,Sheet1!$A$3:$AW$699,25,FALSE))</f>
        <v>IO</v>
      </c>
      <c r="D27" s="142">
        <f>IF(VLOOKUP($A27,Sheet1!$A$3:$AW$699,15,FALSE)="","",VLOOKUP($A27,Sheet1!$A$3:$AW$699,15,FALSE))</f>
        <v>0</v>
      </c>
      <c r="E27" s="142">
        <f>IF(VLOOKUP($A27,Sheet1!$A$3:$AW$699,16,FALSE)="","",VLOOKUP($A27,Sheet1!$A$3:$AW$699,16,FALSE))</f>
        <v>1</v>
      </c>
      <c r="F27" s="142">
        <f>IF(VLOOKUP($A27,Sheet1!$A$3:$AW$699,17,FALSE)="","",VLOOKUP($A27,Sheet1!$A$3:$AW$699,17,FALSE))</f>
        <v>0</v>
      </c>
      <c r="G27" s="142" t="str">
        <f>IF(VLOOKUP($A27,Sheet1!$A$3:$AW$699,18,FALSE)="","",VLOOKUP($A27,Sheet1!$A$3:$AW$699,18,FALSE))</f>
        <v/>
      </c>
      <c r="H27" s="142" t="str">
        <f>IF(VLOOKUP($A27,Sheet1!$A$3:$AW$699,19,FALSE)="","",VLOOKUP($A27,Sheet1!$A$3:$AW$699,19,FALSE))</f>
        <v/>
      </c>
      <c r="I27" s="9" t="str">
        <f>IF(VLOOKUP($A27,Sheet1!$A$3:$AW$699,5,FALSE)="","",VLOOKUP($A27,Sheet1!$A$3:$AW$699,5,FALSE))</f>
        <v>BOOL</v>
      </c>
      <c r="J27" s="9" t="s">
        <v>137</v>
      </c>
      <c r="K27" s="9" t="s">
        <v>115</v>
      </c>
      <c r="L27" s="146" t="str">
        <f>IF(VLOOKUP($A27,Sheet1!$A$3:$AW$699,7,FALSE)="★","x","")</f>
        <v/>
      </c>
      <c r="M27" s="146" t="str">
        <f>IF(VLOOKUP($A27,Sheet1!$A$3:$AW$699,8,FALSE)="▲","x","")</f>
        <v/>
      </c>
      <c r="N27" s="146" t="str">
        <f>IF(VLOOKUP($A27,Sheet1!$A$3:$AW$699,9,FALSE)="●","x","")</f>
        <v/>
      </c>
      <c r="O27" s="146" t="str">
        <f>IF(VLOOKUP($A27,Sheet1!$A$3:$AW$699,10,FALSE)="■","x","")</f>
        <v/>
      </c>
      <c r="P27" s="9" t="str">
        <f>IF(VLOOKUP($A27,Sheet1!$A$3:$AW$699,2,FALSE)="","",VLOOKUP($A27,Sheet1!$A$3:$AW$699,2,FALSE))</f>
        <v/>
      </c>
    </row>
    <row r="28" spans="1:16" ht="40.799999999999997" x14ac:dyDescent="0.3">
      <c r="A28" s="9">
        <v>37</v>
      </c>
      <c r="B28" s="9" t="str">
        <f>IF(VLOOKUP($A28,Sheet1!$A$3:$AW$699,20,FALSE)="","",VLOOKUP($A28,Sheet1!$A$3:$AW$699,20,FALSE))</f>
        <v>TravelMode</v>
      </c>
      <c r="C28" s="9" t="str">
        <f>IF(VLOOKUP($A28,Sheet1!$A$3:$AW$699,25,FALSE)="","",VLOOKUP($A28,Sheet1!$A$3:$AW$699,25,FALSE))</f>
        <v>IO</v>
      </c>
      <c r="D28" s="142">
        <f>IF(VLOOKUP($A28,Sheet1!$A$3:$AW$699,15,FALSE)="","",VLOOKUP($A28,Sheet1!$A$3:$AW$699,15,FALSE))</f>
        <v>0</v>
      </c>
      <c r="E28" s="142">
        <f>IF(VLOOKUP($A28,Sheet1!$A$3:$AW$699,16,FALSE)="","",VLOOKUP($A28,Sheet1!$A$3:$AW$699,16,FALSE))</f>
        <v>10</v>
      </c>
      <c r="F28" s="142">
        <f>IF(VLOOKUP($A28,Sheet1!$A$3:$AW$699,17,FALSE)="","",VLOOKUP($A28,Sheet1!$A$3:$AW$699,17,FALSE))</f>
        <v>2</v>
      </c>
      <c r="G28" s="142" t="str">
        <f>IF(VLOOKUP($A28,Sheet1!$A$3:$AW$699,18,FALSE)="","",VLOOKUP($A28,Sheet1!$A$3:$AW$699,18,FALSE))</f>
        <v/>
      </c>
      <c r="H28" s="142" t="str">
        <f>IF(VLOOKUP($A28,Sheet1!$A$3:$AW$699,19,FALSE)="","",VLOOKUP($A28,Sheet1!$A$3:$AW$699,19,FALSE))</f>
        <v/>
      </c>
      <c r="I28" s="9" t="str">
        <f>IF(VLOOKUP($A28,Sheet1!$A$3:$AW$699,5,FALSE)="","",VLOOKUP($A28,Sheet1!$A$3:$AW$699,5,FALSE))</f>
        <v>SINT</v>
      </c>
      <c r="J28" s="9" t="s">
        <v>138</v>
      </c>
      <c r="K28" s="9" t="s">
        <v>115</v>
      </c>
      <c r="L28" s="146" t="str">
        <f>IF(VLOOKUP($A28,Sheet1!$A$3:$AW$699,7,FALSE)="★","x","")</f>
        <v/>
      </c>
      <c r="M28" s="146" t="str">
        <f>IF(VLOOKUP($A28,Sheet1!$A$3:$AW$699,8,FALSE)="▲","x","")</f>
        <v/>
      </c>
      <c r="N28" s="146" t="str">
        <f>IF(VLOOKUP($A28,Sheet1!$A$3:$AW$699,9,FALSE)="●","x","")</f>
        <v/>
      </c>
      <c r="O28" s="146" t="str">
        <f>IF(VLOOKUP($A28,Sheet1!$A$3:$AW$699,10,FALSE)="■","x","")</f>
        <v/>
      </c>
      <c r="P28" s="9" t="str">
        <f>IF(VLOOKUP($A28,Sheet1!$A$3:$AW$699,2,FALSE)="","",VLOOKUP($A28,Sheet1!$A$3:$AW$699,2,FALSE))</f>
        <v/>
      </c>
    </row>
    <row r="29" spans="1:16" ht="51" x14ac:dyDescent="0.3">
      <c r="A29" s="9">
        <v>38</v>
      </c>
      <c r="B29" s="9" t="str">
        <f>IF(VLOOKUP($A29,Sheet1!$A$3:$AW$699,20,FALSE)="","",VLOOKUP($A29,Sheet1!$A$3:$AW$699,20,FALSE))</f>
        <v>CyclicMoveType</v>
      </c>
      <c r="C29" s="9" t="str">
        <f>IF(VLOOKUP($A29,Sheet1!$A$3:$AW$699,25,FALSE)="","",VLOOKUP($A29,Sheet1!$A$3:$AW$699,25,FALSE))</f>
        <v>IO</v>
      </c>
      <c r="D29" s="142">
        <f>IF(VLOOKUP($A29,Sheet1!$A$3:$AW$699,15,FALSE)="","",VLOOKUP($A29,Sheet1!$A$3:$AW$699,15,FALSE))</f>
        <v>0</v>
      </c>
      <c r="E29" s="142">
        <f>IF(VLOOKUP($A29,Sheet1!$A$3:$AW$699,16,FALSE)="","",VLOOKUP($A29,Sheet1!$A$3:$AW$699,16,FALSE))</f>
        <v>2</v>
      </c>
      <c r="F29" s="142">
        <f>IF(VLOOKUP($A29,Sheet1!$A$3:$AW$699,17,FALSE)="","",VLOOKUP($A29,Sheet1!$A$3:$AW$699,17,FALSE))</f>
        <v>0</v>
      </c>
      <c r="G29" s="142" t="str">
        <f>IF(VLOOKUP($A29,Sheet1!$A$3:$AW$699,18,FALSE)="","",VLOOKUP($A29,Sheet1!$A$3:$AW$699,18,FALSE))</f>
        <v/>
      </c>
      <c r="H29" s="142" t="str">
        <f>IF(VLOOKUP($A29,Sheet1!$A$3:$AW$699,19,FALSE)="","",VLOOKUP($A29,Sheet1!$A$3:$AW$699,19,FALSE))</f>
        <v/>
      </c>
      <c r="I29" s="9" t="str">
        <f>IF(VLOOKUP($A29,Sheet1!$A$3:$AW$699,5,FALSE)="","",VLOOKUP($A29,Sheet1!$A$3:$AW$699,5,FALSE))</f>
        <v>SINT</v>
      </c>
      <c r="J29" s="9" t="s">
        <v>139</v>
      </c>
      <c r="K29" s="9" t="s">
        <v>115</v>
      </c>
      <c r="L29" s="146" t="str">
        <f>IF(VLOOKUP($A29,Sheet1!$A$3:$AW$699,7,FALSE)="★","x","")</f>
        <v/>
      </c>
      <c r="M29" s="146" t="str">
        <f>IF(VLOOKUP($A29,Sheet1!$A$3:$AW$699,8,FALSE)="▲","x","")</f>
        <v/>
      </c>
      <c r="N29" s="146" t="str">
        <f>IF(VLOOKUP($A29,Sheet1!$A$3:$AW$699,9,FALSE)="●","x","")</f>
        <v/>
      </c>
      <c r="O29" s="146" t="str">
        <f>IF(VLOOKUP($A29,Sheet1!$A$3:$AW$699,10,FALSE)="■","x","")</f>
        <v/>
      </c>
      <c r="P29" s="9" t="str">
        <f>IF(VLOOKUP($A29,Sheet1!$A$3:$AW$699,2,FALSE)="","",VLOOKUP($A29,Sheet1!$A$3:$AW$699,2,FALSE))</f>
        <v/>
      </c>
    </row>
    <row r="30" spans="1:16" ht="40.799999999999997" x14ac:dyDescent="0.3">
      <c r="A30" s="9">
        <v>39</v>
      </c>
      <c r="B30" s="9" t="str">
        <f>IF(VLOOKUP($A30,Sheet1!$A$3:$AW$699,20,FALSE)="","",VLOOKUP($A30,Sheet1!$A$3:$AW$699,20,FALSE))</f>
        <v>CapturedPositionSelect</v>
      </c>
      <c r="C30" s="9" t="str">
        <f>IF(VLOOKUP($A30,Sheet1!$A$3:$AW$699,25,FALSE)="","",VLOOKUP($A30,Sheet1!$A$3:$AW$699,25,FALSE))</f>
        <v>IO</v>
      </c>
      <c r="D30" s="142">
        <f>IF(VLOOKUP($A30,Sheet1!$A$3:$AW$699,15,FALSE)="","",VLOOKUP($A30,Sheet1!$A$3:$AW$699,15,FALSE))</f>
        <v>0</v>
      </c>
      <c r="E30" s="142">
        <f>IF(VLOOKUP($A30,Sheet1!$A$3:$AW$699,16,FALSE)="","",VLOOKUP($A30,Sheet1!$A$3:$AW$699,16,FALSE))</f>
        <v>1</v>
      </c>
      <c r="F30" s="142">
        <f>IF(VLOOKUP($A30,Sheet1!$A$3:$AW$699,17,FALSE)="","",VLOOKUP($A30,Sheet1!$A$3:$AW$699,17,FALSE))</f>
        <v>0</v>
      </c>
      <c r="G30" s="142" t="str">
        <f>IF(VLOOKUP($A30,Sheet1!$A$3:$AW$699,18,FALSE)="","",VLOOKUP($A30,Sheet1!$A$3:$AW$699,18,FALSE))</f>
        <v/>
      </c>
      <c r="H30" s="142" t="str">
        <f>IF(VLOOKUP($A30,Sheet1!$A$3:$AW$699,19,FALSE)="","",VLOOKUP($A30,Sheet1!$A$3:$AW$699,19,FALSE))</f>
        <v/>
      </c>
      <c r="I30" s="9" t="str">
        <f>IF(VLOOKUP($A30,Sheet1!$A$3:$AW$699,5,FALSE)="","",VLOOKUP($A30,Sheet1!$A$3:$AW$699,5,FALSE))</f>
        <v>BOOL</v>
      </c>
      <c r="J30" s="9" t="s">
        <v>140</v>
      </c>
      <c r="K30" s="9" t="s">
        <v>115</v>
      </c>
      <c r="L30" s="146" t="str">
        <f>IF(VLOOKUP($A30,Sheet1!$A$3:$AW$699,7,FALSE)="★","x","")</f>
        <v/>
      </c>
      <c r="M30" s="146" t="str">
        <f>IF(VLOOKUP($A30,Sheet1!$A$3:$AW$699,8,FALSE)="▲","x","")</f>
        <v/>
      </c>
      <c r="N30" s="146" t="str">
        <f>IF(VLOOKUP($A30,Sheet1!$A$3:$AW$699,9,FALSE)="●","x","")</f>
        <v/>
      </c>
      <c r="O30" s="146" t="str">
        <f>IF(VLOOKUP($A30,Sheet1!$A$3:$AW$699,10,FALSE)="■","x","")</f>
        <v/>
      </c>
      <c r="P30" s="9" t="str">
        <f>IF(VLOOKUP($A30,Sheet1!$A$3:$AW$699,2,FALSE)="","",VLOOKUP($A30,Sheet1!$A$3:$AW$699,2,FALSE))</f>
        <v/>
      </c>
    </row>
    <row r="31" spans="1:16" ht="20.399999999999999" x14ac:dyDescent="0.3">
      <c r="A31" s="9">
        <v>40</v>
      </c>
      <c r="B31" s="9" t="str">
        <f>IF(VLOOKUP($A31,Sheet1!$A$3:$AW$699,20,FALSE)="","",VLOOKUP($A31,Sheet1!$A$3:$AW$699,20,FALSE))</f>
        <v>StartingIndex</v>
      </c>
      <c r="C31" s="9" t="str">
        <f>IF(VLOOKUP($A31,Sheet1!$A$3:$AW$699,25,FALSE)="","",VLOOKUP($A31,Sheet1!$A$3:$AW$699,25,FALSE))</f>
        <v>IO</v>
      </c>
      <c r="D31" s="142">
        <f>IF(VLOOKUP($A31,Sheet1!$A$3:$AW$699,15,FALSE)="","",VLOOKUP($A31,Sheet1!$A$3:$AW$699,15,FALSE))</f>
        <v>0</v>
      </c>
      <c r="E31" s="142">
        <f>IF(VLOOKUP($A31,Sheet1!$A$3:$AW$699,16,FALSE)="","",VLOOKUP($A31,Sheet1!$A$3:$AW$699,16,FALSE))</f>
        <v>99</v>
      </c>
      <c r="F31" s="142">
        <f>IF(VLOOKUP($A31,Sheet1!$A$3:$AW$699,17,FALSE)="","",VLOOKUP($A31,Sheet1!$A$3:$AW$699,17,FALSE))</f>
        <v>0</v>
      </c>
      <c r="G31" s="142" t="str">
        <f>IF(VLOOKUP($A31,Sheet1!$A$3:$AW$699,18,FALSE)="","",VLOOKUP($A31,Sheet1!$A$3:$AW$699,18,FALSE))</f>
        <v/>
      </c>
      <c r="H31" s="142" t="str">
        <f>IF(VLOOKUP($A31,Sheet1!$A$3:$AW$699,19,FALSE)="","",VLOOKUP($A31,Sheet1!$A$3:$AW$699,19,FALSE))</f>
        <v/>
      </c>
      <c r="I31" s="9" t="str">
        <f>IF(VLOOKUP($A31,Sheet1!$A$3:$AW$699,5,FALSE)="","",VLOOKUP($A31,Sheet1!$A$3:$AW$699,5,FALSE))</f>
        <v>SINT</v>
      </c>
      <c r="J31" s="9" t="s">
        <v>141</v>
      </c>
      <c r="K31" s="9" t="s">
        <v>115</v>
      </c>
      <c r="L31" s="146" t="str">
        <f>IF(VLOOKUP($A31,Sheet1!$A$3:$AW$699,7,FALSE)="★","x","")</f>
        <v/>
      </c>
      <c r="M31" s="146" t="str">
        <f>IF(VLOOKUP($A31,Sheet1!$A$3:$AW$699,8,FALSE)="▲","x","")</f>
        <v/>
      </c>
      <c r="N31" s="146" t="str">
        <f>IF(VLOOKUP($A31,Sheet1!$A$3:$AW$699,9,FALSE)="●","x","")</f>
        <v/>
      </c>
      <c r="O31" s="146" t="str">
        <f>IF(VLOOKUP($A31,Sheet1!$A$3:$AW$699,10,FALSE)="■","x","")</f>
        <v/>
      </c>
      <c r="P31" s="9" t="str">
        <f>IF(VLOOKUP($A31,Sheet1!$A$3:$AW$699,2,FALSE)="","",VLOOKUP($A31,Sheet1!$A$3:$AW$699,2,FALSE))</f>
        <v/>
      </c>
    </row>
    <row r="32" spans="1:16" ht="30.6" x14ac:dyDescent="0.3">
      <c r="A32" s="9">
        <v>41</v>
      </c>
      <c r="B32" s="9" t="str">
        <f>IF(VLOOKUP($A32,Sheet1!$A$3:$AW$699,20,FALSE)="","",VLOOKUP($A32,Sheet1!$A$3:$AW$699,20,FALSE))</f>
        <v>NetworkMode</v>
      </c>
      <c r="C32" s="9" t="str">
        <f>IF(VLOOKUP($A32,Sheet1!$A$3:$AW$699,25,FALSE)="","",VLOOKUP($A32,Sheet1!$A$3:$AW$699,25,FALSE))</f>
        <v>IO</v>
      </c>
      <c r="D32" s="142">
        <f>IF(VLOOKUP($A32,Sheet1!$A$3:$AW$699,15,FALSE)="","",VLOOKUP($A32,Sheet1!$A$3:$AW$699,15,FALSE))</f>
        <v>0</v>
      </c>
      <c r="E32" s="142">
        <f>IF(VLOOKUP($A32,Sheet1!$A$3:$AW$699,16,FALSE)="","",VLOOKUP($A32,Sheet1!$A$3:$AW$699,16,FALSE))</f>
        <v>1</v>
      </c>
      <c r="F32" s="142">
        <f>IF(VLOOKUP($A32,Sheet1!$A$3:$AW$699,17,FALSE)="","",VLOOKUP($A32,Sheet1!$A$3:$AW$699,17,FALSE))</f>
        <v>0</v>
      </c>
      <c r="G32" s="142" t="str">
        <f>IF(VLOOKUP($A32,Sheet1!$A$3:$AW$699,18,FALSE)="","",VLOOKUP($A32,Sheet1!$A$3:$AW$699,18,FALSE))</f>
        <v/>
      </c>
      <c r="H32" s="142" t="str">
        <f>IF(VLOOKUP($A32,Sheet1!$A$3:$AW$699,19,FALSE)="","",VLOOKUP($A32,Sheet1!$A$3:$AW$699,19,FALSE))</f>
        <v/>
      </c>
      <c r="I32" s="9" t="str">
        <f>IF(VLOOKUP($A32,Sheet1!$A$3:$AW$699,5,FALSE)="","",VLOOKUP($A32,Sheet1!$A$3:$AW$699,5,FALSE))</f>
        <v>SINT</v>
      </c>
      <c r="J32" s="9" t="s">
        <v>142</v>
      </c>
      <c r="K32" s="9" t="s">
        <v>115</v>
      </c>
      <c r="L32" s="146" t="str">
        <f>IF(VLOOKUP($A32,Sheet1!$A$3:$AW$699,7,FALSE)="★","x","")</f>
        <v>x</v>
      </c>
      <c r="M32" s="146" t="str">
        <f>IF(VLOOKUP($A32,Sheet1!$A$3:$AW$699,8,FALSE)="▲","x","")</f>
        <v/>
      </c>
      <c r="N32" s="146" t="str">
        <f>IF(VLOOKUP($A32,Sheet1!$A$3:$AW$699,9,FALSE)="●","x","")</f>
        <v/>
      </c>
      <c r="O32" s="146" t="str">
        <f>IF(VLOOKUP($A32,Sheet1!$A$3:$AW$699,10,FALSE)="■","x","")</f>
        <v/>
      </c>
      <c r="P32" s="9" t="str">
        <f>IF(VLOOKUP($A32,Sheet1!$A$3:$AW$699,2,FALSE)="","",VLOOKUP($A32,Sheet1!$A$3:$AW$699,2,FALSE))</f>
        <v/>
      </c>
    </row>
    <row r="33" spans="1:16" ht="91.8" x14ac:dyDescent="0.3">
      <c r="A33" s="9">
        <v>42</v>
      </c>
      <c r="B33" s="9" t="str">
        <f>IF(VLOOKUP($A33,Sheet1!$A$3:$AW$699,20,FALSE)="","",VLOOKUP($A33,Sheet1!$A$3:$AW$699,20,FALSE))</f>
        <v>OperatingModeState</v>
      </c>
      <c r="C33" s="9" t="str">
        <f>IF(VLOOKUP($A33,Sheet1!$A$3:$AW$699,25,FALSE)="","",VLOOKUP($A33,Sheet1!$A$3:$AW$699,25,FALSE))</f>
        <v>IO</v>
      </c>
      <c r="D33" s="142">
        <f>IF(VLOOKUP($A33,Sheet1!$A$3:$AW$699,15,FALSE)="","",VLOOKUP($A33,Sheet1!$A$3:$AW$699,15,FALSE))</f>
        <v>0</v>
      </c>
      <c r="E33" s="142">
        <f>IF(VLOOKUP($A33,Sheet1!$A$3:$AW$699,16,FALSE)="","",VLOOKUP($A33,Sheet1!$A$3:$AW$699,16,FALSE))</f>
        <v>6</v>
      </c>
      <c r="F33" s="142">
        <f>IF(VLOOKUP($A33,Sheet1!$A$3:$AW$699,17,FALSE)="","",VLOOKUP($A33,Sheet1!$A$3:$AW$699,17,FALSE))</f>
        <v>0</v>
      </c>
      <c r="G33" s="142" t="str">
        <f>IF(VLOOKUP($A33,Sheet1!$A$3:$AW$699,18,FALSE)="","",VLOOKUP($A33,Sheet1!$A$3:$AW$699,18,FALSE))</f>
        <v/>
      </c>
      <c r="H33" s="142" t="str">
        <f>IF(VLOOKUP($A33,Sheet1!$A$3:$AW$699,19,FALSE)="","",VLOOKUP($A33,Sheet1!$A$3:$AW$699,19,FALSE))</f>
        <v/>
      </c>
      <c r="I33" s="9" t="str">
        <f>IF(VLOOKUP($A33,Sheet1!$A$3:$AW$699,5,FALSE)="","",VLOOKUP($A33,Sheet1!$A$3:$AW$699,5,FALSE))</f>
        <v>SINT</v>
      </c>
      <c r="J33" s="9" t="s">
        <v>143</v>
      </c>
      <c r="K33" s="9" t="s">
        <v>115</v>
      </c>
      <c r="L33" s="146" t="str">
        <f>IF(VLOOKUP($A33,Sheet1!$A$3:$AW$699,7,FALSE)="★","x","")</f>
        <v>x</v>
      </c>
      <c r="M33" s="146" t="str">
        <f>IF(VLOOKUP($A33,Sheet1!$A$3:$AW$699,8,FALSE)="▲","x","")</f>
        <v/>
      </c>
      <c r="N33" s="146" t="str">
        <f>IF(VLOOKUP($A33,Sheet1!$A$3:$AW$699,9,FALSE)="●","x","")</f>
        <v/>
      </c>
      <c r="O33" s="146" t="str">
        <f>IF(VLOOKUP($A33,Sheet1!$A$3:$AW$699,10,FALSE)="■","x","")</f>
        <v/>
      </c>
      <c r="P33" s="9" t="str">
        <f>IF(VLOOKUP($A33,Sheet1!$A$3:$AW$699,2,FALSE)="","",VLOOKUP($A33,Sheet1!$A$3:$AW$699,2,FALSE))</f>
        <v/>
      </c>
    </row>
    <row r="34" spans="1:16" ht="51" x14ac:dyDescent="0.3">
      <c r="A34" s="9">
        <v>43</v>
      </c>
      <c r="B34" s="9" t="str">
        <f>IF(VLOOKUP($A34,Sheet1!$A$3:$AW$699,20,FALSE)="","",VLOOKUP($A34,Sheet1!$A$3:$AW$699,20,FALSE))</f>
        <v>AtReference</v>
      </c>
      <c r="C34" s="9" t="str">
        <f>IF(VLOOKUP($A34,Sheet1!$A$3:$AW$699,25,FALSE)="","",VLOOKUP($A34,Sheet1!$A$3:$AW$699,25,FALSE))</f>
        <v>IO</v>
      </c>
      <c r="D34" s="142">
        <f>IF(VLOOKUP($A34,Sheet1!$A$3:$AW$699,15,FALSE)="","",VLOOKUP($A34,Sheet1!$A$3:$AW$699,15,FALSE))</f>
        <v>0</v>
      </c>
      <c r="E34" s="142">
        <f>IF(VLOOKUP($A34,Sheet1!$A$3:$AW$699,16,FALSE)="","",VLOOKUP($A34,Sheet1!$A$3:$AW$699,16,FALSE))</f>
        <v>1</v>
      </c>
      <c r="F34" s="142">
        <f>IF(VLOOKUP($A34,Sheet1!$A$3:$AW$699,17,FALSE)="","",VLOOKUP($A34,Sheet1!$A$3:$AW$699,17,FALSE))</f>
        <v>0</v>
      </c>
      <c r="G34" s="142" t="str">
        <f>IF(VLOOKUP($A34,Sheet1!$A$3:$AW$699,18,FALSE)="","",VLOOKUP($A34,Sheet1!$A$3:$AW$699,18,FALSE))</f>
        <v/>
      </c>
      <c r="H34" s="142" t="str">
        <f>IF(VLOOKUP($A34,Sheet1!$A$3:$AW$699,19,FALSE)="","",VLOOKUP($A34,Sheet1!$A$3:$AW$699,19,FALSE))</f>
        <v/>
      </c>
      <c r="I34" s="9" t="str">
        <f>IF(VLOOKUP($A34,Sheet1!$A$3:$AW$699,5,FALSE)="","",VLOOKUP($A34,Sheet1!$A$3:$AW$699,5,FALSE))</f>
        <v>BOOL</v>
      </c>
      <c r="J34" s="9" t="s">
        <v>144</v>
      </c>
      <c r="K34" s="9" t="s">
        <v>115</v>
      </c>
      <c r="L34" s="146" t="str">
        <f>IF(VLOOKUP($A34,Sheet1!$A$3:$AW$699,7,FALSE)="★","x","")</f>
        <v>x</v>
      </c>
      <c r="M34" s="146" t="str">
        <f>IF(VLOOKUP($A34,Sheet1!$A$3:$AW$699,8,FALSE)="▲","x","")</f>
        <v/>
      </c>
      <c r="N34" s="146" t="str">
        <f>IF(VLOOKUP($A34,Sheet1!$A$3:$AW$699,9,FALSE)="●","x","")</f>
        <v/>
      </c>
      <c r="O34" s="146" t="str">
        <f>IF(VLOOKUP($A34,Sheet1!$A$3:$AW$699,10,FALSE)="■","x","")</f>
        <v/>
      </c>
      <c r="P34" s="9" t="str">
        <f>IF(VLOOKUP($A34,Sheet1!$A$3:$AW$699,2,FALSE)="","",VLOOKUP($A34,Sheet1!$A$3:$AW$699,2,FALSE))</f>
        <v/>
      </c>
    </row>
    <row r="35" spans="1:16" ht="30.6" x14ac:dyDescent="0.3">
      <c r="A35" s="9">
        <v>44</v>
      </c>
      <c r="B35" s="9" t="str">
        <f>IF(VLOOKUP($A35,Sheet1!$A$3:$AW$699,20,FALSE)="","",VLOOKUP($A35,Sheet1!$A$3:$AW$699,20,FALSE))</f>
        <v>Ready</v>
      </c>
      <c r="C35" s="9" t="str">
        <f>IF(VLOOKUP($A35,Sheet1!$A$3:$AW$699,25,FALSE)="","",VLOOKUP($A35,Sheet1!$A$3:$AW$699,25,FALSE))</f>
        <v>IO</v>
      </c>
      <c r="D35" s="142">
        <f>IF(VLOOKUP($A35,Sheet1!$A$3:$AW$699,15,FALSE)="","",VLOOKUP($A35,Sheet1!$A$3:$AW$699,15,FALSE))</f>
        <v>0</v>
      </c>
      <c r="E35" s="142">
        <f>IF(VLOOKUP($A35,Sheet1!$A$3:$AW$699,16,FALSE)="","",VLOOKUP($A35,Sheet1!$A$3:$AW$699,16,FALSE))</f>
        <v>1</v>
      </c>
      <c r="F35" s="142">
        <f>IF(VLOOKUP($A35,Sheet1!$A$3:$AW$699,17,FALSE)="","",VLOOKUP($A35,Sheet1!$A$3:$AW$699,17,FALSE))</f>
        <v>0</v>
      </c>
      <c r="G35" s="142" t="str">
        <f>IF(VLOOKUP($A35,Sheet1!$A$3:$AW$699,18,FALSE)="","",VLOOKUP($A35,Sheet1!$A$3:$AW$699,18,FALSE))</f>
        <v/>
      </c>
      <c r="H35" s="142" t="str">
        <f>IF(VLOOKUP($A35,Sheet1!$A$3:$AW$699,19,FALSE)="","",VLOOKUP($A35,Sheet1!$A$3:$AW$699,19,FALSE))</f>
        <v/>
      </c>
      <c r="I35" s="9" t="str">
        <f>IF(VLOOKUP($A35,Sheet1!$A$3:$AW$699,5,FALSE)="","",VLOOKUP($A35,Sheet1!$A$3:$AW$699,5,FALSE))</f>
        <v>BOOL</v>
      </c>
      <c r="J35" s="9" t="s">
        <v>145</v>
      </c>
      <c r="K35" s="9" t="s">
        <v>115</v>
      </c>
      <c r="L35" s="146" t="str">
        <f>IF(VLOOKUP($A35,Sheet1!$A$3:$AW$699,7,FALSE)="★","x","")</f>
        <v>x</v>
      </c>
      <c r="M35" s="146" t="str">
        <f>IF(VLOOKUP($A35,Sheet1!$A$3:$AW$699,8,FALSE)="▲","x","")</f>
        <v/>
      </c>
      <c r="N35" s="146" t="str">
        <f>IF(VLOOKUP($A35,Sheet1!$A$3:$AW$699,9,FALSE)="●","x","")</f>
        <v/>
      </c>
      <c r="O35" s="146" t="str">
        <f>IF(VLOOKUP($A35,Sheet1!$A$3:$AW$699,10,FALSE)="■","x","")</f>
        <v/>
      </c>
      <c r="P35" s="9" t="str">
        <f>IF(VLOOKUP($A35,Sheet1!$A$3:$AW$699,2,FALSE)="","",VLOOKUP($A35,Sheet1!$A$3:$AW$699,2,FALSE))</f>
        <v/>
      </c>
    </row>
    <row r="36" spans="1:16" ht="40.799999999999997" x14ac:dyDescent="0.3">
      <c r="A36" s="9">
        <v>45</v>
      </c>
      <c r="B36" s="9" t="str">
        <f>IF(VLOOKUP($A36,Sheet1!$A$3:$AW$699,20,FALSE)="","",VLOOKUP($A36,Sheet1!$A$3:$AW$699,20,FALSE))</f>
        <v>Active</v>
      </c>
      <c r="C36" s="9" t="str">
        <f>IF(VLOOKUP($A36,Sheet1!$A$3:$AW$699,25,FALSE)="","",VLOOKUP($A36,Sheet1!$A$3:$AW$699,25,FALSE))</f>
        <v>IO</v>
      </c>
      <c r="D36" s="142">
        <f>IF(VLOOKUP($A36,Sheet1!$A$3:$AW$699,15,FALSE)="","",VLOOKUP($A36,Sheet1!$A$3:$AW$699,15,FALSE))</f>
        <v>0</v>
      </c>
      <c r="E36" s="142">
        <f>IF(VLOOKUP($A36,Sheet1!$A$3:$AW$699,16,FALSE)="","",VLOOKUP($A36,Sheet1!$A$3:$AW$699,16,FALSE))</f>
        <v>1</v>
      </c>
      <c r="F36" s="142">
        <f>IF(VLOOKUP($A36,Sheet1!$A$3:$AW$699,17,FALSE)="","",VLOOKUP($A36,Sheet1!$A$3:$AW$699,17,FALSE))</f>
        <v>0</v>
      </c>
      <c r="G36" s="142" t="str">
        <f>IF(VLOOKUP($A36,Sheet1!$A$3:$AW$699,18,FALSE)="","",VLOOKUP($A36,Sheet1!$A$3:$AW$699,18,FALSE))</f>
        <v/>
      </c>
      <c r="H36" s="142" t="str">
        <f>IF(VLOOKUP($A36,Sheet1!$A$3:$AW$699,19,FALSE)="","",VLOOKUP($A36,Sheet1!$A$3:$AW$699,19,FALSE))</f>
        <v/>
      </c>
      <c r="I36" s="9" t="str">
        <f>IF(VLOOKUP($A36,Sheet1!$A$3:$AW$699,5,FALSE)="","",VLOOKUP($A36,Sheet1!$A$3:$AW$699,5,FALSE))</f>
        <v>BOOL</v>
      </c>
      <c r="J36" s="9" t="s">
        <v>146</v>
      </c>
      <c r="K36" s="9" t="s">
        <v>115</v>
      </c>
      <c r="L36" s="146" t="str">
        <f>IF(VLOOKUP($A36,Sheet1!$A$3:$AW$699,7,FALSE)="★","x","")</f>
        <v>x</v>
      </c>
      <c r="M36" s="146" t="str">
        <f>IF(VLOOKUP($A36,Sheet1!$A$3:$AW$699,8,FALSE)="▲","x","")</f>
        <v/>
      </c>
      <c r="N36" s="146" t="str">
        <f>IF(VLOOKUP($A36,Sheet1!$A$3:$AW$699,9,FALSE)="●","x","")</f>
        <v/>
      </c>
      <c r="O36" s="146" t="str">
        <f>IF(VLOOKUP($A36,Sheet1!$A$3:$AW$699,10,FALSE)="■","x","")</f>
        <v/>
      </c>
      <c r="P36" s="9" t="str">
        <f>IF(VLOOKUP($A36,Sheet1!$A$3:$AW$699,2,FALSE)="","",VLOOKUP($A36,Sheet1!$A$3:$AW$699,2,FALSE))</f>
        <v/>
      </c>
    </row>
    <row r="37" spans="1:16" ht="40.799999999999997" x14ac:dyDescent="0.3">
      <c r="A37" s="9">
        <v>46</v>
      </c>
      <c r="B37" s="9" t="str">
        <f>IF(VLOOKUP($A37,Sheet1!$A$3:$AW$699,20,FALSE)="","",VLOOKUP($A37,Sheet1!$A$3:$AW$699,20,FALSE))</f>
        <v>WarningPresent</v>
      </c>
      <c r="C37" s="9" t="str">
        <f>IF(VLOOKUP($A37,Sheet1!$A$3:$AW$699,25,FALSE)="","",VLOOKUP($A37,Sheet1!$A$3:$AW$699,25,FALSE))</f>
        <v>IO</v>
      </c>
      <c r="D37" s="142">
        <f>IF(VLOOKUP($A37,Sheet1!$A$3:$AW$699,15,FALSE)="","",VLOOKUP($A37,Sheet1!$A$3:$AW$699,15,FALSE))</f>
        <v>0</v>
      </c>
      <c r="E37" s="142">
        <f>IF(VLOOKUP($A37,Sheet1!$A$3:$AW$699,16,FALSE)="","",VLOOKUP($A37,Sheet1!$A$3:$AW$699,16,FALSE))</f>
        <v>1</v>
      </c>
      <c r="F37" s="142">
        <f>IF(VLOOKUP($A37,Sheet1!$A$3:$AW$699,17,FALSE)="","",VLOOKUP($A37,Sheet1!$A$3:$AW$699,17,FALSE))</f>
        <v>0</v>
      </c>
      <c r="G37" s="142" t="str">
        <f>IF(VLOOKUP($A37,Sheet1!$A$3:$AW$699,18,FALSE)="","",VLOOKUP($A37,Sheet1!$A$3:$AW$699,18,FALSE))</f>
        <v/>
      </c>
      <c r="H37" s="142" t="str">
        <f>IF(VLOOKUP($A37,Sheet1!$A$3:$AW$699,19,FALSE)="","",VLOOKUP($A37,Sheet1!$A$3:$AW$699,19,FALSE))</f>
        <v/>
      </c>
      <c r="I37" s="9" t="str">
        <f>IF(VLOOKUP($A37,Sheet1!$A$3:$AW$699,5,FALSE)="","",VLOOKUP($A37,Sheet1!$A$3:$AW$699,5,FALSE))</f>
        <v>BOOL</v>
      </c>
      <c r="J37" s="9" t="s">
        <v>147</v>
      </c>
      <c r="K37" s="9" t="s">
        <v>115</v>
      </c>
      <c r="L37" s="146" t="str">
        <f>IF(VLOOKUP($A37,Sheet1!$A$3:$AW$699,7,FALSE)="★","x","")</f>
        <v>x</v>
      </c>
      <c r="M37" s="146" t="str">
        <f>IF(VLOOKUP($A37,Sheet1!$A$3:$AW$699,8,FALSE)="▲","x","")</f>
        <v/>
      </c>
      <c r="N37" s="146" t="str">
        <f>IF(VLOOKUP($A37,Sheet1!$A$3:$AW$699,9,FALSE)="●","x","")</f>
        <v/>
      </c>
      <c r="O37" s="146" t="str">
        <f>IF(VLOOKUP($A37,Sheet1!$A$3:$AW$699,10,FALSE)="■","x","")</f>
        <v/>
      </c>
      <c r="P37" s="9" t="str">
        <f>IF(VLOOKUP($A37,Sheet1!$A$3:$AW$699,2,FALSE)="","",VLOOKUP($A37,Sheet1!$A$3:$AW$699,2,FALSE))</f>
        <v/>
      </c>
    </row>
    <row r="38" spans="1:16" ht="40.799999999999997" x14ac:dyDescent="0.3">
      <c r="A38" s="9">
        <v>47</v>
      </c>
      <c r="B38" s="9" t="str">
        <f>IF(VLOOKUP($A38,Sheet1!$A$3:$AW$699,20,FALSE)="","",VLOOKUP($A38,Sheet1!$A$3:$AW$699,20,FALSE))</f>
        <v>Fault</v>
      </c>
      <c r="C38" s="9" t="str">
        <f>IF(VLOOKUP($A38,Sheet1!$A$3:$AW$699,25,FALSE)="","",VLOOKUP($A38,Sheet1!$A$3:$AW$699,25,FALSE))</f>
        <v>IO</v>
      </c>
      <c r="D38" s="142">
        <f>IF(VLOOKUP($A38,Sheet1!$A$3:$AW$699,15,FALSE)="","",VLOOKUP($A38,Sheet1!$A$3:$AW$699,15,FALSE))</f>
        <v>0</v>
      </c>
      <c r="E38" s="142">
        <f>IF(VLOOKUP($A38,Sheet1!$A$3:$AW$699,16,FALSE)="","",VLOOKUP($A38,Sheet1!$A$3:$AW$699,16,FALSE))</f>
        <v>1</v>
      </c>
      <c r="F38" s="142">
        <f>IF(VLOOKUP($A38,Sheet1!$A$3:$AW$699,17,FALSE)="","",VLOOKUP($A38,Sheet1!$A$3:$AW$699,17,FALSE))</f>
        <v>0</v>
      </c>
      <c r="G38" s="142" t="str">
        <f>IF(VLOOKUP($A38,Sheet1!$A$3:$AW$699,18,FALSE)="","",VLOOKUP($A38,Sheet1!$A$3:$AW$699,18,FALSE))</f>
        <v/>
      </c>
      <c r="H38" s="142" t="str">
        <f>IF(VLOOKUP($A38,Sheet1!$A$3:$AW$699,19,FALSE)="","",VLOOKUP($A38,Sheet1!$A$3:$AW$699,19,FALSE))</f>
        <v/>
      </c>
      <c r="I38" s="9" t="str">
        <f>IF(VLOOKUP($A38,Sheet1!$A$3:$AW$699,5,FALSE)="","",VLOOKUP($A38,Sheet1!$A$3:$AW$699,5,FALSE))</f>
        <v>BOOL</v>
      </c>
      <c r="J38" s="9" t="s">
        <v>148</v>
      </c>
      <c r="K38" s="9" t="s">
        <v>115</v>
      </c>
      <c r="L38" s="146" t="str">
        <f>IF(VLOOKUP($A38,Sheet1!$A$3:$AW$699,7,FALSE)="★","x","")</f>
        <v>x</v>
      </c>
      <c r="M38" s="146" t="str">
        <f>IF(VLOOKUP($A38,Sheet1!$A$3:$AW$699,8,FALSE)="▲","x","")</f>
        <v/>
      </c>
      <c r="N38" s="146" t="str">
        <f>IF(VLOOKUP($A38,Sheet1!$A$3:$AW$699,9,FALSE)="●","x","")</f>
        <v/>
      </c>
      <c r="O38" s="146" t="str">
        <f>IF(VLOOKUP($A38,Sheet1!$A$3:$AW$699,10,FALSE)="■","x","")</f>
        <v/>
      </c>
      <c r="P38" s="9" t="str">
        <f>IF(VLOOKUP($A38,Sheet1!$A$3:$AW$699,2,FALSE)="","",VLOOKUP($A38,Sheet1!$A$3:$AW$699,2,FALSE))</f>
        <v/>
      </c>
    </row>
    <row r="39" spans="1:16" ht="40.799999999999997" x14ac:dyDescent="0.3">
      <c r="A39" s="9">
        <v>48</v>
      </c>
      <c r="B39" s="9" t="str">
        <f>IF(VLOOKUP($A39,Sheet1!$A$3:$AW$699,20,FALSE)="","",VLOOKUP($A39,Sheet1!$A$3:$AW$699,20,FALSE))</f>
        <v>Stopped</v>
      </c>
      <c r="C39" s="9" t="str">
        <f>IF(VLOOKUP($A39,Sheet1!$A$3:$AW$699,25,FALSE)="","",VLOOKUP($A39,Sheet1!$A$3:$AW$699,25,FALSE))</f>
        <v>IO</v>
      </c>
      <c r="D39" s="142">
        <f>IF(VLOOKUP($A39,Sheet1!$A$3:$AW$699,15,FALSE)="","",VLOOKUP($A39,Sheet1!$A$3:$AW$699,15,FALSE))</f>
        <v>0</v>
      </c>
      <c r="E39" s="142">
        <f>IF(VLOOKUP($A39,Sheet1!$A$3:$AW$699,16,FALSE)="","",VLOOKUP($A39,Sheet1!$A$3:$AW$699,16,FALSE))</f>
        <v>1</v>
      </c>
      <c r="F39" s="142">
        <f>IF(VLOOKUP($A39,Sheet1!$A$3:$AW$699,17,FALSE)="","",VLOOKUP($A39,Sheet1!$A$3:$AW$699,17,FALSE))</f>
        <v>0</v>
      </c>
      <c r="G39" s="142" t="str">
        <f>IF(VLOOKUP($A39,Sheet1!$A$3:$AW$699,18,FALSE)="","",VLOOKUP($A39,Sheet1!$A$3:$AW$699,18,FALSE))</f>
        <v/>
      </c>
      <c r="H39" s="142" t="str">
        <f>IF(VLOOKUP($A39,Sheet1!$A$3:$AW$699,19,FALSE)="","",VLOOKUP($A39,Sheet1!$A$3:$AW$699,19,FALSE))</f>
        <v/>
      </c>
      <c r="I39" s="9" t="str">
        <f>IF(VLOOKUP($A39,Sheet1!$A$3:$AW$699,5,FALSE)="","",VLOOKUP($A39,Sheet1!$A$3:$AW$699,5,FALSE))</f>
        <v>BOOL</v>
      </c>
      <c r="J39" s="9" t="s">
        <v>149</v>
      </c>
      <c r="K39" s="9" t="s">
        <v>115</v>
      </c>
      <c r="L39" s="146" t="str">
        <f>IF(VLOOKUP($A39,Sheet1!$A$3:$AW$699,7,FALSE)="★","x","")</f>
        <v>x</v>
      </c>
      <c r="M39" s="146" t="str">
        <f>IF(VLOOKUP($A39,Sheet1!$A$3:$AW$699,8,FALSE)="▲","x","")</f>
        <v/>
      </c>
      <c r="N39" s="146" t="str">
        <f>IF(VLOOKUP($A39,Sheet1!$A$3:$AW$699,9,FALSE)="●","x","")</f>
        <v/>
      </c>
      <c r="O39" s="146" t="str">
        <f>IF(VLOOKUP($A39,Sheet1!$A$3:$AW$699,10,FALSE)="■","x","")</f>
        <v/>
      </c>
      <c r="P39" s="9" t="str">
        <f>IF(VLOOKUP($A39,Sheet1!$A$3:$AW$699,2,FALSE)="","",VLOOKUP($A39,Sheet1!$A$3:$AW$699,2,FALSE))</f>
        <v/>
      </c>
    </row>
    <row r="40" spans="1:16" ht="81.599999999999994" x14ac:dyDescent="0.3">
      <c r="A40" s="9">
        <v>49</v>
      </c>
      <c r="B40" s="9" t="str">
        <f>IF(VLOOKUP($A40,Sheet1!$A$3:$AW$699,20,FALSE)="","",VLOOKUP($A40,Sheet1!$A$3:$AW$699,20,FALSE))</f>
        <v>FaultCode</v>
      </c>
      <c r="C40" s="9" t="str">
        <f>IF(VLOOKUP($A40,Sheet1!$A$3:$AW$699,25,FALSE)="","",VLOOKUP($A40,Sheet1!$A$3:$AW$699,25,FALSE))</f>
        <v>IO</v>
      </c>
      <c r="D40" s="142">
        <f>IF(VLOOKUP($A40,Sheet1!$A$3:$AW$699,15,FALSE)="","",VLOOKUP($A40,Sheet1!$A$3:$AW$699,15,FALSE))</f>
        <v>0</v>
      </c>
      <c r="E40" s="142">
        <f>IF(VLOOKUP($A40,Sheet1!$A$3:$AW$699,16,FALSE)="","",VLOOKUP($A40,Sheet1!$A$3:$AW$699,16,FALSE))</f>
        <v>32767</v>
      </c>
      <c r="F40" s="142">
        <f>IF(VLOOKUP($A40,Sheet1!$A$3:$AW$699,17,FALSE)="","",VLOOKUP($A40,Sheet1!$A$3:$AW$699,17,FALSE))</f>
        <v>0</v>
      </c>
      <c r="G40" s="142" t="str">
        <f>IF(VLOOKUP($A40,Sheet1!$A$3:$AW$699,18,FALSE)="","",VLOOKUP($A40,Sheet1!$A$3:$AW$699,18,FALSE))</f>
        <v/>
      </c>
      <c r="H40" s="142" t="str">
        <f>IF(VLOOKUP($A40,Sheet1!$A$3:$AW$699,19,FALSE)="","",VLOOKUP($A40,Sheet1!$A$3:$AW$699,19,FALSE))</f>
        <v/>
      </c>
      <c r="I40" s="9" t="str">
        <f>IF(VLOOKUP($A40,Sheet1!$A$3:$AW$699,5,FALSE)="","",VLOOKUP($A40,Sheet1!$A$3:$AW$699,5,FALSE))</f>
        <v>INT</v>
      </c>
      <c r="J40" s="11" t="s">
        <v>150</v>
      </c>
      <c r="K40" s="9" t="s">
        <v>115</v>
      </c>
      <c r="L40" s="146" t="str">
        <f>IF(VLOOKUP($A40,Sheet1!$A$3:$AW$699,7,FALSE)="★","x","")</f>
        <v>x</v>
      </c>
      <c r="M40" s="146" t="str">
        <f>IF(VLOOKUP($A40,Sheet1!$A$3:$AW$699,8,FALSE)="▲","x","")</f>
        <v/>
      </c>
      <c r="N40" s="146" t="str">
        <f>IF(VLOOKUP($A40,Sheet1!$A$3:$AW$699,9,FALSE)="●","x","")</f>
        <v/>
      </c>
      <c r="O40" s="146" t="str">
        <f>IF(VLOOKUP($A40,Sheet1!$A$3:$AW$699,10,FALSE)="■","x","")</f>
        <v/>
      </c>
      <c r="P40" s="9" t="str">
        <f>IF(VLOOKUP($A40,Sheet1!$A$3:$AW$699,2,FALSE)="","",VLOOKUP($A40,Sheet1!$A$3:$AW$699,2,FALSE))</f>
        <v/>
      </c>
    </row>
    <row r="41" spans="1:16" ht="81.599999999999994" x14ac:dyDescent="0.3">
      <c r="A41" s="9">
        <v>50</v>
      </c>
      <c r="B41" s="9" t="str">
        <f>IF(VLOOKUP($A41,Sheet1!$A$3:$AW$699,20,FALSE)="","",VLOOKUP($A41,Sheet1!$A$3:$AW$699,20,FALSE))</f>
        <v>WarningCode</v>
      </c>
      <c r="C41" s="9" t="str">
        <f>IF(VLOOKUP($A41,Sheet1!$A$3:$AW$699,25,FALSE)="","",VLOOKUP($A41,Sheet1!$A$3:$AW$699,25,FALSE))</f>
        <v>IO</v>
      </c>
      <c r="D41" s="142">
        <f>IF(VLOOKUP($A41,Sheet1!$A$3:$AW$699,15,FALSE)="","",VLOOKUP($A41,Sheet1!$A$3:$AW$699,15,FALSE))</f>
        <v>0</v>
      </c>
      <c r="E41" s="142">
        <f>IF(VLOOKUP($A41,Sheet1!$A$3:$AW$699,16,FALSE)="","",VLOOKUP($A41,Sheet1!$A$3:$AW$699,16,FALSE))</f>
        <v>32767</v>
      </c>
      <c r="F41" s="142">
        <f>IF(VLOOKUP($A41,Sheet1!$A$3:$AW$699,17,FALSE)="","",VLOOKUP($A41,Sheet1!$A$3:$AW$699,17,FALSE))</f>
        <v>0</v>
      </c>
      <c r="G41" s="142" t="str">
        <f>IF(VLOOKUP($A41,Sheet1!$A$3:$AW$699,18,FALSE)="","",VLOOKUP($A41,Sheet1!$A$3:$AW$699,18,FALSE))</f>
        <v/>
      </c>
      <c r="H41" s="142" t="str">
        <f>IF(VLOOKUP($A41,Sheet1!$A$3:$AW$699,19,FALSE)="","",VLOOKUP($A41,Sheet1!$A$3:$AW$699,19,FALSE))</f>
        <v/>
      </c>
      <c r="I41" s="9" t="str">
        <f>IF(VLOOKUP($A41,Sheet1!$A$3:$AW$699,5,FALSE)="","",VLOOKUP($A41,Sheet1!$A$3:$AW$699,5,FALSE))</f>
        <v>INT</v>
      </c>
      <c r="J41" s="11" t="s">
        <v>151</v>
      </c>
      <c r="K41" s="9" t="s">
        <v>115</v>
      </c>
      <c r="L41" s="146" t="str">
        <f>IF(VLOOKUP($A41,Sheet1!$A$3:$AW$699,7,FALSE)="★","x","")</f>
        <v>x</v>
      </c>
      <c r="M41" s="146" t="str">
        <f>IF(VLOOKUP($A41,Sheet1!$A$3:$AW$699,8,FALSE)="▲","x","")</f>
        <v/>
      </c>
      <c r="N41" s="146" t="str">
        <f>IF(VLOOKUP($A41,Sheet1!$A$3:$AW$699,9,FALSE)="●","x","")</f>
        <v/>
      </c>
      <c r="O41" s="146" t="str">
        <f>IF(VLOOKUP($A41,Sheet1!$A$3:$AW$699,10,FALSE)="■","x","")</f>
        <v/>
      </c>
      <c r="P41" s="9" t="str">
        <f>IF(VLOOKUP($A41,Sheet1!$A$3:$AW$699,2,FALSE)="","",VLOOKUP($A41,Sheet1!$A$3:$AW$699,2,FALSE))</f>
        <v/>
      </c>
    </row>
    <row r="42" spans="1:16" ht="20.399999999999999" x14ac:dyDescent="0.3">
      <c r="A42" s="9">
        <v>51</v>
      </c>
      <c r="B42" s="9" t="str">
        <f>IF(VLOOKUP($A42,Sheet1!$A$3:$AW$699,20,FALSE)="","",VLOOKUP($A42,Sheet1!$A$3:$AW$699,20,FALSE))</f>
        <v>ActualPosition</v>
      </c>
      <c r="C42" s="9" t="str">
        <f>IF(VLOOKUP($A42,Sheet1!$A$3:$AW$699,25,FALSE)="","",VLOOKUP($A42,Sheet1!$A$3:$AW$699,25,FALSE))</f>
        <v>IO</v>
      </c>
      <c r="D42" s="142">
        <f>IF(VLOOKUP($A42,Sheet1!$A$3:$AW$699,15,FALSE)="","",VLOOKUP($A42,Sheet1!$A$3:$AW$699,15,FALSE))</f>
        <v>-2147483648</v>
      </c>
      <c r="E42" s="142">
        <f>IF(VLOOKUP($A42,Sheet1!$A$3:$AW$699,16,FALSE)="","",VLOOKUP($A42,Sheet1!$A$3:$AW$699,16,FALSE))</f>
        <v>2147483647</v>
      </c>
      <c r="F42" s="142">
        <f>IF(VLOOKUP($A42,Sheet1!$A$3:$AW$699,17,FALSE)="","",VLOOKUP($A42,Sheet1!$A$3:$AW$699,17,FALSE))</f>
        <v>0</v>
      </c>
      <c r="G42" s="142" t="str">
        <f>IF(VLOOKUP($A42,Sheet1!$A$3:$AW$699,18,FALSE)="","",VLOOKUP($A42,Sheet1!$A$3:$AW$699,18,FALSE))</f>
        <v/>
      </c>
      <c r="H42" s="142" t="str">
        <f>IF(VLOOKUP($A42,Sheet1!$A$3:$AW$699,19,FALSE)="","",VLOOKUP($A42,Sheet1!$A$3:$AW$699,19,FALSE))</f>
        <v>PUU</v>
      </c>
      <c r="I42" s="9" t="str">
        <f>IF(VLOOKUP($A42,Sheet1!$A$3:$AW$699,5,FALSE)="","",VLOOKUP($A42,Sheet1!$A$3:$AW$699,5,FALSE))</f>
        <v>DINT</v>
      </c>
      <c r="J42" s="9" t="s">
        <v>152</v>
      </c>
      <c r="K42" s="9" t="s">
        <v>115</v>
      </c>
      <c r="L42" s="146" t="str">
        <f>IF(VLOOKUP($A42,Sheet1!$A$3:$AW$699,7,FALSE)="★","x","")</f>
        <v>x</v>
      </c>
      <c r="M42" s="146" t="str">
        <f>IF(VLOOKUP($A42,Sheet1!$A$3:$AW$699,8,FALSE)="▲","x","")</f>
        <v/>
      </c>
      <c r="N42" s="146" t="str">
        <f>IF(VLOOKUP($A42,Sheet1!$A$3:$AW$699,9,FALSE)="●","x","")</f>
        <v/>
      </c>
      <c r="O42" s="146" t="str">
        <f>IF(VLOOKUP($A42,Sheet1!$A$3:$AW$699,10,FALSE)="■","x","")</f>
        <v/>
      </c>
      <c r="P42" s="9" t="str">
        <f>IF(VLOOKUP($A42,Sheet1!$A$3:$AW$699,2,FALSE)="","",VLOOKUP($A42,Sheet1!$A$3:$AW$699,2,FALSE))</f>
        <v/>
      </c>
    </row>
    <row r="43" spans="1:16" ht="20.399999999999999" x14ac:dyDescent="0.3">
      <c r="A43" s="9">
        <v>52</v>
      </c>
      <c r="B43" s="9" t="str">
        <f>IF(VLOOKUP($A43,Sheet1!$A$3:$AW$699,20,FALSE)="","",VLOOKUP($A43,Sheet1!$A$3:$AW$699,20,FALSE))</f>
        <v>ActualSpeed</v>
      </c>
      <c r="C43" s="9" t="str">
        <f>IF(VLOOKUP($A43,Sheet1!$A$3:$AW$699,25,FALSE)="","",VLOOKUP($A43,Sheet1!$A$3:$AW$699,25,FALSE))</f>
        <v>IO</v>
      </c>
      <c r="D43" s="142">
        <f>IF(VLOOKUP($A43,Sheet1!$A$3:$AW$699,15,FALSE)="","",VLOOKUP($A43,Sheet1!$A$3:$AW$699,15,FALSE))</f>
        <v>-80000</v>
      </c>
      <c r="E43" s="142">
        <f>IF(VLOOKUP($A43,Sheet1!$A$3:$AW$699,16,FALSE)="","",VLOOKUP($A43,Sheet1!$A$3:$AW$699,16,FALSE))</f>
        <v>80000</v>
      </c>
      <c r="F43" s="142">
        <f>IF(VLOOKUP($A43,Sheet1!$A$3:$AW$699,17,FALSE)="","",VLOOKUP($A43,Sheet1!$A$3:$AW$699,17,FALSE))</f>
        <v>0</v>
      </c>
      <c r="G43" s="142" t="str">
        <f>IF(VLOOKUP($A43,Sheet1!$A$3:$AW$699,18,FALSE)="","",VLOOKUP($A43,Sheet1!$A$3:$AW$699,18,FALSE))</f>
        <v/>
      </c>
      <c r="H43" s="142" t="str">
        <f>IF(VLOOKUP($A43,Sheet1!$A$3:$AW$699,19,FALSE)="","",VLOOKUP($A43,Sheet1!$A$3:$AW$699,19,FALSE))</f>
        <v>0.1RPM</v>
      </c>
      <c r="I43" s="9" t="str">
        <f>IF(VLOOKUP($A43,Sheet1!$A$3:$AW$699,5,FALSE)="","",VLOOKUP($A43,Sheet1!$A$3:$AW$699,5,FALSE))</f>
        <v>DINT</v>
      </c>
      <c r="J43" s="9" t="s">
        <v>153</v>
      </c>
      <c r="K43" s="9" t="s">
        <v>115</v>
      </c>
      <c r="L43" s="146" t="str">
        <f>IF(VLOOKUP($A43,Sheet1!$A$3:$AW$699,7,FALSE)="★","x","")</f>
        <v>x</v>
      </c>
      <c r="M43" s="146" t="str">
        <f>IF(VLOOKUP($A43,Sheet1!$A$3:$AW$699,8,FALSE)="▲","x","")</f>
        <v/>
      </c>
      <c r="N43" s="146" t="str">
        <f>IF(VLOOKUP($A43,Sheet1!$A$3:$AW$699,9,FALSE)="●","x","")</f>
        <v/>
      </c>
      <c r="O43" s="146" t="str">
        <f>IF(VLOOKUP($A43,Sheet1!$A$3:$AW$699,10,FALSE)="■","x","")</f>
        <v/>
      </c>
      <c r="P43" s="9" t="str">
        <f>IF(VLOOKUP($A43,Sheet1!$A$3:$AW$699,2,FALSE)="","",VLOOKUP($A43,Sheet1!$A$3:$AW$699,2,FALSE))</f>
        <v/>
      </c>
    </row>
    <row r="44" spans="1:16" ht="20.399999999999999" x14ac:dyDescent="0.3">
      <c r="A44" s="9">
        <v>53</v>
      </c>
      <c r="B44" s="9" t="str">
        <f>IF(VLOOKUP($A44,Sheet1!$A$3:$AW$699,20,FALSE)="","",VLOOKUP($A44,Sheet1!$A$3:$AW$699,20,FALSE))</f>
        <v>ActualTorque</v>
      </c>
      <c r="C44" s="9" t="str">
        <f>IF(VLOOKUP($A44,Sheet1!$A$3:$AW$699,25,FALSE)="","",VLOOKUP($A44,Sheet1!$A$3:$AW$699,25,FALSE))</f>
        <v>IO</v>
      </c>
      <c r="D44" s="142">
        <f>IF(VLOOKUP($A44,Sheet1!$A$3:$AW$699,15,FALSE)="","",VLOOKUP($A44,Sheet1!$A$3:$AW$699,15,FALSE))</f>
        <v>-4000</v>
      </c>
      <c r="E44" s="142">
        <f>IF(VLOOKUP($A44,Sheet1!$A$3:$AW$699,16,FALSE)="","",VLOOKUP($A44,Sheet1!$A$3:$AW$699,16,FALSE))</f>
        <v>4000</v>
      </c>
      <c r="F44" s="142">
        <f>IF(VLOOKUP($A44,Sheet1!$A$3:$AW$699,17,FALSE)="","",VLOOKUP($A44,Sheet1!$A$3:$AW$699,17,FALSE))</f>
        <v>0</v>
      </c>
      <c r="G44" s="142" t="str">
        <f>IF(VLOOKUP($A44,Sheet1!$A$3:$AW$699,18,FALSE)="","",VLOOKUP($A44,Sheet1!$A$3:$AW$699,18,FALSE))</f>
        <v/>
      </c>
      <c r="H44" s="142" t="str">
        <f>IF(VLOOKUP($A44,Sheet1!$A$3:$AW$699,19,FALSE)="","",VLOOKUP($A44,Sheet1!$A$3:$AW$699,19,FALSE))</f>
        <v>%</v>
      </c>
      <c r="I44" s="9" t="str">
        <f>IF(VLOOKUP($A44,Sheet1!$A$3:$AW$699,5,FALSE)="","",VLOOKUP($A44,Sheet1!$A$3:$AW$699,5,FALSE))</f>
        <v>DINT</v>
      </c>
      <c r="J44" s="9" t="s">
        <v>154</v>
      </c>
      <c r="K44" s="9" t="s">
        <v>115</v>
      </c>
      <c r="L44" s="146" t="str">
        <f>IF(VLOOKUP($A44,Sheet1!$A$3:$AW$699,7,FALSE)="★","x","")</f>
        <v>x</v>
      </c>
      <c r="M44" s="146" t="str">
        <f>IF(VLOOKUP($A44,Sheet1!$A$3:$AW$699,8,FALSE)="▲","x","")</f>
        <v/>
      </c>
      <c r="N44" s="146" t="str">
        <f>IF(VLOOKUP($A44,Sheet1!$A$3:$AW$699,9,FALSE)="●","x","")</f>
        <v/>
      </c>
      <c r="O44" s="146" t="str">
        <f>IF(VLOOKUP($A44,Sheet1!$A$3:$AW$699,10,FALSE)="■","x","")</f>
        <v/>
      </c>
      <c r="P44" s="9" t="str">
        <f>IF(VLOOKUP($A44,Sheet1!$A$3:$AW$699,2,FALSE)="","",VLOOKUP($A44,Sheet1!$A$3:$AW$699,2,FALSE))</f>
        <v/>
      </c>
    </row>
    <row r="45" spans="1:16" ht="20.399999999999999" x14ac:dyDescent="0.3">
      <c r="A45" s="9">
        <v>54</v>
      </c>
      <c r="B45" s="9" t="str">
        <f>IF(VLOOKUP($A45,Sheet1!$A$3:$AW$699,20,FALSE)="","",VLOOKUP($A45,Sheet1!$A$3:$AW$699,20,FALSE))</f>
        <v>ActiveIndex</v>
      </c>
      <c r="C45" s="9" t="str">
        <f>IF(VLOOKUP($A45,Sheet1!$A$3:$AW$699,25,FALSE)="","",VLOOKUP($A45,Sheet1!$A$3:$AW$699,25,FALSE))</f>
        <v>IO</v>
      </c>
      <c r="D45" s="142">
        <f>IF(VLOOKUP($A45,Sheet1!$A$3:$AW$699,15,FALSE)="","",VLOOKUP($A45,Sheet1!$A$3:$AW$699,15,FALSE))</f>
        <v>0</v>
      </c>
      <c r="E45" s="142">
        <f>IF(VLOOKUP($A45,Sheet1!$A$3:$AW$699,16,FALSE)="","",VLOOKUP($A45,Sheet1!$A$3:$AW$699,16,FALSE))</f>
        <v>99</v>
      </c>
      <c r="F45" s="142">
        <f>IF(VLOOKUP($A45,Sheet1!$A$3:$AW$699,17,FALSE)="","",VLOOKUP($A45,Sheet1!$A$3:$AW$699,17,FALSE))</f>
        <v>0</v>
      </c>
      <c r="G45" s="142" t="str">
        <f>IF(VLOOKUP($A45,Sheet1!$A$3:$AW$699,18,FALSE)="","",VLOOKUP($A45,Sheet1!$A$3:$AW$699,18,FALSE))</f>
        <v/>
      </c>
      <c r="H45" s="142" t="str">
        <f>IF(VLOOKUP($A45,Sheet1!$A$3:$AW$699,19,FALSE)="","",VLOOKUP($A45,Sheet1!$A$3:$AW$699,19,FALSE))</f>
        <v/>
      </c>
      <c r="I45" s="9" t="str">
        <f>IF(VLOOKUP($A45,Sheet1!$A$3:$AW$699,5,FALSE)="","",VLOOKUP($A45,Sheet1!$A$3:$AW$699,5,FALSE))</f>
        <v>SINT</v>
      </c>
      <c r="J45" s="9" t="s">
        <v>155</v>
      </c>
      <c r="K45" s="9" t="s">
        <v>115</v>
      </c>
      <c r="L45" s="146" t="str">
        <f>IF(VLOOKUP($A45,Sheet1!$A$3:$AW$699,7,FALSE)="★","x","")</f>
        <v>x</v>
      </c>
      <c r="M45" s="146" t="str">
        <f>IF(VLOOKUP($A45,Sheet1!$A$3:$AW$699,8,FALSE)="▲","x","")</f>
        <v/>
      </c>
      <c r="N45" s="146" t="str">
        <f>IF(VLOOKUP($A45,Sheet1!$A$3:$AW$699,9,FALSE)="●","x","")</f>
        <v/>
      </c>
      <c r="O45" s="146" t="str">
        <f>IF(VLOOKUP($A45,Sheet1!$A$3:$AW$699,10,FALSE)="■","x","")</f>
        <v/>
      </c>
      <c r="P45" s="9" t="str">
        <f>IF(VLOOKUP($A45,Sheet1!$A$3:$AW$699,2,FALSE)="","",VLOOKUP($A45,Sheet1!$A$3:$AW$699,2,FALSE))</f>
        <v/>
      </c>
    </row>
    <row r="46" spans="1:16" ht="51" x14ac:dyDescent="0.3">
      <c r="A46" s="9">
        <v>65</v>
      </c>
      <c r="B46" s="9" t="str">
        <f>IF(VLOOKUP($A46,Sheet1!$A$3:$AW$699,20,FALSE)="","",VLOOKUP($A46,Sheet1!$A$3:$AW$699,20,FALSE))</f>
        <v>HomedStatus</v>
      </c>
      <c r="C46" s="9" t="str">
        <f>IF(VLOOKUP($A46,Sheet1!$A$3:$AW$699,25,FALSE)="","",VLOOKUP($A46,Sheet1!$A$3:$AW$699,25,FALSE))</f>
        <v>IO</v>
      </c>
      <c r="D46" s="142">
        <f>IF(VLOOKUP($A46,Sheet1!$A$3:$AW$699,15,FALSE)="","",VLOOKUP($A46,Sheet1!$A$3:$AW$699,15,FALSE))</f>
        <v>0</v>
      </c>
      <c r="E46" s="142">
        <f>IF(VLOOKUP($A46,Sheet1!$A$3:$AW$699,16,FALSE)="","",VLOOKUP($A46,Sheet1!$A$3:$AW$699,16,FALSE))</f>
        <v>1</v>
      </c>
      <c r="F46" s="142">
        <f>IF(VLOOKUP($A46,Sheet1!$A$3:$AW$699,17,FALSE)="","",VLOOKUP($A46,Sheet1!$A$3:$AW$699,17,FALSE))</f>
        <v>0</v>
      </c>
      <c r="G46" s="142" t="str">
        <f>IF(VLOOKUP($A46,Sheet1!$A$3:$AW$699,18,FALSE)="","",VLOOKUP($A46,Sheet1!$A$3:$AW$699,18,FALSE))</f>
        <v/>
      </c>
      <c r="H46" s="142" t="str">
        <f>IF(VLOOKUP($A46,Sheet1!$A$3:$AW$699,19,FALSE)="","",VLOOKUP($A46,Sheet1!$A$3:$AW$699,19,FALSE))</f>
        <v/>
      </c>
      <c r="I46" s="9" t="str">
        <f>IF(VLOOKUP($A46,Sheet1!$A$3:$AW$699,5,FALSE)="","",VLOOKUP($A46,Sheet1!$A$3:$AW$699,5,FALSE))</f>
        <v>BOOL</v>
      </c>
      <c r="J46" s="9" t="s">
        <v>156</v>
      </c>
      <c r="K46" s="9" t="s">
        <v>115</v>
      </c>
      <c r="L46" s="146" t="str">
        <f>IF(VLOOKUP($A46,Sheet1!$A$3:$AW$699,7,FALSE)="★","x","")</f>
        <v>x</v>
      </c>
      <c r="M46" s="146" t="str">
        <f>IF(VLOOKUP($A46,Sheet1!$A$3:$AW$699,8,FALSE)="▲","x","")</f>
        <v/>
      </c>
      <c r="N46" s="146" t="str">
        <f>IF(VLOOKUP($A46,Sheet1!$A$3:$AW$699,9,FALSE)="●","x","")</f>
        <v/>
      </c>
      <c r="O46" s="146" t="str">
        <f>IF(VLOOKUP($A46,Sheet1!$A$3:$AW$699,10,FALSE)="■","x","")</f>
        <v/>
      </c>
      <c r="P46" s="9" t="str">
        <f>IF(VLOOKUP($A46,Sheet1!$A$3:$AW$699,2,FALSE)="","",VLOOKUP($A46,Sheet1!$A$3:$AW$699,2,FALSE))</f>
        <v/>
      </c>
    </row>
    <row r="47" spans="1:16" ht="40.799999999999997" x14ac:dyDescent="0.3">
      <c r="A47" s="9">
        <v>66</v>
      </c>
      <c r="B47" s="9" t="str">
        <f>IF(VLOOKUP($A47,Sheet1!$A$3:$AW$699,20,FALSE)="","",VLOOKUP($A47,Sheet1!$A$3:$AW$699,20,FALSE))</f>
        <v>CommandInProgress</v>
      </c>
      <c r="C47" s="9" t="str">
        <f>IF(VLOOKUP($A47,Sheet1!$A$3:$AW$699,25,FALSE)="","",VLOOKUP($A47,Sheet1!$A$3:$AW$699,25,FALSE))</f>
        <v>IO</v>
      </c>
      <c r="D47" s="142">
        <f>IF(VLOOKUP($A47,Sheet1!$A$3:$AW$699,15,FALSE)="","",VLOOKUP($A47,Sheet1!$A$3:$AW$699,15,FALSE))</f>
        <v>0</v>
      </c>
      <c r="E47" s="142">
        <f>IF(VLOOKUP($A47,Sheet1!$A$3:$AW$699,16,FALSE)="","",VLOOKUP($A47,Sheet1!$A$3:$AW$699,16,FALSE))</f>
        <v>1</v>
      </c>
      <c r="F47" s="142">
        <f>IF(VLOOKUP($A47,Sheet1!$A$3:$AW$699,17,FALSE)="","",VLOOKUP($A47,Sheet1!$A$3:$AW$699,17,FALSE))</f>
        <v>0</v>
      </c>
      <c r="G47" s="142" t="str">
        <f>IF(VLOOKUP($A47,Sheet1!$A$3:$AW$699,18,FALSE)="","",VLOOKUP($A47,Sheet1!$A$3:$AW$699,18,FALSE))</f>
        <v/>
      </c>
      <c r="H47" s="142" t="str">
        <f>IF(VLOOKUP($A47,Sheet1!$A$3:$AW$699,19,FALSE)="","",VLOOKUP($A47,Sheet1!$A$3:$AW$699,19,FALSE))</f>
        <v/>
      </c>
      <c r="I47" s="9" t="str">
        <f>IF(VLOOKUP($A47,Sheet1!$A$3:$AW$699,5,FALSE)="","",VLOOKUP($A47,Sheet1!$A$3:$AW$699,5,FALSE))</f>
        <v>BOOL</v>
      </c>
      <c r="J47" s="9" t="s">
        <v>157</v>
      </c>
      <c r="K47" s="9" t="s">
        <v>115</v>
      </c>
      <c r="L47" s="146" t="str">
        <f>IF(VLOOKUP($A47,Sheet1!$A$3:$AW$699,7,FALSE)="★","x","")</f>
        <v>x</v>
      </c>
      <c r="M47" s="146" t="str">
        <f>IF(VLOOKUP($A47,Sheet1!$A$3:$AW$699,8,FALSE)="▲","x","")</f>
        <v/>
      </c>
      <c r="N47" s="146" t="str">
        <f>IF(VLOOKUP($A47,Sheet1!$A$3:$AW$699,9,FALSE)="●","x","")</f>
        <v/>
      </c>
      <c r="O47" s="146" t="str">
        <f>IF(VLOOKUP($A47,Sheet1!$A$3:$AW$699,10,FALSE)="■","x","")</f>
        <v/>
      </c>
      <c r="P47" s="9" t="str">
        <f>IF(VLOOKUP($A47,Sheet1!$A$3:$AW$699,2,FALSE)="","",VLOOKUP($A47,Sheet1!$A$3:$AW$699,2,FALSE))</f>
        <v/>
      </c>
    </row>
    <row r="48" spans="1:16" ht="51" x14ac:dyDescent="0.3">
      <c r="A48" s="9">
        <v>67</v>
      </c>
      <c r="B48" s="9" t="str">
        <f>IF(VLOOKUP($A48,Sheet1!$A$3:$AW$699,20,FALSE)="","",VLOOKUP($A48,Sheet1!$A$3:$AW$699,20,FALSE))</f>
        <v>MotorCategory</v>
      </c>
      <c r="C48" s="9" t="str">
        <f>IF(VLOOKUP($A48,Sheet1!$A$3:$AW$699,25,FALSE)="","",VLOOKUP($A48,Sheet1!$A$3:$AW$699,25,FALSE))</f>
        <v>IO</v>
      </c>
      <c r="D48" s="142">
        <f>IF(VLOOKUP($A48,Sheet1!$A$3:$AW$699,15,FALSE)="","",VLOOKUP($A48,Sheet1!$A$3:$AW$699,15,FALSE))</f>
        <v>0</v>
      </c>
      <c r="E48" s="142">
        <f>IF(VLOOKUP($A48,Sheet1!$A$3:$AW$699,16,FALSE)="","",VLOOKUP($A48,Sheet1!$A$3:$AW$699,16,FALSE))</f>
        <v>2</v>
      </c>
      <c r="F48" s="142">
        <f>IF(VLOOKUP($A48,Sheet1!$A$3:$AW$699,17,FALSE)="","",VLOOKUP($A48,Sheet1!$A$3:$AW$699,17,FALSE))</f>
        <v>0</v>
      </c>
      <c r="G48" s="142" t="str">
        <f>IF(VLOOKUP($A48,Sheet1!$A$3:$AW$699,18,FALSE)="","",VLOOKUP($A48,Sheet1!$A$3:$AW$699,18,FALSE))</f>
        <v/>
      </c>
      <c r="H48" s="142" t="str">
        <f>IF(VLOOKUP($A48,Sheet1!$A$3:$AW$699,19,FALSE)="","",VLOOKUP($A48,Sheet1!$A$3:$AW$699,19,FALSE))</f>
        <v/>
      </c>
      <c r="I48" s="9" t="str">
        <f>IF(VLOOKUP($A48,Sheet1!$A$3:$AW$699,5,FALSE)="","",VLOOKUP($A48,Sheet1!$A$3:$AW$699,5,FALSE))</f>
        <v>SINT</v>
      </c>
      <c r="J48" s="9" t="s">
        <v>158</v>
      </c>
      <c r="K48" s="9" t="s">
        <v>115</v>
      </c>
      <c r="L48" s="146" t="str">
        <f>IF(VLOOKUP($A48,Sheet1!$A$3:$AW$699,7,FALSE)="★","x","")</f>
        <v>x</v>
      </c>
      <c r="M48" s="146" t="str">
        <f>IF(VLOOKUP($A48,Sheet1!$A$3:$AW$699,8,FALSE)="▲","x","")</f>
        <v/>
      </c>
      <c r="N48" s="146" t="str">
        <f>IF(VLOOKUP($A48,Sheet1!$A$3:$AW$699,9,FALSE)="●","x","")</f>
        <v/>
      </c>
      <c r="O48" s="146" t="str">
        <f>IF(VLOOKUP($A48,Sheet1!$A$3:$AW$699,10,FALSE)="■","x","")</f>
        <v/>
      </c>
      <c r="P48" s="9" t="str">
        <f>IF(VLOOKUP($A48,Sheet1!$A$3:$AW$699,2,FALSE)="","",VLOOKUP($A48,Sheet1!$A$3:$AW$699,2,FALSE))</f>
        <v/>
      </c>
    </row>
    <row r="49" spans="1:16" ht="51" x14ac:dyDescent="0.3">
      <c r="A49" s="9">
        <v>68</v>
      </c>
      <c r="B49" s="9" t="str">
        <f>IF(VLOOKUP($A49,Sheet1!$A$3:$AW$699,20,FALSE)="","",VLOOKUP($A49,Sheet1!$A$3:$AW$699,20,FALSE))</f>
        <v>Uncertain</v>
      </c>
      <c r="C49" s="9" t="str">
        <f>IF(VLOOKUP($A49,Sheet1!$A$3:$AW$699,25,FALSE)="","",VLOOKUP($A49,Sheet1!$A$3:$AW$699,25,FALSE))</f>
        <v>IO</v>
      </c>
      <c r="D49" s="142">
        <f>IF(VLOOKUP($A49,Sheet1!$A$3:$AW$699,15,FALSE)="","",VLOOKUP($A49,Sheet1!$A$3:$AW$699,15,FALSE))</f>
        <v>0</v>
      </c>
      <c r="E49" s="142">
        <f>IF(VLOOKUP($A49,Sheet1!$A$3:$AW$699,16,FALSE)="","",VLOOKUP($A49,Sheet1!$A$3:$AW$699,16,FALSE))</f>
        <v>1</v>
      </c>
      <c r="F49" s="142">
        <f>IF(VLOOKUP($A49,Sheet1!$A$3:$AW$699,17,FALSE)="","",VLOOKUP($A49,Sheet1!$A$3:$AW$699,17,FALSE))</f>
        <v>0</v>
      </c>
      <c r="G49" s="142" t="str">
        <f>IF(VLOOKUP($A49,Sheet1!$A$3:$AW$699,18,FALSE)="","",VLOOKUP($A49,Sheet1!$A$3:$AW$699,18,FALSE))</f>
        <v/>
      </c>
      <c r="H49" s="142" t="str">
        <f>IF(VLOOKUP($A49,Sheet1!$A$3:$AW$699,19,FALSE)="","",VLOOKUP($A49,Sheet1!$A$3:$AW$699,19,FALSE))</f>
        <v/>
      </c>
      <c r="I49" s="9" t="str">
        <f>IF(VLOOKUP($A49,Sheet1!$A$3:$AW$699,5,FALSE)="","",VLOOKUP($A49,Sheet1!$A$3:$AW$699,5,FALSE))</f>
        <v>BOOL</v>
      </c>
      <c r="J49" s="9" t="s">
        <v>159</v>
      </c>
      <c r="K49" s="9" t="s">
        <v>115</v>
      </c>
      <c r="L49" s="146" t="str">
        <f>IF(VLOOKUP($A49,Sheet1!$A$3:$AW$699,7,FALSE)="★","x","")</f>
        <v>x</v>
      </c>
      <c r="M49" s="146" t="str">
        <f>IF(VLOOKUP($A49,Sheet1!$A$3:$AW$699,8,FALSE)="▲","x","")</f>
        <v/>
      </c>
      <c r="N49" s="146" t="str">
        <f>IF(VLOOKUP($A49,Sheet1!$A$3:$AW$699,9,FALSE)="●","x","")</f>
        <v/>
      </c>
      <c r="O49" s="146" t="str">
        <f>IF(VLOOKUP($A49,Sheet1!$A$3:$AW$699,10,FALSE)="■","x","")</f>
        <v/>
      </c>
      <c r="P49" s="9" t="str">
        <f>IF(VLOOKUP($A49,Sheet1!$A$3:$AW$699,2,FALSE)="","",VLOOKUP($A49,Sheet1!$A$3:$AW$699,2,FALSE))</f>
        <v/>
      </c>
    </row>
    <row r="50" spans="1:16" ht="61.2" x14ac:dyDescent="0.3">
      <c r="A50" s="9">
        <v>69</v>
      </c>
      <c r="B50" s="9" t="str">
        <f>IF(VLOOKUP($A50,Sheet1!$A$3:$AW$699,20,FALSE)="","",VLOOKUP($A50,Sheet1!$A$3:$AW$699,20,FALSE))</f>
        <v>CamMasterReference</v>
      </c>
      <c r="C50" s="9" t="str">
        <f>IF(VLOOKUP($A50,Sheet1!$A$3:$AW$699,25,FALSE)="","",VLOOKUP($A50,Sheet1!$A$3:$AW$699,25,FALSE))</f>
        <v>IO</v>
      </c>
      <c r="D50" s="142">
        <f>IF(VLOOKUP($A50,Sheet1!$A$3:$AW$699,15,FALSE)="","",VLOOKUP($A50,Sheet1!$A$3:$AW$699,15,FALSE))</f>
        <v>0</v>
      </c>
      <c r="E50" s="142">
        <f>IF(VLOOKUP($A50,Sheet1!$A$3:$AW$699,16,FALSE)="","",VLOOKUP($A50,Sheet1!$A$3:$AW$699,16,FALSE))</f>
        <v>4</v>
      </c>
      <c r="F50" s="142">
        <f>IF(VLOOKUP($A50,Sheet1!$A$3:$AW$699,17,FALSE)="","",VLOOKUP($A50,Sheet1!$A$3:$AW$699,17,FALSE))</f>
        <v>0</v>
      </c>
      <c r="G50" s="142" t="str">
        <f>IF(VLOOKUP($A50,Sheet1!$A$3:$AW$699,18,FALSE)="","",VLOOKUP($A50,Sheet1!$A$3:$AW$699,18,FALSE))</f>
        <v/>
      </c>
      <c r="H50" s="142" t="str">
        <f>IF(VLOOKUP($A50,Sheet1!$A$3:$AW$699,19,FALSE)="","",VLOOKUP($A50,Sheet1!$A$3:$AW$699,19,FALSE))</f>
        <v/>
      </c>
      <c r="I50" s="9" t="str">
        <f>IF(VLOOKUP($A50,Sheet1!$A$3:$AW$699,5,FALSE)="","",VLOOKUP($A50,Sheet1!$A$3:$AW$699,5,FALSE))</f>
        <v>SINT</v>
      </c>
      <c r="J50" s="9" t="s">
        <v>160</v>
      </c>
      <c r="K50" s="9" t="s">
        <v>115</v>
      </c>
      <c r="L50" s="146" t="str">
        <f>IF(VLOOKUP($A50,Sheet1!$A$3:$AW$699,7,FALSE)="★","x","")</f>
        <v/>
      </c>
      <c r="M50" s="146" t="str">
        <f>IF(VLOOKUP($A50,Sheet1!$A$3:$AW$699,8,FALSE)="▲","x","")</f>
        <v/>
      </c>
      <c r="N50" s="146" t="str">
        <f>IF(VLOOKUP($A50,Sheet1!$A$3:$AW$699,9,FALSE)="●","x","")</f>
        <v/>
      </c>
      <c r="O50" s="146" t="str">
        <f>IF(VLOOKUP($A50,Sheet1!$A$3:$AW$699,10,FALSE)="■","x","")</f>
        <v/>
      </c>
      <c r="P50" s="9" t="str">
        <f>IF(VLOOKUP($A50,Sheet1!$A$3:$AW$699,2,FALSE)="","",VLOOKUP($A50,Sheet1!$A$3:$AW$699,2,FALSE))</f>
        <v/>
      </c>
    </row>
    <row r="51" spans="1:16" ht="30.6" x14ac:dyDescent="0.3">
      <c r="A51" s="9">
        <v>70</v>
      </c>
      <c r="B51" s="9" t="str">
        <f>IF(VLOOKUP($A51,Sheet1!$A$3:$AW$699,20,FALSE)="","",VLOOKUP($A51,Sheet1!$A$3:$AW$699,20,FALSE))</f>
        <v>CamStopMode</v>
      </c>
      <c r="C51" s="9" t="str">
        <f>IF(VLOOKUP($A51,Sheet1!$A$3:$AW$699,25,FALSE)="","",VLOOKUP($A51,Sheet1!$A$3:$AW$699,25,FALSE))</f>
        <v>IO</v>
      </c>
      <c r="D51" s="142">
        <f>IF(VLOOKUP($A51,Sheet1!$A$3:$AW$699,15,FALSE)="","",VLOOKUP($A51,Sheet1!$A$3:$AW$699,15,FALSE))</f>
        <v>0</v>
      </c>
      <c r="E51" s="142">
        <f>IF(VLOOKUP($A51,Sheet1!$A$3:$AW$699,16,FALSE)="","",VLOOKUP($A51,Sheet1!$A$3:$AW$699,16,FALSE))</f>
        <v>1</v>
      </c>
      <c r="F51" s="142">
        <f>IF(VLOOKUP($A51,Sheet1!$A$3:$AW$699,17,FALSE)="","",VLOOKUP($A51,Sheet1!$A$3:$AW$699,17,FALSE))</f>
        <v>0</v>
      </c>
      <c r="G51" s="142" t="str">
        <f>IF(VLOOKUP($A51,Sheet1!$A$3:$AW$699,18,FALSE)="","",VLOOKUP($A51,Sheet1!$A$3:$AW$699,18,FALSE))</f>
        <v/>
      </c>
      <c r="H51" s="142" t="str">
        <f>IF(VLOOKUP($A51,Sheet1!$A$3:$AW$699,19,FALSE)="","",VLOOKUP($A51,Sheet1!$A$3:$AW$699,19,FALSE))</f>
        <v/>
      </c>
      <c r="I51" s="9" t="str">
        <f>IF(VLOOKUP($A51,Sheet1!$A$3:$AW$699,5,FALSE)="","",VLOOKUP($A51,Sheet1!$A$3:$AW$699,5,FALSE))</f>
        <v>BOOL</v>
      </c>
      <c r="J51" s="9" t="s">
        <v>161</v>
      </c>
      <c r="K51" s="9" t="s">
        <v>115</v>
      </c>
      <c r="L51" s="146" t="str">
        <f>IF(VLOOKUP($A51,Sheet1!$A$3:$AW$699,7,FALSE)="★","x","")</f>
        <v/>
      </c>
      <c r="M51" s="146" t="str">
        <f>IF(VLOOKUP($A51,Sheet1!$A$3:$AW$699,8,FALSE)="▲","x","")</f>
        <v/>
      </c>
      <c r="N51" s="146" t="str">
        <f>IF(VLOOKUP($A51,Sheet1!$A$3:$AW$699,9,FALSE)="●","x","")</f>
        <v/>
      </c>
      <c r="O51" s="146" t="str">
        <f>IF(VLOOKUP($A51,Sheet1!$A$3:$AW$699,10,FALSE)="■","x","")</f>
        <v/>
      </c>
      <c r="P51" s="9" t="str">
        <f>IF(VLOOKUP($A51,Sheet1!$A$3:$AW$699,2,FALSE)="","",VLOOKUP($A51,Sheet1!$A$3:$AW$699,2,FALSE))</f>
        <v/>
      </c>
    </row>
    <row r="52" spans="1:16" ht="102" x14ac:dyDescent="0.3">
      <c r="A52" s="9">
        <v>71</v>
      </c>
      <c r="B52" s="9" t="str">
        <f>IF(VLOOKUP($A52,Sheet1!$A$3:$AW$699,20,FALSE)="","",VLOOKUP($A52,Sheet1!$A$3:$AW$699,20,FALSE))</f>
        <v>CamExecutionSchedule</v>
      </c>
      <c r="C52" s="9" t="str">
        <f>IF(VLOOKUP($A52,Sheet1!$A$3:$AW$699,25,FALSE)="","",VLOOKUP($A52,Sheet1!$A$3:$AW$699,25,FALSE))</f>
        <v>IO</v>
      </c>
      <c r="D52" s="142">
        <f>IF(VLOOKUP($A52,Sheet1!$A$3:$AW$699,15,FALSE)="","",VLOOKUP($A52,Sheet1!$A$3:$AW$699,15,FALSE))</f>
        <v>0</v>
      </c>
      <c r="E52" s="142">
        <f>IF(VLOOKUP($A52,Sheet1!$A$3:$AW$699,16,FALSE)="","",VLOOKUP($A52,Sheet1!$A$3:$AW$699,16,FALSE))</f>
        <v>4</v>
      </c>
      <c r="F52" s="142">
        <f>IF(VLOOKUP($A52,Sheet1!$A$3:$AW$699,17,FALSE)="","",VLOOKUP($A52,Sheet1!$A$3:$AW$699,17,FALSE))</f>
        <v>0</v>
      </c>
      <c r="G52" s="142" t="str">
        <f>IF(VLOOKUP($A52,Sheet1!$A$3:$AW$699,18,FALSE)="","",VLOOKUP($A52,Sheet1!$A$3:$AW$699,18,FALSE))</f>
        <v/>
      </c>
      <c r="H52" s="142" t="str">
        <f>IF(VLOOKUP($A52,Sheet1!$A$3:$AW$699,19,FALSE)="","",VLOOKUP($A52,Sheet1!$A$3:$AW$699,19,FALSE))</f>
        <v/>
      </c>
      <c r="I52" s="9" t="str">
        <f>IF(VLOOKUP($A52,Sheet1!$A$3:$AW$699,5,FALSE)="","",VLOOKUP($A52,Sheet1!$A$3:$AW$699,5,FALSE))</f>
        <v>SINT</v>
      </c>
      <c r="J52" s="9" t="s">
        <v>162</v>
      </c>
      <c r="K52" s="9" t="s">
        <v>115</v>
      </c>
      <c r="L52" s="146" t="str">
        <f>IF(VLOOKUP($A52,Sheet1!$A$3:$AW$699,7,FALSE)="★","x","")</f>
        <v/>
      </c>
      <c r="M52" s="146" t="str">
        <f>IF(VLOOKUP($A52,Sheet1!$A$3:$AW$699,8,FALSE)="▲","x","")</f>
        <v/>
      </c>
      <c r="N52" s="146" t="str">
        <f>IF(VLOOKUP($A52,Sheet1!$A$3:$AW$699,9,FALSE)="●","x","")</f>
        <v/>
      </c>
      <c r="O52" s="146" t="str">
        <f>IF(VLOOKUP($A52,Sheet1!$A$3:$AW$699,10,FALSE)="■","x","")</f>
        <v/>
      </c>
      <c r="P52" s="9" t="str">
        <f>IF(VLOOKUP($A52,Sheet1!$A$3:$AW$699,2,FALSE)="","",VLOOKUP($A52,Sheet1!$A$3:$AW$699,2,FALSE))</f>
        <v/>
      </c>
    </row>
    <row r="53" spans="1:16" ht="71.400000000000006" x14ac:dyDescent="0.3">
      <c r="A53" s="9">
        <v>72</v>
      </c>
      <c r="B53" s="9" t="str">
        <f>IF(VLOOKUP($A53,Sheet1!$A$3:$AW$699,20,FALSE)="","",VLOOKUP($A53,Sheet1!$A$3:$AW$699,20,FALSE))</f>
        <v>CamExecutionMode</v>
      </c>
      <c r="C53" s="9" t="str">
        <f>IF(VLOOKUP($A53,Sheet1!$A$3:$AW$699,25,FALSE)="","",VLOOKUP($A53,Sheet1!$A$3:$AW$699,25,FALSE))</f>
        <v>IO</v>
      </c>
      <c r="D53" s="142">
        <f>IF(VLOOKUP($A53,Sheet1!$A$3:$AW$699,15,FALSE)="","",VLOOKUP($A53,Sheet1!$A$3:$AW$699,15,FALSE))</f>
        <v>0</v>
      </c>
      <c r="E53" s="142">
        <f>IF(VLOOKUP($A53,Sheet1!$A$3:$AW$699,16,FALSE)="","",VLOOKUP($A53,Sheet1!$A$3:$AW$699,16,FALSE))</f>
        <v>1</v>
      </c>
      <c r="F53" s="142">
        <f>IF(VLOOKUP($A53,Sheet1!$A$3:$AW$699,17,FALSE)="","",VLOOKUP($A53,Sheet1!$A$3:$AW$699,17,FALSE))</f>
        <v>0</v>
      </c>
      <c r="G53" s="142" t="str">
        <f>IF(VLOOKUP($A53,Sheet1!$A$3:$AW$699,18,FALSE)="","",VLOOKUP($A53,Sheet1!$A$3:$AW$699,18,FALSE))</f>
        <v/>
      </c>
      <c r="H53" s="142" t="str">
        <f>IF(VLOOKUP($A53,Sheet1!$A$3:$AW$699,19,FALSE)="","",VLOOKUP($A53,Sheet1!$A$3:$AW$699,19,FALSE))</f>
        <v/>
      </c>
      <c r="I53" s="9" t="str">
        <f>IF(VLOOKUP($A53,Sheet1!$A$3:$AW$699,5,FALSE)="","",VLOOKUP($A53,Sheet1!$A$3:$AW$699,5,FALSE))</f>
        <v>SINT</v>
      </c>
      <c r="J53" s="9" t="s">
        <v>163</v>
      </c>
      <c r="K53" s="9" t="s">
        <v>115</v>
      </c>
      <c r="L53" s="146" t="str">
        <f>IF(VLOOKUP($A53,Sheet1!$A$3:$AW$699,7,FALSE)="★","x","")</f>
        <v/>
      </c>
      <c r="M53" s="146" t="str">
        <f>IF(VLOOKUP($A53,Sheet1!$A$3:$AW$699,8,FALSE)="▲","x","")</f>
        <v/>
      </c>
      <c r="N53" s="146" t="str">
        <f>IF(VLOOKUP($A53,Sheet1!$A$3:$AW$699,9,FALSE)="●","x","")</f>
        <v/>
      </c>
      <c r="O53" s="146" t="str">
        <f>IF(VLOOKUP($A53,Sheet1!$A$3:$AW$699,10,FALSE)="■","x","")</f>
        <v/>
      </c>
      <c r="P53" s="9" t="str">
        <f>IF(VLOOKUP($A53,Sheet1!$A$3:$AW$699,2,FALSE)="","",VLOOKUP($A53,Sheet1!$A$3:$AW$699,2,FALSE))</f>
        <v/>
      </c>
    </row>
    <row r="54" spans="1:16" ht="20.399999999999999" x14ac:dyDescent="0.3">
      <c r="A54" s="9">
        <v>73</v>
      </c>
      <c r="B54" s="9" t="str">
        <f>IF(VLOOKUP($A54,Sheet1!$A$3:$AW$699,20,FALSE)="","",VLOOKUP($A54,Sheet1!$A$3:$AW$699,20,FALSE))</f>
        <v>CamSlaveScaling</v>
      </c>
      <c r="C54" s="9" t="str">
        <f>IF(VLOOKUP($A54,Sheet1!$A$3:$AW$699,25,FALSE)="","",VLOOKUP($A54,Sheet1!$A$3:$AW$699,25,FALSE))</f>
        <v>IO</v>
      </c>
      <c r="D54" s="142">
        <f>IF(VLOOKUP($A54,Sheet1!$A$3:$AW$699,15,FALSE)="","",VLOOKUP($A54,Sheet1!$A$3:$AW$699,15,FALSE))</f>
        <v>-2147000000</v>
      </c>
      <c r="E54" s="142">
        <f>IF(VLOOKUP($A54,Sheet1!$A$3:$AW$699,16,FALSE)="","",VLOOKUP($A54,Sheet1!$A$3:$AW$699,16,FALSE))</f>
        <v>2147000000</v>
      </c>
      <c r="F54" s="142">
        <f>IF(VLOOKUP($A54,Sheet1!$A$3:$AW$699,17,FALSE)="","",VLOOKUP($A54,Sheet1!$A$3:$AW$699,17,FALSE))</f>
        <v>1000000</v>
      </c>
      <c r="G54" s="142" t="str">
        <f>IF(VLOOKUP($A54,Sheet1!$A$3:$AW$699,18,FALSE)="","",VLOOKUP($A54,Sheet1!$A$3:$AW$699,18,FALSE))</f>
        <v/>
      </c>
      <c r="H54" s="142" t="str">
        <f>IF(VLOOKUP($A54,Sheet1!$A$3:$AW$699,19,FALSE)="","",VLOOKUP($A54,Sheet1!$A$3:$AW$699,19,FALSE))</f>
        <v>0.000001 times</v>
      </c>
      <c r="I54" s="9" t="str">
        <f>IF(VLOOKUP($A54,Sheet1!$A$3:$AW$699,5,FALSE)="","",VLOOKUP($A54,Sheet1!$A$3:$AW$699,5,FALSE))</f>
        <v>DINT</v>
      </c>
      <c r="J54" s="9" t="s">
        <v>164</v>
      </c>
      <c r="K54" s="9" t="s">
        <v>115</v>
      </c>
      <c r="L54" s="146" t="str">
        <f>IF(VLOOKUP($A54,Sheet1!$A$3:$AW$699,7,FALSE)="★","x","")</f>
        <v/>
      </c>
      <c r="M54" s="146" t="str">
        <f>IF(VLOOKUP($A54,Sheet1!$A$3:$AW$699,8,FALSE)="▲","x","")</f>
        <v/>
      </c>
      <c r="N54" s="146" t="str">
        <f>IF(VLOOKUP($A54,Sheet1!$A$3:$AW$699,9,FALSE)="●","x","")</f>
        <v/>
      </c>
      <c r="O54" s="146" t="str">
        <f>IF(VLOOKUP($A54,Sheet1!$A$3:$AW$699,10,FALSE)="■","x","")</f>
        <v/>
      </c>
      <c r="P54" s="9" t="str">
        <f>IF(VLOOKUP($A54,Sheet1!$A$3:$AW$699,2,FALSE)="","",VLOOKUP($A54,Sheet1!$A$3:$AW$699,2,FALSE))</f>
        <v/>
      </c>
    </row>
    <row r="55" spans="1:16" x14ac:dyDescent="0.3">
      <c r="A55" s="9">
        <v>74</v>
      </c>
      <c r="B55" s="9" t="str">
        <f>IF(VLOOKUP($A55,Sheet1!$A$3:$AW$699,20,FALSE)="","",VLOOKUP($A55,Sheet1!$A$3:$AW$699,20,FALSE))</f>
        <v>CamLockPosition</v>
      </c>
      <c r="C55" s="9" t="str">
        <f>IF(VLOOKUP($A55,Sheet1!$A$3:$AW$699,25,FALSE)="","",VLOOKUP($A55,Sheet1!$A$3:$AW$699,25,FALSE))</f>
        <v>IO</v>
      </c>
      <c r="D55" s="142">
        <f>IF(VLOOKUP($A55,Sheet1!$A$3:$AW$699,15,FALSE)="","",VLOOKUP($A55,Sheet1!$A$3:$AW$699,15,FALSE))</f>
        <v>10</v>
      </c>
      <c r="E55" s="142">
        <f>IF(VLOOKUP($A55,Sheet1!$A$3:$AW$699,16,FALSE)="","",VLOOKUP($A55,Sheet1!$A$3:$AW$699,16,FALSE))</f>
        <v>1073741823</v>
      </c>
      <c r="F55" s="142">
        <f>IF(VLOOKUP($A55,Sheet1!$A$3:$AW$699,17,FALSE)="","",VLOOKUP($A55,Sheet1!$A$3:$AW$699,17,FALSE))</f>
        <v>3600</v>
      </c>
      <c r="G55" s="142" t="str">
        <f>IF(VLOOKUP($A55,Sheet1!$A$3:$AW$699,18,FALSE)="","",VLOOKUP($A55,Sheet1!$A$3:$AW$699,18,FALSE))</f>
        <v/>
      </c>
      <c r="H55" s="142" t="str">
        <f>IF(VLOOKUP($A55,Sheet1!$A$3:$AW$699,19,FALSE)="","",VLOOKUP($A55,Sheet1!$A$3:$AW$699,19,FALSE))</f>
        <v/>
      </c>
      <c r="I55" s="9" t="str">
        <f>IF(VLOOKUP($A55,Sheet1!$A$3:$AW$699,5,FALSE)="","",VLOOKUP($A55,Sheet1!$A$3:$AW$699,5,FALSE))</f>
        <v>DINT</v>
      </c>
      <c r="J55" s="9" t="s">
        <v>165</v>
      </c>
      <c r="K55" s="9" t="s">
        <v>115</v>
      </c>
      <c r="L55" s="146" t="str">
        <f>IF(VLOOKUP($A55,Sheet1!$A$3:$AW$699,7,FALSE)="★","x","")</f>
        <v/>
      </c>
      <c r="M55" s="146" t="str">
        <f>IF(VLOOKUP($A55,Sheet1!$A$3:$AW$699,8,FALSE)="▲","x","")</f>
        <v/>
      </c>
      <c r="N55" s="146" t="str">
        <f>IF(VLOOKUP($A55,Sheet1!$A$3:$AW$699,9,FALSE)="●","x","")</f>
        <v/>
      </c>
      <c r="O55" s="146" t="str">
        <f>IF(VLOOKUP($A55,Sheet1!$A$3:$AW$699,10,FALSE)="■","x","")</f>
        <v/>
      </c>
      <c r="P55" s="9" t="str">
        <f>IF(VLOOKUP($A55,Sheet1!$A$3:$AW$699,2,FALSE)="","",VLOOKUP($A55,Sheet1!$A$3:$AW$699,2,FALSE))</f>
        <v/>
      </c>
    </row>
    <row r="56" spans="1:16" ht="20.399999999999999" x14ac:dyDescent="0.3">
      <c r="A56" s="9">
        <v>75</v>
      </c>
      <c r="B56" s="9" t="str">
        <f>IF(VLOOKUP($A56,Sheet1!$A$3:$AW$699,20,FALSE)="","",VLOOKUP($A56,Sheet1!$A$3:$AW$699,20,FALSE))</f>
        <v>CamMasterLeadingCounts</v>
      </c>
      <c r="C56" s="9" t="str">
        <f>IF(VLOOKUP($A56,Sheet1!$A$3:$AW$699,25,FALSE)="","",VLOOKUP($A56,Sheet1!$A$3:$AW$699,25,FALSE))</f>
        <v>IO</v>
      </c>
      <c r="D56" s="142">
        <f>IF(VLOOKUP($A56,Sheet1!$A$3:$AW$699,15,FALSE)="","",VLOOKUP($A56,Sheet1!$A$3:$AW$699,15,FALSE))</f>
        <v>-1073741824</v>
      </c>
      <c r="E56" s="142">
        <f>IF(VLOOKUP($A56,Sheet1!$A$3:$AW$699,16,FALSE)="","",VLOOKUP($A56,Sheet1!$A$3:$AW$699,16,FALSE))</f>
        <v>1073741823</v>
      </c>
      <c r="F56" s="142">
        <f>IF(VLOOKUP($A56,Sheet1!$A$3:$AW$699,17,FALSE)="","",VLOOKUP($A56,Sheet1!$A$3:$AW$699,17,FALSE))</f>
        <v>0</v>
      </c>
      <c r="G56" s="142" t="str">
        <f>IF(VLOOKUP($A56,Sheet1!$A$3:$AW$699,18,FALSE)="","",VLOOKUP($A56,Sheet1!$A$3:$AW$699,18,FALSE))</f>
        <v/>
      </c>
      <c r="H56" s="142" t="str">
        <f>IF(VLOOKUP($A56,Sheet1!$A$3:$AW$699,19,FALSE)="","",VLOOKUP($A56,Sheet1!$A$3:$AW$699,19,FALSE))</f>
        <v/>
      </c>
      <c r="I56" s="9" t="str">
        <f>IF(VLOOKUP($A56,Sheet1!$A$3:$AW$699,5,FALSE)="","",VLOOKUP($A56,Sheet1!$A$3:$AW$699,5,FALSE))</f>
        <v>DINT</v>
      </c>
      <c r="J56" s="9" t="s">
        <v>166</v>
      </c>
      <c r="K56" s="9" t="s">
        <v>115</v>
      </c>
      <c r="L56" s="146" t="str">
        <f>IF(VLOOKUP($A56,Sheet1!$A$3:$AW$699,7,FALSE)="★","x","")</f>
        <v/>
      </c>
      <c r="M56" s="146" t="str">
        <f>IF(VLOOKUP($A56,Sheet1!$A$3:$AW$699,8,FALSE)="▲","x","")</f>
        <v/>
      </c>
      <c r="N56" s="146" t="str">
        <f>IF(VLOOKUP($A56,Sheet1!$A$3:$AW$699,9,FALSE)="●","x","")</f>
        <v/>
      </c>
      <c r="O56" s="146" t="str">
        <f>IF(VLOOKUP($A56,Sheet1!$A$3:$AW$699,10,FALSE)="■","x","")</f>
        <v/>
      </c>
      <c r="P56" s="9" t="str">
        <f>IF(VLOOKUP($A56,Sheet1!$A$3:$AW$699,2,FALSE)="","",VLOOKUP($A56,Sheet1!$A$3:$AW$699,2,FALSE))</f>
        <v/>
      </c>
    </row>
    <row r="57" spans="1:16" ht="30.6" x14ac:dyDescent="0.3">
      <c r="A57" s="9">
        <v>76</v>
      </c>
      <c r="B57" s="9" t="str">
        <f>IF(VLOOKUP($A57,Sheet1!$A$3:$AW$699,20,FALSE)="","",VLOOKUP($A57,Sheet1!$A$3:$AW$699,20,FALSE))</f>
        <v>CamMasterUnlockCounts</v>
      </c>
      <c r="C57" s="9" t="str">
        <f>IF(VLOOKUP($A57,Sheet1!$A$3:$AW$699,25,FALSE)="","",VLOOKUP($A57,Sheet1!$A$3:$AW$699,25,FALSE))</f>
        <v>IO</v>
      </c>
      <c r="D57" s="142">
        <f>IF(VLOOKUP($A57,Sheet1!$A$3:$AW$699,15,FALSE)="","",VLOOKUP($A57,Sheet1!$A$3:$AW$699,15,FALSE))</f>
        <v>-1073741824</v>
      </c>
      <c r="E57" s="142">
        <f>IF(VLOOKUP($A57,Sheet1!$A$3:$AW$699,16,FALSE)="","",VLOOKUP($A57,Sheet1!$A$3:$AW$699,16,FALSE))</f>
        <v>1073741823</v>
      </c>
      <c r="F57" s="142">
        <f>IF(VLOOKUP($A57,Sheet1!$A$3:$AW$699,17,FALSE)="","",VLOOKUP($A57,Sheet1!$A$3:$AW$699,17,FALSE))</f>
        <v>0</v>
      </c>
      <c r="G57" s="142" t="str">
        <f>IF(VLOOKUP($A57,Sheet1!$A$3:$AW$699,18,FALSE)="","",VLOOKUP($A57,Sheet1!$A$3:$AW$699,18,FALSE))</f>
        <v/>
      </c>
      <c r="H57" s="142" t="str">
        <f>IF(VLOOKUP($A57,Sheet1!$A$3:$AW$699,19,FALSE)="","",VLOOKUP($A57,Sheet1!$A$3:$AW$699,19,FALSE))</f>
        <v/>
      </c>
      <c r="I57" s="9" t="str">
        <f>IF(VLOOKUP($A57,Sheet1!$A$3:$AW$699,5,FALSE)="","",VLOOKUP($A57,Sheet1!$A$3:$AW$699,5,FALSE))</f>
        <v>DINT</v>
      </c>
      <c r="J57" s="9" t="s">
        <v>167</v>
      </c>
      <c r="K57" s="9" t="s">
        <v>115</v>
      </c>
      <c r="L57" s="146" t="str">
        <f>IF(VLOOKUP($A57,Sheet1!$A$3:$AW$699,7,FALSE)="★","x","")</f>
        <v/>
      </c>
      <c r="M57" s="146" t="str">
        <f>IF(VLOOKUP($A57,Sheet1!$A$3:$AW$699,8,FALSE)="▲","x","")</f>
        <v/>
      </c>
      <c r="N57" s="146" t="str">
        <f>IF(VLOOKUP($A57,Sheet1!$A$3:$AW$699,9,FALSE)="●","x","")</f>
        <v/>
      </c>
      <c r="O57" s="146" t="str">
        <f>IF(VLOOKUP($A57,Sheet1!$A$3:$AW$699,10,FALSE)="■","x","")</f>
        <v/>
      </c>
      <c r="P57" s="9" t="str">
        <f>IF(VLOOKUP($A57,Sheet1!$A$3:$AW$699,2,FALSE)="","",VLOOKUP($A57,Sheet1!$A$3:$AW$699,2,FALSE))</f>
        <v/>
      </c>
    </row>
    <row r="58" spans="1:16" ht="30.6" x14ac:dyDescent="0.3">
      <c r="A58" s="9">
        <v>77</v>
      </c>
      <c r="B58" s="9" t="str">
        <f>IF(VLOOKUP($A58,Sheet1!$A$3:$AW$699,20,FALSE)="","",VLOOKUP($A58,Sheet1!$A$3:$AW$699,20,FALSE))</f>
        <v>CamMasterCyclicLeadingCounts</v>
      </c>
      <c r="C58" s="9" t="str">
        <f>IF(VLOOKUP($A58,Sheet1!$A$3:$AW$699,25,FALSE)="","",VLOOKUP($A58,Sheet1!$A$3:$AW$699,25,FALSE))</f>
        <v>IO</v>
      </c>
      <c r="D58" s="142">
        <f>IF(VLOOKUP($A58,Sheet1!$A$3:$AW$699,15,FALSE)="","",VLOOKUP($A58,Sheet1!$A$3:$AW$699,15,FALSE))</f>
        <v>-2147483648</v>
      </c>
      <c r="E58" s="142">
        <f>IF(VLOOKUP($A58,Sheet1!$A$3:$AW$699,16,FALSE)="","",VLOOKUP($A58,Sheet1!$A$3:$AW$699,16,FALSE))</f>
        <v>2147483647</v>
      </c>
      <c r="F58" s="142">
        <f>IF(VLOOKUP($A58,Sheet1!$A$3:$AW$699,17,FALSE)="","",VLOOKUP($A58,Sheet1!$A$3:$AW$699,17,FALSE))</f>
        <v>0</v>
      </c>
      <c r="G58" s="142" t="str">
        <f>IF(VLOOKUP($A58,Sheet1!$A$3:$AW$699,18,FALSE)="","",VLOOKUP($A58,Sheet1!$A$3:$AW$699,18,FALSE))</f>
        <v/>
      </c>
      <c r="H58" s="142" t="str">
        <f>IF(VLOOKUP($A58,Sheet1!$A$3:$AW$699,19,FALSE)="","",VLOOKUP($A58,Sheet1!$A$3:$AW$699,19,FALSE))</f>
        <v/>
      </c>
      <c r="I58" s="9" t="str">
        <f>IF(VLOOKUP($A58,Sheet1!$A$3:$AW$699,5,FALSE)="","",VLOOKUP($A58,Sheet1!$A$3:$AW$699,5,FALSE))</f>
        <v>DINT</v>
      </c>
      <c r="J58" s="9" t="s">
        <v>168</v>
      </c>
      <c r="K58" s="9" t="s">
        <v>115</v>
      </c>
      <c r="L58" s="146" t="str">
        <f>IF(VLOOKUP($A58,Sheet1!$A$3:$AW$699,7,FALSE)="★","x","")</f>
        <v/>
      </c>
      <c r="M58" s="146" t="str">
        <f>IF(VLOOKUP($A58,Sheet1!$A$3:$AW$699,8,FALSE)="▲","x","")</f>
        <v/>
      </c>
      <c r="N58" s="146" t="str">
        <f>IF(VLOOKUP($A58,Sheet1!$A$3:$AW$699,9,FALSE)="●","x","")</f>
        <v/>
      </c>
      <c r="O58" s="146" t="str">
        <f>IF(VLOOKUP($A58,Sheet1!$A$3:$AW$699,10,FALSE)="■","x","")</f>
        <v/>
      </c>
      <c r="P58" s="9" t="str">
        <f>IF(VLOOKUP($A58,Sheet1!$A$3:$AW$699,2,FALSE)="","",VLOOKUP($A58,Sheet1!$A$3:$AW$699,2,FALSE))</f>
        <v/>
      </c>
    </row>
    <row r="59" spans="1:16" ht="20.399999999999999" x14ac:dyDescent="0.3">
      <c r="A59" s="9">
        <v>78</v>
      </c>
      <c r="B59" s="9" t="str">
        <f>IF(VLOOKUP($A59,Sheet1!$A$3:$AW$699,20,FALSE)="","",VLOOKUP($A59,Sheet1!$A$3:$AW$699,20,FALSE))</f>
        <v>SlaveCounts</v>
      </c>
      <c r="C59" s="9" t="str">
        <f>IF(VLOOKUP($A59,Sheet1!$A$3:$AW$699,25,FALSE)="","",VLOOKUP($A59,Sheet1!$A$3:$AW$699,25,FALSE))</f>
        <v>IO</v>
      </c>
      <c r="D59" s="142">
        <f>IF(VLOOKUP($A59,Sheet1!$A$3:$AW$699,15,FALSE)="","",VLOOKUP($A59,Sheet1!$A$3:$AW$699,15,FALSE))</f>
        <v>1</v>
      </c>
      <c r="E59" s="142">
        <f>IF(VLOOKUP($A59,Sheet1!$A$3:$AW$699,16,FALSE)="","",VLOOKUP($A59,Sheet1!$A$3:$AW$699,16,FALSE))</f>
        <v>536870911</v>
      </c>
      <c r="F59" s="142">
        <f>IF(VLOOKUP($A59,Sheet1!$A$3:$AW$699,17,FALSE)="","",VLOOKUP($A59,Sheet1!$A$3:$AW$699,17,FALSE))</f>
        <v>16777216</v>
      </c>
      <c r="G59" s="142" t="str">
        <f>IF(VLOOKUP($A59,Sheet1!$A$3:$AW$699,18,FALSE)="","",VLOOKUP($A59,Sheet1!$A$3:$AW$699,18,FALSE))</f>
        <v/>
      </c>
      <c r="H59" s="142" t="str">
        <f>IF(VLOOKUP($A59,Sheet1!$A$3:$AW$699,19,FALSE)="","",VLOOKUP($A59,Sheet1!$A$3:$AW$699,19,FALSE))</f>
        <v/>
      </c>
      <c r="I59" s="9" t="str">
        <f>IF(VLOOKUP($A59,Sheet1!$A$3:$AW$699,5,FALSE)="","",VLOOKUP($A59,Sheet1!$A$3:$AW$699,5,FALSE))</f>
        <v>DINT</v>
      </c>
      <c r="J59" s="9" t="s">
        <v>169</v>
      </c>
      <c r="K59" s="9" t="s">
        <v>115</v>
      </c>
      <c r="L59" s="146" t="str">
        <f>IF(VLOOKUP($A59,Sheet1!$A$3:$AW$699,7,FALSE)="★","x","")</f>
        <v/>
      </c>
      <c r="M59" s="146" t="str">
        <f>IF(VLOOKUP($A59,Sheet1!$A$3:$AW$699,8,FALSE)="▲","x","")</f>
        <v/>
      </c>
      <c r="N59" s="146" t="str">
        <f>IF(VLOOKUP($A59,Sheet1!$A$3:$AW$699,9,FALSE)="●","x","")</f>
        <v/>
      </c>
      <c r="O59" s="146" t="str">
        <f>IF(VLOOKUP($A59,Sheet1!$A$3:$AW$699,10,FALSE)="■","x","")</f>
        <v/>
      </c>
      <c r="P59" s="9" t="str">
        <f>IF(VLOOKUP($A59,Sheet1!$A$3:$AW$699,2,FALSE)="","",VLOOKUP($A59,Sheet1!$A$3:$AW$699,2,FALSE))</f>
        <v/>
      </c>
    </row>
    <row r="60" spans="1:16" ht="20.399999999999999" x14ac:dyDescent="0.3">
      <c r="A60" s="9">
        <v>79</v>
      </c>
      <c r="B60" s="9" t="str">
        <f>IF(VLOOKUP($A60,Sheet1!$A$3:$AW$699,20,FALSE)="","",VLOOKUP($A60,Sheet1!$A$3:$AW$699,20,FALSE))</f>
        <v>MasterCounts</v>
      </c>
      <c r="C60" s="9" t="str">
        <f>IF(VLOOKUP($A60,Sheet1!$A$3:$AW$699,25,FALSE)="","",VLOOKUP($A60,Sheet1!$A$3:$AW$699,25,FALSE))</f>
        <v>IO</v>
      </c>
      <c r="D60" s="142">
        <f>IF(VLOOKUP($A60,Sheet1!$A$3:$AW$699,15,FALSE)="","",VLOOKUP($A60,Sheet1!$A$3:$AW$699,15,FALSE))</f>
        <v>1</v>
      </c>
      <c r="E60" s="142">
        <f>IF(VLOOKUP($A60,Sheet1!$A$3:$AW$699,16,FALSE)="","",VLOOKUP($A60,Sheet1!$A$3:$AW$699,16,FALSE))</f>
        <v>2147483647</v>
      </c>
      <c r="F60" s="142">
        <f>IF(VLOOKUP($A60,Sheet1!$A$3:$AW$699,17,FALSE)="","",VLOOKUP($A60,Sheet1!$A$3:$AW$699,17,FALSE))</f>
        <v>100000</v>
      </c>
      <c r="G60" s="142" t="str">
        <f>IF(VLOOKUP($A60,Sheet1!$A$3:$AW$699,18,FALSE)="","",VLOOKUP($A60,Sheet1!$A$3:$AW$699,18,FALSE))</f>
        <v/>
      </c>
      <c r="H60" s="142" t="str">
        <f>IF(VLOOKUP($A60,Sheet1!$A$3:$AW$699,19,FALSE)="","",VLOOKUP($A60,Sheet1!$A$3:$AW$699,19,FALSE))</f>
        <v/>
      </c>
      <c r="I60" s="9" t="str">
        <f>IF(VLOOKUP($A60,Sheet1!$A$3:$AW$699,5,FALSE)="","",VLOOKUP($A60,Sheet1!$A$3:$AW$699,5,FALSE))</f>
        <v>DINT</v>
      </c>
      <c r="J60" s="9" t="s">
        <v>170</v>
      </c>
      <c r="K60" s="9" t="s">
        <v>115</v>
      </c>
      <c r="L60" s="146" t="str">
        <f>IF(VLOOKUP($A60,Sheet1!$A$3:$AW$699,7,FALSE)="★","x","")</f>
        <v/>
      </c>
      <c r="M60" s="146" t="str">
        <f>IF(VLOOKUP($A60,Sheet1!$A$3:$AW$699,8,FALSE)="▲","x","")</f>
        <v/>
      </c>
      <c r="N60" s="146" t="str">
        <f>IF(VLOOKUP($A60,Sheet1!$A$3:$AW$699,9,FALSE)="●","x","")</f>
        <v/>
      </c>
      <c r="O60" s="146" t="str">
        <f>IF(VLOOKUP($A60,Sheet1!$A$3:$AW$699,10,FALSE)="■","x","")</f>
        <v/>
      </c>
      <c r="P60" s="9" t="str">
        <f>IF(VLOOKUP($A60,Sheet1!$A$3:$AW$699,2,FALSE)="","",VLOOKUP($A60,Sheet1!$A$3:$AW$699,2,FALSE))</f>
        <v/>
      </c>
    </row>
    <row r="61" spans="1:16" ht="30.6" x14ac:dyDescent="0.3">
      <c r="A61" s="9">
        <v>81</v>
      </c>
      <c r="B61" s="9" t="str">
        <f>IF(VLOOKUP($A61,Sheet1!$A$3:$AW$699,20,FALSE)="","",VLOOKUP($A61,Sheet1!$A$3:$AW$699,20,FALSE))</f>
        <v>CamMasterLockPosition</v>
      </c>
      <c r="C61" s="9" t="str">
        <f>IF(VLOOKUP($A61,Sheet1!$A$3:$AW$699,25,FALSE)="","",VLOOKUP($A61,Sheet1!$A$3:$AW$699,25,FALSE))</f>
        <v>IO</v>
      </c>
      <c r="D61" s="142">
        <f>IF(VLOOKUP($A61,Sheet1!$A$3:$AW$699,15,FALSE)="","",VLOOKUP($A61,Sheet1!$A$3:$AW$699,15,FALSE))</f>
        <v>-1073741824</v>
      </c>
      <c r="E61" s="142">
        <f>IF(VLOOKUP($A61,Sheet1!$A$3:$AW$699,16,FALSE)="","",VLOOKUP($A61,Sheet1!$A$3:$AW$699,16,FALSE))</f>
        <v>1073741823</v>
      </c>
      <c r="F61" s="142">
        <f>IF(VLOOKUP($A61,Sheet1!$A$3:$AW$699,17,FALSE)="","",VLOOKUP($A61,Sheet1!$A$3:$AW$699,17,FALSE))</f>
        <v>0</v>
      </c>
      <c r="G61" s="142" t="str">
        <f>IF(VLOOKUP($A61,Sheet1!$A$3:$AW$699,18,FALSE)="","",VLOOKUP($A61,Sheet1!$A$3:$AW$699,18,FALSE))</f>
        <v/>
      </c>
      <c r="H61" s="142" t="str">
        <f>IF(VLOOKUP($A61,Sheet1!$A$3:$AW$699,19,FALSE)="","",VLOOKUP($A61,Sheet1!$A$3:$AW$699,19,FALSE))</f>
        <v/>
      </c>
      <c r="I61" s="9" t="str">
        <f>IF(VLOOKUP($A61,Sheet1!$A$3:$AW$699,5,FALSE)="","",VLOOKUP($A61,Sheet1!$A$3:$AW$699,5,FALSE))</f>
        <v>DINT</v>
      </c>
      <c r="J61" s="9" t="s">
        <v>171</v>
      </c>
      <c r="K61" s="9" t="s">
        <v>115</v>
      </c>
      <c r="L61" s="146" t="str">
        <f>IF(VLOOKUP($A61,Sheet1!$A$3:$AW$699,7,FALSE)="★","x","")</f>
        <v/>
      </c>
      <c r="M61" s="146" t="str">
        <f>IF(VLOOKUP($A61,Sheet1!$A$3:$AW$699,8,FALSE)="▲","x","")</f>
        <v/>
      </c>
      <c r="N61" s="146" t="str">
        <f>IF(VLOOKUP($A61,Sheet1!$A$3:$AW$699,9,FALSE)="●","x","")</f>
        <v/>
      </c>
      <c r="O61" s="146" t="str">
        <f>IF(VLOOKUP($A61,Sheet1!$A$3:$AW$699,10,FALSE)="■","x","")</f>
        <v/>
      </c>
      <c r="P61" s="9" t="str">
        <f>IF(VLOOKUP($A61,Sheet1!$A$3:$AW$699,2,FALSE)="","",VLOOKUP($A61,Sheet1!$A$3:$AW$699,2,FALSE))</f>
        <v/>
      </c>
    </row>
    <row r="62" spans="1:16" x14ac:dyDescent="0.3">
      <c r="A62" s="9">
        <v>98</v>
      </c>
      <c r="B62" s="9" t="str">
        <f>IF(VLOOKUP($A62,Sheet1!$A$3:$AW$699,20,FALSE)="","",VLOOKUP($A62,Sheet1!$A$3:$AW$699,20,FALSE))</f>
        <v>DriveConnectionStatus</v>
      </c>
      <c r="C62" s="9" t="str">
        <f>IF(VLOOKUP($A62,Sheet1!$A$3:$AW$699,25,FALSE)="","",VLOOKUP($A62,Sheet1!$A$3:$AW$699,25,FALSE))</f>
        <v/>
      </c>
      <c r="D62" s="142" t="str">
        <f>IF(VLOOKUP($A62,Sheet1!$A$3:$AW$699,15,FALSE)="","",VLOOKUP($A62,Sheet1!$A$3:$AW$699,15,FALSE))</f>
        <v>0x00000000</v>
      </c>
      <c r="E62" s="142" t="str">
        <f>IF(VLOOKUP($A62,Sheet1!$A$3:$AW$699,16,FALSE)="","",VLOOKUP($A62,Sheet1!$A$3:$AW$699,16,FALSE))</f>
        <v>0xFFFFFFFF</v>
      </c>
      <c r="F62" s="142" t="str">
        <f>IF(VLOOKUP($A62,Sheet1!$A$3:$AW$699,17,FALSE)="","",VLOOKUP($A62,Sheet1!$A$3:$AW$699,17,FALSE))</f>
        <v>0x00000000</v>
      </c>
      <c r="G62" s="142" t="str">
        <f>IF(VLOOKUP($A62,Sheet1!$A$3:$AW$699,18,FALSE)="","",VLOOKUP($A62,Sheet1!$A$3:$AW$699,18,FALSE))</f>
        <v/>
      </c>
      <c r="H62" s="142" t="str">
        <f>IF(VLOOKUP($A62,Sheet1!$A$3:$AW$699,19,FALSE)="","",VLOOKUP($A62,Sheet1!$A$3:$AW$699,19,FALSE))</f>
        <v/>
      </c>
      <c r="I62" s="9" t="str">
        <f>IF(VLOOKUP($A62,Sheet1!$A$3:$AW$699,5,FALSE)="","",VLOOKUP($A62,Sheet1!$A$3:$AW$699,5,FALSE))</f>
        <v>UDINT</v>
      </c>
      <c r="J62" s="9" t="s">
        <v>172</v>
      </c>
      <c r="K62" s="9"/>
      <c r="L62" s="146" t="str">
        <f>IF(VLOOKUP($A62,Sheet1!$A$3:$AW$699,7,FALSE)="★","x","")</f>
        <v>x</v>
      </c>
      <c r="M62" s="146" t="str">
        <f>IF(VLOOKUP($A62,Sheet1!$A$3:$AW$699,8,FALSE)="▲","x","")</f>
        <v/>
      </c>
      <c r="N62" s="146" t="str">
        <f>IF(VLOOKUP($A62,Sheet1!$A$3:$AW$699,9,FALSE)="●","x","")</f>
        <v/>
      </c>
      <c r="O62" s="146" t="str">
        <f>IF(VLOOKUP($A62,Sheet1!$A$3:$AW$699,10,FALSE)="■","x","")</f>
        <v/>
      </c>
      <c r="P62" s="9" t="str">
        <f>IF(VLOOKUP($A62,Sheet1!$A$3:$AW$699,2,FALSE)="","",VLOOKUP($A62,Sheet1!$A$3:$AW$699,2,FALSE))</f>
        <v/>
      </c>
    </row>
    <row r="63" spans="1:16" x14ac:dyDescent="0.3">
      <c r="A63" s="9">
        <v>99</v>
      </c>
      <c r="B63" s="9" t="str">
        <f>IF(VLOOKUP($A63,Sheet1!$A$3:$AW$699,20,FALSE)="","",VLOOKUP($A63,Sheet1!$A$3:$AW$699,20,FALSE))</f>
        <v>DriveConfigurationSignature</v>
      </c>
      <c r="C63" s="9" t="str">
        <f>IF(VLOOKUP($A63,Sheet1!$A$3:$AW$699,25,FALSE)="","",VLOOKUP($A63,Sheet1!$A$3:$AW$699,25,FALSE))</f>
        <v/>
      </c>
      <c r="D63" s="142" t="str">
        <f>IF(VLOOKUP($A63,Sheet1!$A$3:$AW$699,15,FALSE)="","",VLOOKUP($A63,Sheet1!$A$3:$AW$699,15,FALSE))</f>
        <v>0x00000000</v>
      </c>
      <c r="E63" s="142" t="str">
        <f>IF(VLOOKUP($A63,Sheet1!$A$3:$AW$699,16,FALSE)="","",VLOOKUP($A63,Sheet1!$A$3:$AW$699,16,FALSE))</f>
        <v>0xFFFFFFFF</v>
      </c>
      <c r="F63" s="142" t="str">
        <f>IF(VLOOKUP($A63,Sheet1!$A$3:$AW$699,17,FALSE)="","",VLOOKUP($A63,Sheet1!$A$3:$AW$699,17,FALSE))</f>
        <v>0x00000000</v>
      </c>
      <c r="G63" s="142" t="str">
        <f>IF(VLOOKUP($A63,Sheet1!$A$3:$AW$699,18,FALSE)="","",VLOOKUP($A63,Sheet1!$A$3:$AW$699,18,FALSE))</f>
        <v/>
      </c>
      <c r="H63" s="142" t="str">
        <f>IF(VLOOKUP($A63,Sheet1!$A$3:$AW$699,19,FALSE)="","",VLOOKUP($A63,Sheet1!$A$3:$AW$699,19,FALSE))</f>
        <v/>
      </c>
      <c r="I63" s="9" t="str">
        <f>IF(VLOOKUP($A63,Sheet1!$A$3:$AW$699,5,FALSE)="","",VLOOKUP($A63,Sheet1!$A$3:$AW$699,5,FALSE))</f>
        <v>UDINT</v>
      </c>
      <c r="J63" s="9" t="s">
        <v>173</v>
      </c>
      <c r="K63" s="9"/>
      <c r="L63" s="146" t="str">
        <f>IF(VLOOKUP($A63,Sheet1!$A$3:$AW$699,7,FALSE)="★","x","")</f>
        <v>x</v>
      </c>
      <c r="M63" s="146" t="str">
        <f>IF(VLOOKUP($A63,Sheet1!$A$3:$AW$699,8,FALSE)="▲","x","")</f>
        <v/>
      </c>
      <c r="N63" s="146" t="str">
        <f>IF(VLOOKUP($A63,Sheet1!$A$3:$AW$699,9,FALSE)="●","x","")</f>
        <v/>
      </c>
      <c r="O63" s="146" t="str">
        <f>IF(VLOOKUP($A63,Sheet1!$A$3:$AW$699,10,FALSE)="■","x","")</f>
        <v/>
      </c>
      <c r="P63" s="9" t="str">
        <f>IF(VLOOKUP($A63,Sheet1!$A$3:$AW$699,2,FALSE)="","",VLOOKUP($A63,Sheet1!$A$3:$AW$699,2,FALSE))</f>
        <v/>
      </c>
    </row>
    <row r="64" spans="1:16" ht="30.6" x14ac:dyDescent="0.3">
      <c r="A64" s="9">
        <v>651</v>
      </c>
      <c r="B64" s="9" t="str">
        <f>IF(VLOOKUP($A64,Sheet1!$A$3:$AW$699,20,FALSE)="","",VLOOKUP($A64,Sheet1!$A$3:$AW$699,20,FALSE))</f>
        <v>HardwareRevision</v>
      </c>
      <c r="C64" s="9" t="str">
        <f>IF(VLOOKUP($A64,Sheet1!$A$3:$AW$699,25,FALSE)="","",VLOOKUP($A64,Sheet1!$A$3:$AW$699,25,FALSE))</f>
        <v>All</v>
      </c>
      <c r="D64" s="142">
        <f>IF(VLOOKUP($A64,Sheet1!$A$3:$AW$699,15,FALSE)="","",VLOOKUP($A64,Sheet1!$A$3:$AW$699,15,FALSE))</f>
        <v>0</v>
      </c>
      <c r="E64" s="142" t="str">
        <f>IF(VLOOKUP($A64,Sheet1!$A$3:$AW$699,16,FALSE)="","",VLOOKUP($A64,Sheet1!$A$3:$AW$699,16,FALSE))</f>
        <v>0xFFFF</v>
      </c>
      <c r="F64" s="142">
        <f>IF(VLOOKUP($A64,Sheet1!$A$3:$AW$699,17,FALSE)="","",VLOOKUP($A64,Sheet1!$A$3:$AW$699,17,FALSE))</f>
        <v>0</v>
      </c>
      <c r="G64" s="142" t="str">
        <f>IF(VLOOKUP($A64,Sheet1!$A$3:$AW$699,18,FALSE)="","",VLOOKUP($A64,Sheet1!$A$3:$AW$699,18,FALSE))</f>
        <v/>
      </c>
      <c r="H64" s="142" t="str">
        <f>IF(VLOOKUP($A64,Sheet1!$A$3:$AW$699,19,FALSE)="","",VLOOKUP($A64,Sheet1!$A$3:$AW$699,19,FALSE))</f>
        <v/>
      </c>
      <c r="I64" s="9" t="str">
        <f>IF(VLOOKUP($A64,Sheet1!$A$3:$AW$699,5,FALSE)="","",VLOOKUP($A64,Sheet1!$A$3:$AW$699,5,FALSE))</f>
        <v>UINT</v>
      </c>
      <c r="J64" s="9" t="s">
        <v>174</v>
      </c>
      <c r="K64" s="9" t="s">
        <v>115</v>
      </c>
      <c r="L64" s="146" t="str">
        <f>IF(VLOOKUP($A64,Sheet1!$A$3:$AW$699,7,FALSE)="★","x","")</f>
        <v>x</v>
      </c>
      <c r="M64" s="146" t="str">
        <f>IF(VLOOKUP($A64,Sheet1!$A$3:$AW$699,8,FALSE)="▲","x","")</f>
        <v/>
      </c>
      <c r="N64" s="146" t="str">
        <f>IF(VLOOKUP($A64,Sheet1!$A$3:$AW$699,9,FALSE)="●","x","")</f>
        <v/>
      </c>
      <c r="O64" s="146" t="str">
        <f>IF(VLOOKUP($A64,Sheet1!$A$3:$AW$699,10,FALSE)="■","x","")</f>
        <v>x</v>
      </c>
      <c r="P64" s="9" t="str">
        <f>IF(VLOOKUP($A64,Sheet1!$A$3:$AW$699,2,FALSE)="","",VLOOKUP($A64,Sheet1!$A$3:$AW$699,2,FALSE))</f>
        <v>PN.027</v>
      </c>
    </row>
    <row r="65" spans="1:16" x14ac:dyDescent="0.3">
      <c r="A65" s="9">
        <v>652</v>
      </c>
      <c r="B65" s="9" t="str">
        <f>IF(VLOOKUP($A65,Sheet1!$A$3:$AW$699,20,FALSE)="","",VLOOKUP($A65,Sheet1!$A$3:$AW$699,20,FALSE))</f>
        <v>DriveName</v>
      </c>
      <c r="C65" s="9" t="str">
        <f>IF(VLOOKUP($A65,Sheet1!$A$3:$AW$699,25,FALSE)="","",VLOOKUP($A65,Sheet1!$A$3:$AW$699,25,FALSE))</f>
        <v>All</v>
      </c>
      <c r="D65" s="142" t="str">
        <f>IF(VLOOKUP($A65,Sheet1!$A$3:$AW$699,15,FALSE)="","",VLOOKUP($A65,Sheet1!$A$3:$AW$699,15,FALSE))</f>
        <v/>
      </c>
      <c r="E65" s="142" t="str">
        <f>IF(VLOOKUP($A65,Sheet1!$A$3:$AW$699,16,FALSE)="","",VLOOKUP($A65,Sheet1!$A$3:$AW$699,16,FALSE))</f>
        <v/>
      </c>
      <c r="F65" s="142" t="str">
        <f>IF(VLOOKUP($A65,Sheet1!$A$3:$AW$699,17,FALSE)="","",VLOOKUP($A65,Sheet1!$A$3:$AW$699,17,FALSE))</f>
        <v/>
      </c>
      <c r="G65" s="142" t="str">
        <f>IF(VLOOKUP($A65,Sheet1!$A$3:$AW$699,18,FALSE)="","",VLOOKUP($A65,Sheet1!$A$3:$AW$699,18,FALSE))</f>
        <v/>
      </c>
      <c r="H65" s="142" t="str">
        <f>IF(VLOOKUP($A65,Sheet1!$A$3:$AW$699,19,FALSE)="","",VLOOKUP($A65,Sheet1!$A$3:$AW$699,19,FALSE))</f>
        <v/>
      </c>
      <c r="I65" s="9" t="str">
        <f>IF(VLOOKUP($A65,Sheet1!$A$3:$AW$699,5,FALSE)="","",VLOOKUP($A65,Sheet1!$A$3:$AW$699,5,FALSE))</f>
        <v>SHORT_STRING</v>
      </c>
      <c r="J65" s="9" t="s">
        <v>175</v>
      </c>
      <c r="K65" s="9" t="s">
        <v>115</v>
      </c>
      <c r="L65" s="146" t="str">
        <f>IF(VLOOKUP($A65,Sheet1!$A$3:$AW$699,7,FALSE)="★","x","")</f>
        <v/>
      </c>
      <c r="M65" s="146" t="str">
        <f>IF(VLOOKUP($A65,Sheet1!$A$3:$AW$699,8,FALSE)="▲","x","")</f>
        <v>x</v>
      </c>
      <c r="N65" s="146" t="str">
        <f>IF(VLOOKUP($A65,Sheet1!$A$3:$AW$699,9,FALSE)="●","x","")</f>
        <v/>
      </c>
      <c r="O65" s="146" t="str">
        <f>IF(VLOOKUP($A65,Sheet1!$A$3:$AW$699,10,FALSE)="■","x","")</f>
        <v/>
      </c>
      <c r="P65" s="9" t="str">
        <f>IF(VLOOKUP($A65,Sheet1!$A$3:$AW$699,2,FALSE)="","",VLOOKUP($A65,Sheet1!$A$3:$AW$699,2,FALSE))</f>
        <v>PN.028</v>
      </c>
    </row>
    <row r="66" spans="1:16" x14ac:dyDescent="0.3">
      <c r="A66" s="9">
        <v>653</v>
      </c>
      <c r="B66" s="9" t="str">
        <f>IF(VLOOKUP($A66,Sheet1!$A$3:$AW$699,20,FALSE)="","",VLOOKUP($A66,Sheet1!$A$3:$AW$699,20,FALSE))</f>
        <v>DriveSerialNumber</v>
      </c>
      <c r="C66" s="9" t="str">
        <f>IF(VLOOKUP($A66,Sheet1!$A$3:$AW$699,25,FALSE)="","",VLOOKUP($A66,Sheet1!$A$3:$AW$699,25,FALSE))</f>
        <v>All</v>
      </c>
      <c r="D66" s="142">
        <f>IF(VLOOKUP($A66,Sheet1!$A$3:$AW$699,15,FALSE)="","",VLOOKUP($A66,Sheet1!$A$3:$AW$699,15,FALSE))</f>
        <v>0</v>
      </c>
      <c r="E66" s="142" t="str">
        <f>IF(VLOOKUP($A66,Sheet1!$A$3:$AW$699,16,FALSE)="","",VLOOKUP($A66,Sheet1!$A$3:$AW$699,16,FALSE))</f>
        <v>0xFFFFFFFF</v>
      </c>
      <c r="F66" s="142">
        <f>IF(VLOOKUP($A66,Sheet1!$A$3:$AW$699,17,FALSE)="","",VLOOKUP($A66,Sheet1!$A$3:$AW$699,17,FALSE))</f>
        <v>0</v>
      </c>
      <c r="G66" s="142" t="str">
        <f>IF(VLOOKUP($A66,Sheet1!$A$3:$AW$699,18,FALSE)="","",VLOOKUP($A66,Sheet1!$A$3:$AW$699,18,FALSE))</f>
        <v/>
      </c>
      <c r="H66" s="142" t="str">
        <f>IF(VLOOKUP($A66,Sheet1!$A$3:$AW$699,19,FALSE)="","",VLOOKUP($A66,Sheet1!$A$3:$AW$699,19,FALSE))</f>
        <v/>
      </c>
      <c r="I66" s="9" t="str">
        <f>IF(VLOOKUP($A66,Sheet1!$A$3:$AW$699,5,FALSE)="","",VLOOKUP($A66,Sheet1!$A$3:$AW$699,5,FALSE))</f>
        <v>UDINT</v>
      </c>
      <c r="J66" s="9" t="s">
        <v>176</v>
      </c>
      <c r="K66" s="9" t="s">
        <v>115</v>
      </c>
      <c r="L66" s="146" t="str">
        <f>IF(VLOOKUP($A66,Sheet1!$A$3:$AW$699,7,FALSE)="★","x","")</f>
        <v>x</v>
      </c>
      <c r="M66" s="146" t="str">
        <f>IF(VLOOKUP($A66,Sheet1!$A$3:$AW$699,8,FALSE)="▲","x","")</f>
        <v/>
      </c>
      <c r="N66" s="146" t="str">
        <f>IF(VLOOKUP($A66,Sheet1!$A$3:$AW$699,9,FALSE)="●","x","")</f>
        <v/>
      </c>
      <c r="O66" s="146" t="str">
        <f>IF(VLOOKUP($A66,Sheet1!$A$3:$AW$699,10,FALSE)="■","x","")</f>
        <v>x</v>
      </c>
      <c r="P66" s="9" t="str">
        <f>IF(VLOOKUP($A66,Sheet1!$A$3:$AW$699,2,FALSE)="","",VLOOKUP($A66,Sheet1!$A$3:$AW$699,2,FALSE))</f>
        <v>PN.036</v>
      </c>
    </row>
    <row r="67" spans="1:16" x14ac:dyDescent="0.3">
      <c r="A67" s="9">
        <v>657</v>
      </c>
      <c r="B67" s="9" t="str">
        <f>IF(VLOOKUP($A67,Sheet1!$A$3:$AW$699,20,FALSE)="","",VLOOKUP($A67,Sheet1!$A$3:$AW$699,20,FALSE))</f>
        <v>InverterTemperature</v>
      </c>
      <c r="C67" s="9" t="str">
        <f>IF(VLOOKUP($A67,Sheet1!$A$3:$AW$699,25,FALSE)="","",VLOOKUP($A67,Sheet1!$A$3:$AW$699,25,FALSE))</f>
        <v>All</v>
      </c>
      <c r="D67" s="142">
        <f>IF(VLOOKUP($A67,Sheet1!$A$3:$AW$699,15,FALSE)="","",VLOOKUP($A67,Sheet1!$A$3:$AW$699,15,FALSE))</f>
        <v>0</v>
      </c>
      <c r="E67" s="142" t="str">
        <f>IF(VLOOKUP($A67,Sheet1!$A$3:$AW$699,16,FALSE)="","",VLOOKUP($A67,Sheet1!$A$3:$AW$699,16,FALSE))</f>
        <v>0xFFFFFFFF</v>
      </c>
      <c r="F67" s="142">
        <f>IF(VLOOKUP($A67,Sheet1!$A$3:$AW$699,17,FALSE)="","",VLOOKUP($A67,Sheet1!$A$3:$AW$699,17,FALSE))</f>
        <v>0</v>
      </c>
      <c r="G67" s="142" t="str">
        <f>IF(VLOOKUP($A67,Sheet1!$A$3:$AW$699,18,FALSE)="","",VLOOKUP($A67,Sheet1!$A$3:$AW$699,18,FALSE))</f>
        <v/>
      </c>
      <c r="H67" s="142" t="str">
        <f>IF(VLOOKUP($A67,Sheet1!$A$3:$AW$699,19,FALSE)="","",VLOOKUP($A67,Sheet1!$A$3:$AW$699,19,FALSE))</f>
        <v>oC</v>
      </c>
      <c r="I67" s="9" t="str">
        <f>IF(VLOOKUP($A67,Sheet1!$A$3:$AW$699,5,FALSE)="","",VLOOKUP($A67,Sheet1!$A$3:$AW$699,5,FALSE))</f>
        <v>UDINT</v>
      </c>
      <c r="J67" s="9" t="s">
        <v>177</v>
      </c>
      <c r="K67" s="9" t="s">
        <v>115</v>
      </c>
      <c r="L67" s="146" t="str">
        <f>IF(VLOOKUP($A67,Sheet1!$A$3:$AW$699,7,FALSE)="★","x","")</f>
        <v>x</v>
      </c>
      <c r="M67" s="146" t="str">
        <f>IF(VLOOKUP($A67,Sheet1!$A$3:$AW$699,8,FALSE)="▲","x","")</f>
        <v/>
      </c>
      <c r="N67" s="146" t="str">
        <f>IF(VLOOKUP($A67,Sheet1!$A$3:$AW$699,9,FALSE)="●","x","")</f>
        <v/>
      </c>
      <c r="O67" s="146" t="str">
        <f>IF(VLOOKUP($A67,Sheet1!$A$3:$AW$699,10,FALSE)="■","x","")</f>
        <v>x</v>
      </c>
      <c r="P67" s="9" t="str">
        <f>IF(VLOOKUP($A67,Sheet1!$A$3:$AW$699,2,FALSE)="","",VLOOKUP($A67,Sheet1!$A$3:$AW$699,2,FALSE))</f>
        <v>PN.039</v>
      </c>
    </row>
    <row r="68" spans="1:16" ht="183.6" x14ac:dyDescent="0.3">
      <c r="A68" s="9">
        <v>662</v>
      </c>
      <c r="B68" s="9" t="str">
        <f>IF(VLOOKUP($A68,Sheet1!$A$3:$AW$699,20,FALSE)="","",VLOOKUP($A68,Sheet1!$A$3:$AW$699,20,FALSE))</f>
        <v>ProductCode</v>
      </c>
      <c r="C68" s="9" t="str">
        <f>IF(VLOOKUP($A68,Sheet1!$A$3:$AW$699,25,FALSE)="","",VLOOKUP($A68,Sheet1!$A$3:$AW$699,25,FALSE))</f>
        <v>All</v>
      </c>
      <c r="D68" s="142">
        <f>IF(VLOOKUP($A68,Sheet1!$A$3:$AW$699,15,FALSE)="","",VLOOKUP($A68,Sheet1!$A$3:$AW$699,15,FALSE))</f>
        <v>1</v>
      </c>
      <c r="E68" s="142">
        <f>IF(VLOOKUP($A68,Sheet1!$A$3:$AW$699,16,FALSE)="","",VLOOKUP($A68,Sheet1!$A$3:$AW$699,16,FALSE))</f>
        <v>65535</v>
      </c>
      <c r="F68" s="142">
        <f>IF(VLOOKUP($A68,Sheet1!$A$3:$AW$699,17,FALSE)="","",VLOOKUP($A68,Sheet1!$A$3:$AW$699,17,FALSE))</f>
        <v>1</v>
      </c>
      <c r="G68" s="142" t="str">
        <f>IF(VLOOKUP($A68,Sheet1!$A$3:$AW$699,18,FALSE)="","",VLOOKUP($A68,Sheet1!$A$3:$AW$699,18,FALSE))</f>
        <v/>
      </c>
      <c r="H68" s="142" t="str">
        <f>IF(VLOOKUP($A68,Sheet1!$A$3:$AW$699,19,FALSE)="","",VLOOKUP($A68,Sheet1!$A$3:$AW$699,19,FALSE))</f>
        <v/>
      </c>
      <c r="I68" s="9" t="str">
        <f>IF(VLOOKUP($A68,Sheet1!$A$3:$AW$699,5,FALSE)="","",VLOOKUP($A68,Sheet1!$A$3:$AW$699,5,FALSE))</f>
        <v>UINT</v>
      </c>
      <c r="J68" s="9" t="s">
        <v>178</v>
      </c>
      <c r="K68" s="9" t="s">
        <v>115</v>
      </c>
      <c r="L68" s="146" t="str">
        <f>IF(VLOOKUP($A68,Sheet1!$A$3:$AW$699,7,FALSE)="★","x","")</f>
        <v>x</v>
      </c>
      <c r="M68" s="146" t="str">
        <f>IF(VLOOKUP($A68,Sheet1!$A$3:$AW$699,8,FALSE)="▲","x","")</f>
        <v/>
      </c>
      <c r="N68" s="146" t="str">
        <f>IF(VLOOKUP($A68,Sheet1!$A$3:$AW$699,9,FALSE)="●","x","")</f>
        <v/>
      </c>
      <c r="O68" s="146" t="str">
        <f>IF(VLOOKUP($A68,Sheet1!$A$3:$AW$699,10,FALSE)="■","x","")</f>
        <v>x</v>
      </c>
      <c r="P68" s="9" t="str">
        <f>IF(VLOOKUP($A68,Sheet1!$A$3:$AW$699,2,FALSE)="","",VLOOKUP($A68,Sheet1!$A$3:$AW$699,2,FALSE))</f>
        <v>PN.047</v>
      </c>
    </row>
    <row r="69" spans="1:16" x14ac:dyDescent="0.3">
      <c r="A69" s="9">
        <v>673</v>
      </c>
      <c r="B69" s="9" t="str">
        <f>IF(VLOOKUP($A69,Sheet1!$A$3:$AW$699,20,FALSE)="","",VLOOKUP($A69,Sheet1!$A$3:$AW$699,20,FALSE))</f>
        <v>FwRevision</v>
      </c>
      <c r="C69" s="9" t="str">
        <f>IF(VLOOKUP($A69,Sheet1!$A$3:$AW$699,25,FALSE)="","",VLOOKUP($A69,Sheet1!$A$3:$AW$699,25,FALSE))</f>
        <v>All</v>
      </c>
      <c r="D69" s="142">
        <f>IF(VLOOKUP($A69,Sheet1!$A$3:$AW$699,15,FALSE)="","",VLOOKUP($A69,Sheet1!$A$3:$AW$699,15,FALSE))</f>
        <v>0</v>
      </c>
      <c r="E69" s="142">
        <f>IF(VLOOKUP($A69,Sheet1!$A$3:$AW$699,16,FALSE)="","",VLOOKUP($A69,Sheet1!$A$3:$AW$699,16,FALSE))</f>
        <v>32767</v>
      </c>
      <c r="F69" s="142">
        <f>IF(VLOOKUP($A69,Sheet1!$A$3:$AW$699,17,FALSE)="","",VLOOKUP($A69,Sheet1!$A$3:$AW$699,17,FALSE))</f>
        <v>0</v>
      </c>
      <c r="G69" s="142" t="str">
        <f>IF(VLOOKUP($A69,Sheet1!$A$3:$AW$699,18,FALSE)="","",VLOOKUP($A69,Sheet1!$A$3:$AW$699,18,FALSE))</f>
        <v/>
      </c>
      <c r="H69" s="142" t="str">
        <f>IF(VLOOKUP($A69,Sheet1!$A$3:$AW$699,19,FALSE)="","",VLOOKUP($A69,Sheet1!$A$3:$AW$699,19,FALSE))</f>
        <v/>
      </c>
      <c r="I69" s="9" t="str">
        <f>IF(VLOOKUP($A69,Sheet1!$A$3:$AW$699,5,FALSE)="","",VLOOKUP($A69,Sheet1!$A$3:$AW$699,5,FALSE))</f>
        <v>INT</v>
      </c>
      <c r="J69" s="9" t="s">
        <v>179</v>
      </c>
      <c r="K69" s="9" t="s">
        <v>115</v>
      </c>
      <c r="L69" s="146" t="str">
        <f>IF(VLOOKUP($A69,Sheet1!$A$3:$AW$699,7,FALSE)="★","x","")</f>
        <v>x</v>
      </c>
      <c r="M69" s="146" t="str">
        <f>IF(VLOOKUP($A69,Sheet1!$A$3:$AW$699,8,FALSE)="▲","x","")</f>
        <v/>
      </c>
      <c r="N69" s="146" t="str">
        <f>IF(VLOOKUP($A69,Sheet1!$A$3:$AW$699,9,FALSE)="●","x","")</f>
        <v/>
      </c>
      <c r="O69" s="146" t="str">
        <f>IF(VLOOKUP($A69,Sheet1!$A$3:$AW$699,10,FALSE)="■","x","")</f>
        <v>x</v>
      </c>
      <c r="P69" s="9" t="str">
        <f>IF(VLOOKUP($A69,Sheet1!$A$3:$AW$699,2,FALSE)="","",VLOOKUP($A69,Sheet1!$A$3:$AW$699,2,FALSE))</f>
        <v>PN.048</v>
      </c>
    </row>
    <row r="70" spans="1:16" x14ac:dyDescent="0.3">
      <c r="A70" s="9">
        <v>674</v>
      </c>
      <c r="B70" s="9" t="str">
        <f>IF(VLOOKUP($A70,Sheet1!$A$3:$AW$699,20,FALSE)="","",VLOOKUP($A70,Sheet1!$A$3:$AW$699,20,FALSE))</f>
        <v>FwSubminorRevision</v>
      </c>
      <c r="C70" s="9" t="str">
        <f>IF(VLOOKUP($A70,Sheet1!$A$3:$AW$699,25,FALSE)="","",VLOOKUP($A70,Sheet1!$A$3:$AW$699,25,FALSE))</f>
        <v>All</v>
      </c>
      <c r="D70" s="142">
        <f>IF(VLOOKUP($A70,Sheet1!$A$3:$AW$699,15,FALSE)="","",VLOOKUP($A70,Sheet1!$A$3:$AW$699,15,FALSE))</f>
        <v>0</v>
      </c>
      <c r="E70" s="142">
        <f>IF(VLOOKUP($A70,Sheet1!$A$3:$AW$699,16,FALSE)="","",VLOOKUP($A70,Sheet1!$A$3:$AW$699,16,FALSE))</f>
        <v>2147483647</v>
      </c>
      <c r="F70" s="142">
        <f>IF(VLOOKUP($A70,Sheet1!$A$3:$AW$699,17,FALSE)="","",VLOOKUP($A70,Sheet1!$A$3:$AW$699,17,FALSE))</f>
        <v>0</v>
      </c>
      <c r="G70" s="142" t="str">
        <f>IF(VLOOKUP($A70,Sheet1!$A$3:$AW$699,18,FALSE)="","",VLOOKUP($A70,Sheet1!$A$3:$AW$699,18,FALSE))</f>
        <v/>
      </c>
      <c r="H70" s="142" t="str">
        <f>IF(VLOOKUP($A70,Sheet1!$A$3:$AW$699,19,FALSE)="","",VLOOKUP($A70,Sheet1!$A$3:$AW$699,19,FALSE))</f>
        <v/>
      </c>
      <c r="I70" s="9" t="str">
        <f>IF(VLOOKUP($A70,Sheet1!$A$3:$AW$699,5,FALSE)="","",VLOOKUP($A70,Sheet1!$A$3:$AW$699,5,FALSE))</f>
        <v>DINT</v>
      </c>
      <c r="J70" s="9" t="s">
        <v>180</v>
      </c>
      <c r="K70" s="9" t="s">
        <v>115</v>
      </c>
      <c r="L70" s="146" t="str">
        <f>IF(VLOOKUP($A70,Sheet1!$A$3:$AW$699,7,FALSE)="★","x","")</f>
        <v>x</v>
      </c>
      <c r="M70" s="146" t="str">
        <f>IF(VLOOKUP($A70,Sheet1!$A$3:$AW$699,8,FALSE)="▲","x","")</f>
        <v/>
      </c>
      <c r="N70" s="146" t="str">
        <f>IF(VLOOKUP($A70,Sheet1!$A$3:$AW$699,9,FALSE)="●","x","")</f>
        <v/>
      </c>
      <c r="O70" s="146" t="str">
        <f>IF(VLOOKUP($A70,Sheet1!$A$3:$AW$699,10,FALSE)="■","x","")</f>
        <v>x</v>
      </c>
      <c r="P70" s="9" t="str">
        <f>IF(VLOOKUP($A70,Sheet1!$A$3:$AW$699,2,FALSE)="","",VLOOKUP($A70,Sheet1!$A$3:$AW$699,2,FALSE))</f>
        <v>PN.049</v>
      </c>
    </row>
  </sheetData>
  <mergeCells count="2">
    <mergeCell ref="A1:B1"/>
    <mergeCell ref="A2:B2"/>
  </mergeCells>
  <conditionalFormatting sqref="A1:A1048576">
    <cfRule type="uniqueValues" priority="2"/>
  </conditionalFormatting>
  <hyperlinks>
    <hyperlink ref="J20" location="'Detailed Definitions'!B6" display="'Detailed Definitions'!B6" xr:uid="{A60C6CBD-21FD-49F6-955B-A3FB85D377A4}"/>
    <hyperlink ref="A2" r:id="rId1" display="Kinetix 5100 Servo Drive User Manual, publication 2198-UM004" xr:uid="{61A8DF74-4324-459E-B4ED-F2BDD7416FD1}"/>
  </hyperlinks>
  <pageMargins left="0.7" right="0.7" top="0.75" bottom="0.75" header="0.3" footer="0.3"/>
  <pageSetup paperSize="17" scale="97" fitToHeight="0"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7DDDB-9563-4998-8882-A5BA5761BA83}">
  <sheetPr>
    <pageSetUpPr fitToPage="1"/>
  </sheetPr>
  <dimension ref="A1:P101"/>
  <sheetViews>
    <sheetView zoomScaleNormal="100" workbookViewId="0">
      <pane xSplit="2" ySplit="4" topLeftCell="F92" activePane="bottomRight" state="frozen"/>
      <selection pane="topRight" activeCell="F18" sqref="F18"/>
      <selection pane="bottomLeft" activeCell="F18" sqref="F18"/>
      <selection pane="bottomRight" activeCell="B96" sqref="B96"/>
    </sheetView>
  </sheetViews>
  <sheetFormatPr defaultColWidth="9.109375" defaultRowHeight="14.4" x14ac:dyDescent="0.3"/>
  <cols>
    <col min="1" max="1" width="5.6640625" style="144" customWidth="1"/>
    <col min="2" max="2" width="24.33203125" style="144" customWidth="1"/>
    <col min="3" max="3" width="10.6640625" style="144" customWidth="1"/>
    <col min="4" max="4" width="13.109375" style="143" customWidth="1"/>
    <col min="5" max="5" width="13.33203125" style="143" customWidth="1"/>
    <col min="6" max="6" width="10.44140625" style="143" bestFit="1" customWidth="1"/>
    <col min="7" max="7" width="10.44140625" style="143" customWidth="1"/>
    <col min="8" max="8" width="10.6640625" style="143" customWidth="1"/>
    <col min="9" max="9" width="10.6640625" style="144" customWidth="1"/>
    <col min="10" max="10" width="58.6640625" style="144" customWidth="1"/>
    <col min="11" max="11" width="16.109375" style="144" customWidth="1"/>
    <col min="12" max="15" width="10.6640625" style="15" customWidth="1"/>
    <col min="16" max="16" width="10.6640625" style="144" customWidth="1"/>
    <col min="17" max="16384" width="9.109375" style="144"/>
  </cols>
  <sheetData>
    <row r="1" spans="1:16" ht="19.95" customHeight="1" x14ac:dyDescent="0.3">
      <c r="A1" s="224" t="s">
        <v>29</v>
      </c>
      <c r="B1" s="224"/>
      <c r="K1" s="145"/>
    </row>
    <row r="2" spans="1:16" s="105" customFormat="1" ht="19.95" customHeight="1" x14ac:dyDescent="0.3">
      <c r="A2" s="225" t="s">
        <v>30</v>
      </c>
      <c r="B2" s="225"/>
      <c r="C2" s="212"/>
      <c r="D2" s="148"/>
      <c r="E2" s="148"/>
      <c r="F2" s="148"/>
      <c r="G2" s="148"/>
      <c r="H2" s="148"/>
      <c r="I2" s="212"/>
      <c r="J2" s="212"/>
      <c r="K2" s="25"/>
      <c r="L2" s="26"/>
      <c r="M2" s="26"/>
      <c r="N2" s="26"/>
      <c r="O2" s="26"/>
      <c r="P2" s="212"/>
    </row>
    <row r="3" spans="1:16" ht="19.95" customHeight="1" x14ac:dyDescent="0.3">
      <c r="K3" s="145"/>
    </row>
    <row r="4" spans="1:16" s="5" customFormat="1" ht="19.95" customHeight="1" x14ac:dyDescent="0.3">
      <c r="A4" s="4" t="s">
        <v>31</v>
      </c>
      <c r="B4" s="4" t="s">
        <v>32</v>
      </c>
      <c r="C4" s="4" t="s">
        <v>33</v>
      </c>
      <c r="D4" s="4" t="s">
        <v>34</v>
      </c>
      <c r="E4" s="4" t="s">
        <v>35</v>
      </c>
      <c r="F4" s="4" t="s">
        <v>36</v>
      </c>
      <c r="G4" s="4" t="s">
        <v>37</v>
      </c>
      <c r="H4" s="4" t="s">
        <v>38</v>
      </c>
      <c r="I4" s="4" t="s">
        <v>39</v>
      </c>
      <c r="J4" s="4" t="s">
        <v>40</v>
      </c>
      <c r="K4" s="4" t="s">
        <v>41</v>
      </c>
      <c r="L4" s="4" t="s">
        <v>42</v>
      </c>
      <c r="M4" s="4" t="s">
        <v>43</v>
      </c>
      <c r="N4" s="4" t="s">
        <v>44</v>
      </c>
      <c r="O4" s="4" t="s">
        <v>45</v>
      </c>
      <c r="P4" s="4" t="s">
        <v>46</v>
      </c>
    </row>
    <row r="5" spans="1:16" ht="30.6" x14ac:dyDescent="0.3">
      <c r="A5" s="9">
        <v>100</v>
      </c>
      <c r="B5" s="9" t="str">
        <f>IF(VLOOKUP($A5,Sheet1!$A$3:$AW$699,20,FALSE)="","",VLOOKUP($A5,Sheet1!$A$3:$AW$699,20,FALSE))</f>
        <v>DSPFwVer</v>
      </c>
      <c r="C5" s="9" t="str">
        <f>IF(VLOOKUP($A5,Sheet1!$A$3:$AW$699,25,FALSE)="","",VLOOKUP($A5,Sheet1!$A$3:$AW$699,25,FALSE))</f>
        <v>All</v>
      </c>
      <c r="D5" s="142">
        <f>IF(VLOOKUP($A5,Sheet1!$A$3:$AW$699,15,FALSE)="","",VLOOKUP($A5,Sheet1!$A$3:$AW$699,15,FALSE))</f>
        <v>-32768</v>
      </c>
      <c r="E5" s="142">
        <f>IF(VLOOKUP($A5,Sheet1!$A$3:$AW$699,16,FALSE)="","",VLOOKUP($A5,Sheet1!$A$3:$AW$699,16,FALSE))</f>
        <v>32767</v>
      </c>
      <c r="F5" s="142">
        <f>IF(VLOOKUP($A5,Sheet1!$A$3:$AW$699,17,FALSE)="","",VLOOKUP($A5,Sheet1!$A$3:$AW$699,17,FALSE))</f>
        <v>0</v>
      </c>
      <c r="G5" s="142" t="str">
        <f>IF(VLOOKUP($A5,Sheet1!$A$3:$AW$699,18,FALSE)="","",VLOOKUP($A5,Sheet1!$A$3:$AW$699,18,FALSE))</f>
        <v/>
      </c>
      <c r="H5" s="142" t="str">
        <f>IF(VLOOKUP($A5,Sheet1!$A$3:$AW$699,19,FALSE)="","",VLOOKUP($A5,Sheet1!$A$3:$AW$699,19,FALSE))</f>
        <v/>
      </c>
      <c r="I5" s="9" t="str">
        <f>IF(VLOOKUP($A5,Sheet1!$A$3:$AW$699,5,FALSE)="","",VLOOKUP($A5,Sheet1!$A$3:$AW$699,5,FALSE))</f>
        <v>INT</v>
      </c>
      <c r="J5" s="9" t="s">
        <v>181</v>
      </c>
      <c r="K5" s="9" t="s">
        <v>182</v>
      </c>
      <c r="L5" s="146" t="str">
        <f>IF(VLOOKUP($A5,Sheet1!$A$3:$AW$699,7,FALSE)="★","x","")</f>
        <v>x</v>
      </c>
      <c r="M5" s="146" t="str">
        <f>IF(VLOOKUP($A5,Sheet1!$A$3:$AW$699,8,FALSE)="▲","x","")</f>
        <v/>
      </c>
      <c r="N5" s="146" t="str">
        <f>IF(VLOOKUP($A5,Sheet1!$A$3:$AW$699,9,FALSE)="●","x","")</f>
        <v/>
      </c>
      <c r="O5" s="146" t="str">
        <f>IF(VLOOKUP($A5,Sheet1!$A$3:$AW$699,10,FALSE)="■","x","")</f>
        <v>x</v>
      </c>
      <c r="P5" s="9" t="str">
        <f>IF(VLOOKUP($A5,Sheet1!$A$3:$AW$699,2,FALSE)="","",VLOOKUP($A5,Sheet1!$A$3:$AW$699,2,FALSE))</f>
        <v>P0.000</v>
      </c>
    </row>
    <row r="6" spans="1:16" ht="193.8" x14ac:dyDescent="0.3">
      <c r="A6" s="9">
        <v>103</v>
      </c>
      <c r="B6" s="9" t="str">
        <f>IF(VLOOKUP($A6,Sheet1!$A$3:$AW$699,20,FALSE)="","",VLOOKUP($A6,Sheet1!$A$3:$AW$699,20,FALSE))</f>
        <v>AOMonitorSelection</v>
      </c>
      <c r="C6" s="9" t="str">
        <f>IF(VLOOKUP($A6,Sheet1!$A$3:$AW$699,25,FALSE)="","",VLOOKUP($A6,Sheet1!$A$3:$AW$699,25,FALSE))</f>
        <v>All</v>
      </c>
      <c r="D6" s="142" t="str">
        <f>IF(VLOOKUP($A6,Sheet1!$A$3:$AW$699,15,FALSE)="","",VLOOKUP($A6,Sheet1!$A$3:$AW$699,15,FALSE))</f>
        <v>0x0000</v>
      </c>
      <c r="E6" s="142" t="str">
        <f>IF(VLOOKUP($A6,Sheet1!$A$3:$AW$699,16,FALSE)="","",VLOOKUP($A6,Sheet1!$A$3:$AW$699,16,FALSE))</f>
        <v>0x0077</v>
      </c>
      <c r="F6" s="142" t="str">
        <f>IF(VLOOKUP($A6,Sheet1!$A$3:$AW$699,17,FALSE)="","",VLOOKUP($A6,Sheet1!$A$3:$AW$699,17,FALSE))</f>
        <v>0x0000</v>
      </c>
      <c r="G6" s="142" t="str">
        <f>IF(VLOOKUP($A6,Sheet1!$A$3:$AW$699,18,FALSE)="","",VLOOKUP($A6,Sheet1!$A$3:$AW$699,18,FALSE))</f>
        <v/>
      </c>
      <c r="H6" s="142" t="str">
        <f>IF(VLOOKUP($A6,Sheet1!$A$3:$AW$699,19,FALSE)="","",VLOOKUP($A6,Sheet1!$A$3:$AW$699,19,FALSE))</f>
        <v/>
      </c>
      <c r="I6" s="9" t="str">
        <f>IF(VLOOKUP($A6,Sheet1!$A$3:$AW$699,5,FALSE)="","",VLOOKUP($A6,Sheet1!$A$3:$AW$699,5,FALSE))</f>
        <v>UINT</v>
      </c>
      <c r="J6" s="11" t="s">
        <v>183</v>
      </c>
      <c r="K6" s="9" t="s">
        <v>182</v>
      </c>
      <c r="L6" s="146" t="str">
        <f>IF(VLOOKUP($A6,Sheet1!$A$3:$AW$699,7,FALSE)="★","x","")</f>
        <v/>
      </c>
      <c r="M6" s="146" t="str">
        <f>IF(VLOOKUP($A6,Sheet1!$A$3:$AW$699,8,FALSE)="▲","x","")</f>
        <v/>
      </c>
      <c r="N6" s="146" t="str">
        <f>IF(VLOOKUP($A6,Sheet1!$A$3:$AW$699,9,FALSE)="●","x","")</f>
        <v/>
      </c>
      <c r="O6" s="146" t="str">
        <f>IF(VLOOKUP($A6,Sheet1!$A$3:$AW$699,10,FALSE)="■","x","")</f>
        <v/>
      </c>
      <c r="P6" s="9" t="str">
        <f>IF(VLOOKUP($A6,Sheet1!$A$3:$AW$699,2,FALSE)="","",VLOOKUP($A6,Sheet1!$A$3:$AW$699,2,FALSE))</f>
        <v>P0.003</v>
      </c>
    </row>
    <row r="7" spans="1:16" ht="91.8" x14ac:dyDescent="0.3">
      <c r="A7" s="9">
        <v>108</v>
      </c>
      <c r="B7" s="9" t="str">
        <f>IF(VLOOKUP($A7,Sheet1!$A$3:$AW$699,20,FALSE)="","",VLOOKUP($A7,Sheet1!$A$3:$AW$699,20,FALSE))</f>
        <v>EncoderDataUpdateConfiguration</v>
      </c>
      <c r="C7" s="9" t="str">
        <f>IF(VLOOKUP($A7,Sheet1!$A$3:$AW$699,25,FALSE)="","",VLOOKUP($A7,Sheet1!$A$3:$AW$699,25,FALSE))</f>
        <v>All</v>
      </c>
      <c r="D7" s="142" t="str">
        <f>IF(VLOOKUP($A7,Sheet1!$A$3:$AW$699,15,FALSE)="","",VLOOKUP($A7,Sheet1!$A$3:$AW$699,15,FALSE))</f>
        <v>0x0000</v>
      </c>
      <c r="E7" s="142" t="str">
        <f>IF(VLOOKUP($A7,Sheet1!$A$3:$AW$699,16,FALSE)="","",VLOOKUP($A7,Sheet1!$A$3:$AW$699,16,FALSE))</f>
        <v>0x0002</v>
      </c>
      <c r="F7" s="142" t="str">
        <f>IF(VLOOKUP($A7,Sheet1!$A$3:$AW$699,17,FALSE)="","",VLOOKUP($A7,Sheet1!$A$3:$AW$699,17,FALSE))</f>
        <v>0x0000</v>
      </c>
      <c r="G7" s="142" t="str">
        <f>IF(VLOOKUP($A7,Sheet1!$A$3:$AW$699,18,FALSE)="","",VLOOKUP($A7,Sheet1!$A$3:$AW$699,18,FALSE))</f>
        <v/>
      </c>
      <c r="H7" s="142" t="str">
        <f>IF(VLOOKUP($A7,Sheet1!$A$3:$AW$699,19,FALSE)="","",VLOOKUP($A7,Sheet1!$A$3:$AW$699,19,FALSE))</f>
        <v/>
      </c>
      <c r="I7" s="9" t="str">
        <f>IF(VLOOKUP($A7,Sheet1!$A$3:$AW$699,5,FALSE)="","",VLOOKUP($A7,Sheet1!$A$3:$AW$699,5,FALSE))</f>
        <v>UINT</v>
      </c>
      <c r="J7" s="11" t="s">
        <v>184</v>
      </c>
      <c r="K7" s="9" t="s">
        <v>182</v>
      </c>
      <c r="L7" s="146" t="str">
        <f>IF(VLOOKUP($A7,Sheet1!$A$3:$AW$699,7,FALSE)="★","x","")</f>
        <v/>
      </c>
      <c r="M7" s="146" t="str">
        <f>IF(VLOOKUP($A7,Sheet1!$A$3:$AW$699,8,FALSE)="▲","x","")</f>
        <v/>
      </c>
      <c r="N7" s="146" t="str">
        <f>IF(VLOOKUP($A7,Sheet1!$A$3:$AW$699,9,FALSE)="●","x","")</f>
        <v/>
      </c>
      <c r="O7" s="146" t="str">
        <f>IF(VLOOKUP($A7,Sheet1!$A$3:$AW$699,10,FALSE)="■","x","")</f>
        <v>x</v>
      </c>
      <c r="P7" s="9" t="str">
        <f>IF(VLOOKUP($A7,Sheet1!$A$3:$AW$699,2,FALSE)="","",VLOOKUP($A7,Sheet1!$A$3:$AW$699,2,FALSE))</f>
        <v>P0.049</v>
      </c>
    </row>
    <row r="8" spans="1:16" ht="61.2" x14ac:dyDescent="0.3">
      <c r="A8" s="9">
        <v>112</v>
      </c>
      <c r="B8" s="9" t="str">
        <f>IF(VLOOKUP($A8,Sheet1!$A$3:$AW$699,20,FALSE)="","",VLOOKUP($A8,Sheet1!$A$3:$AW$699,20,FALSE))</f>
        <v>SystemVariableMonitorFilterTime</v>
      </c>
      <c r="C8" s="9" t="str">
        <f>IF(VLOOKUP($A8,Sheet1!$A$3:$AW$699,25,FALSE)="","",VLOOKUP($A8,Sheet1!$A$3:$AW$699,25,FALSE))</f>
        <v>All</v>
      </c>
      <c r="D8" s="142" t="str">
        <f>IF(VLOOKUP($A8,Sheet1!$A$3:$AW$699,15,FALSE)="","",VLOOKUP($A8,Sheet1!$A$3:$AW$699,15,FALSE))</f>
        <v>0x0000</v>
      </c>
      <c r="E8" s="142" t="str">
        <f>IF(VLOOKUP($A8,Sheet1!$A$3:$AW$699,16,FALSE)="","",VLOOKUP($A8,Sheet1!$A$3:$AW$699,16,FALSE))</f>
        <v>0x000F</v>
      </c>
      <c r="F8" s="142" t="str">
        <f>IF(VLOOKUP($A8,Sheet1!$A$3:$AW$699,17,FALSE)="","",VLOOKUP($A8,Sheet1!$A$3:$AW$699,17,FALSE))</f>
        <v>0x0000</v>
      </c>
      <c r="G8" s="142" t="str">
        <f>IF(VLOOKUP($A8,Sheet1!$A$3:$AW$699,18,FALSE)="","",VLOOKUP($A8,Sheet1!$A$3:$AW$699,18,FALSE))</f>
        <v/>
      </c>
      <c r="H8" s="142" t="str">
        <f>IF(VLOOKUP($A8,Sheet1!$A$3:$AW$699,19,FALSE)="","",VLOOKUP($A8,Sheet1!$A$3:$AW$699,19,FALSE))</f>
        <v>ms</v>
      </c>
      <c r="I8" s="9" t="str">
        <f>IF(VLOOKUP($A8,Sheet1!$A$3:$AW$699,5,FALSE)="","",VLOOKUP($A8,Sheet1!$A$3:$AW$699,5,FALSE))</f>
        <v>UINT</v>
      </c>
      <c r="J8" s="11" t="s">
        <v>185</v>
      </c>
      <c r="K8" s="9" t="s">
        <v>182</v>
      </c>
      <c r="L8" s="146" t="str">
        <f>IF(VLOOKUP($A8,Sheet1!$A$3:$AW$699,7,FALSE)="★","x","")</f>
        <v/>
      </c>
      <c r="M8" s="146" t="str">
        <f>IF(VLOOKUP($A8,Sheet1!$A$3:$AW$699,8,FALSE)="▲","x","")</f>
        <v/>
      </c>
      <c r="N8" s="146" t="str">
        <f>IF(VLOOKUP($A8,Sheet1!$A$3:$AW$699,9,FALSE)="●","x","")</f>
        <v/>
      </c>
      <c r="O8" s="146" t="str">
        <f>IF(VLOOKUP($A8,Sheet1!$A$3:$AW$699,10,FALSE)="■","x","")</f>
        <v/>
      </c>
      <c r="P8" s="9" t="str">
        <f>IF(VLOOKUP($A8,Sheet1!$A$3:$AW$699,2,FALSE)="","",VLOOKUP($A8,Sheet1!$A$3:$AW$699,2,FALSE))</f>
        <v>P0.053</v>
      </c>
    </row>
    <row r="9" spans="1:16" ht="40.799999999999997" x14ac:dyDescent="0.3">
      <c r="A9" s="9">
        <v>113</v>
      </c>
      <c r="B9" s="9" t="str">
        <f>IF(VLOOKUP($A9,Sheet1!$A$3:$AW$699,20,FALSE)="","",VLOOKUP($A9,Sheet1!$A$3:$AW$699,20,FALSE))</f>
        <v>SystemVariableMonitorLowerLimit</v>
      </c>
      <c r="C9" s="9" t="str">
        <f>IF(VLOOKUP($A9,Sheet1!$A$3:$AW$699,25,FALSE)="","",VLOOKUP($A9,Sheet1!$A$3:$AW$699,25,FALSE))</f>
        <v>All</v>
      </c>
      <c r="D9" s="142">
        <f>IF(VLOOKUP($A9,Sheet1!$A$3:$AW$699,15,FALSE)="","",VLOOKUP($A9,Sheet1!$A$3:$AW$699,15,FALSE))</f>
        <v>-2147483648</v>
      </c>
      <c r="E9" s="142">
        <f>IF(VLOOKUP($A9,Sheet1!$A$3:$AW$699,16,FALSE)="","",VLOOKUP($A9,Sheet1!$A$3:$AW$699,16,FALSE))</f>
        <v>2147483647</v>
      </c>
      <c r="F9" s="142">
        <f>IF(VLOOKUP($A9,Sheet1!$A$3:$AW$699,17,FALSE)="","",VLOOKUP($A9,Sheet1!$A$3:$AW$699,17,FALSE))</f>
        <v>0</v>
      </c>
      <c r="G9" s="142" t="str">
        <f>IF(VLOOKUP($A9,Sheet1!$A$3:$AW$699,18,FALSE)="","",VLOOKUP($A9,Sheet1!$A$3:$AW$699,18,FALSE))</f>
        <v/>
      </c>
      <c r="H9" s="142" t="str">
        <f>IF(VLOOKUP($A9,Sheet1!$A$3:$AW$699,19,FALSE)="","",VLOOKUP($A9,Sheet1!$A$3:$AW$699,19,FALSE))</f>
        <v/>
      </c>
      <c r="I9" s="9" t="str">
        <f>IF(VLOOKUP($A9,Sheet1!$A$3:$AW$699,5,FALSE)="","",VLOOKUP($A9,Sheet1!$A$3:$AW$699,5,FALSE))</f>
        <v>DINT</v>
      </c>
      <c r="J9" s="9" t="s">
        <v>186</v>
      </c>
      <c r="K9" s="9" t="s">
        <v>182</v>
      </c>
      <c r="L9" s="146" t="str">
        <f>IF(VLOOKUP($A9,Sheet1!$A$3:$AW$699,7,FALSE)="★","x","")</f>
        <v/>
      </c>
      <c r="M9" s="146" t="str">
        <f>IF(VLOOKUP($A9,Sheet1!$A$3:$AW$699,8,FALSE)="▲","x","")</f>
        <v/>
      </c>
      <c r="N9" s="146" t="str">
        <f>IF(VLOOKUP($A9,Sheet1!$A$3:$AW$699,9,FALSE)="●","x","")</f>
        <v/>
      </c>
      <c r="O9" s="146" t="str">
        <f>IF(VLOOKUP($A9,Sheet1!$A$3:$AW$699,10,FALSE)="■","x","")</f>
        <v/>
      </c>
      <c r="P9" s="9" t="str">
        <f>IF(VLOOKUP($A9,Sheet1!$A$3:$AW$699,2,FALSE)="","",VLOOKUP($A9,Sheet1!$A$3:$AW$699,2,FALSE))</f>
        <v>P0.054</v>
      </c>
    </row>
    <row r="10" spans="1:16" ht="40.799999999999997" x14ac:dyDescent="0.3">
      <c r="A10" s="9">
        <v>114</v>
      </c>
      <c r="B10" s="9" t="str">
        <f>IF(VLOOKUP($A10,Sheet1!$A$3:$AW$699,20,FALSE)="","",VLOOKUP($A10,Sheet1!$A$3:$AW$699,20,FALSE))</f>
        <v>SystemVariableMonitorUpperLimit</v>
      </c>
      <c r="C10" s="9" t="str">
        <f>IF(VLOOKUP($A10,Sheet1!$A$3:$AW$699,25,FALSE)="","",VLOOKUP($A10,Sheet1!$A$3:$AW$699,25,FALSE))</f>
        <v>All</v>
      </c>
      <c r="D10" s="142">
        <f>IF(VLOOKUP($A10,Sheet1!$A$3:$AW$699,15,FALSE)="","",VLOOKUP($A10,Sheet1!$A$3:$AW$699,15,FALSE))</f>
        <v>-2147483648</v>
      </c>
      <c r="E10" s="142">
        <f>IF(VLOOKUP($A10,Sheet1!$A$3:$AW$699,16,FALSE)="","",VLOOKUP($A10,Sheet1!$A$3:$AW$699,16,FALSE))</f>
        <v>2147483647</v>
      </c>
      <c r="F10" s="142">
        <f>IF(VLOOKUP($A10,Sheet1!$A$3:$AW$699,17,FALSE)="","",VLOOKUP($A10,Sheet1!$A$3:$AW$699,17,FALSE))</f>
        <v>0</v>
      </c>
      <c r="G10" s="142" t="str">
        <f>IF(VLOOKUP($A10,Sheet1!$A$3:$AW$699,18,FALSE)="","",VLOOKUP($A10,Sheet1!$A$3:$AW$699,18,FALSE))</f>
        <v/>
      </c>
      <c r="H10" s="142" t="str">
        <f>IF(VLOOKUP($A10,Sheet1!$A$3:$AW$699,19,FALSE)="","",VLOOKUP($A10,Sheet1!$A$3:$AW$699,19,FALSE))</f>
        <v/>
      </c>
      <c r="I10" s="9" t="str">
        <f>IF(VLOOKUP($A10,Sheet1!$A$3:$AW$699,5,FALSE)="","",VLOOKUP($A10,Sheet1!$A$3:$AW$699,5,FALSE))</f>
        <v>DINT</v>
      </c>
      <c r="J10" s="9" t="s">
        <v>187</v>
      </c>
      <c r="K10" s="9" t="s">
        <v>182</v>
      </c>
      <c r="L10" s="146" t="str">
        <f>IF(VLOOKUP($A10,Sheet1!$A$3:$AW$699,7,FALSE)="★","x","")</f>
        <v/>
      </c>
      <c r="M10" s="146" t="str">
        <f>IF(VLOOKUP($A10,Sheet1!$A$3:$AW$699,8,FALSE)="▲","x","")</f>
        <v/>
      </c>
      <c r="N10" s="146" t="str">
        <f>IF(VLOOKUP($A10,Sheet1!$A$3:$AW$699,9,FALSE)="●","x","")</f>
        <v/>
      </c>
      <c r="O10" s="146" t="str">
        <f>IF(VLOOKUP($A10,Sheet1!$A$3:$AW$699,10,FALSE)="■","x","")</f>
        <v/>
      </c>
      <c r="P10" s="9" t="str">
        <f>IF(VLOOKUP($A10,Sheet1!$A$3:$AW$699,2,FALSE)="","",VLOOKUP($A10,Sheet1!$A$3:$AW$699,2,FALSE))</f>
        <v>P0.055</v>
      </c>
    </row>
    <row r="11" spans="1:16" ht="61.2" x14ac:dyDescent="0.3">
      <c r="A11" s="9">
        <v>116</v>
      </c>
      <c r="B11" s="9" t="str">
        <f>IF(VLOOKUP($A11,Sheet1!$A$3:$AW$699,20,FALSE)="","",VLOOKUP($A11,Sheet1!$A$3:$AW$699,20,FALSE))</f>
        <v>ExternalPulseType</v>
      </c>
      <c r="C11" s="9" t="str">
        <f>IF(VLOOKUP($A11,Sheet1!$A$3:$AW$699,25,FALSE)="","",VLOOKUP($A11,Sheet1!$A$3:$AW$699,25,FALSE))</f>
        <v>PT/IO</v>
      </c>
      <c r="D11" s="142" t="str">
        <f>IF(VLOOKUP($A11,Sheet1!$A$3:$AW$699,15,FALSE)="","",VLOOKUP($A11,Sheet1!$A$3:$AW$699,15,FALSE))</f>
        <v>0x0000</v>
      </c>
      <c r="E11" s="142" t="str">
        <f>IF(VLOOKUP($A11,Sheet1!$A$3:$AW$699,16,FALSE)="","",VLOOKUP($A11,Sheet1!$A$3:$AW$699,16,FALSE))</f>
        <v>0x11F7</v>
      </c>
      <c r="F11" s="142" t="str">
        <f>IF(VLOOKUP($A11,Sheet1!$A$3:$AW$699,17,FALSE)="","",VLOOKUP($A11,Sheet1!$A$3:$AW$699,17,FALSE))</f>
        <v>0x1042</v>
      </c>
      <c r="G11" s="142" t="str">
        <f>IF(VLOOKUP($A11,Sheet1!$A$3:$AW$699,18,FALSE)="","",VLOOKUP($A11,Sheet1!$A$3:$AW$699,18,FALSE))</f>
        <v/>
      </c>
      <c r="H11" s="142" t="str">
        <f>IF(VLOOKUP($A11,Sheet1!$A$3:$AW$699,19,FALSE)="","",VLOOKUP($A11,Sheet1!$A$3:$AW$699,19,FALSE))</f>
        <v/>
      </c>
      <c r="I11" s="9" t="str">
        <f>IF(VLOOKUP($A11,Sheet1!$A$3:$AW$699,5,FALSE)="","",VLOOKUP($A11,Sheet1!$A$3:$AW$699,5,FALSE))</f>
        <v>UINT</v>
      </c>
      <c r="J11" s="10" t="s">
        <v>188</v>
      </c>
      <c r="K11" s="9" t="s">
        <v>189</v>
      </c>
      <c r="L11" s="146" t="str">
        <f>IF(VLOOKUP($A11,Sheet1!$A$3:$AW$699,7,FALSE)="★","x","")</f>
        <v/>
      </c>
      <c r="M11" s="146" t="str">
        <f>IF(VLOOKUP($A11,Sheet1!$A$3:$AW$699,8,FALSE)="▲","x","")</f>
        <v>x</v>
      </c>
      <c r="N11" s="146" t="str">
        <f>IF(VLOOKUP($A11,Sheet1!$A$3:$AW$699,9,FALSE)="●","x","")</f>
        <v/>
      </c>
      <c r="O11" s="146" t="str">
        <f>IF(VLOOKUP($A11,Sheet1!$A$3:$AW$699,10,FALSE)="■","x","")</f>
        <v/>
      </c>
      <c r="P11" s="9" t="str">
        <f>IF(VLOOKUP($A11,Sheet1!$A$3:$AW$699,2,FALSE)="","",VLOOKUP($A11,Sheet1!$A$3:$AW$699,2,FALSE))</f>
        <v>P1.000</v>
      </c>
    </row>
    <row r="12" spans="1:16" ht="275.39999999999998" x14ac:dyDescent="0.3">
      <c r="A12" s="9">
        <v>117</v>
      </c>
      <c r="B12" s="9" t="str">
        <f>IF(VLOOKUP($A12,Sheet1!$A$3:$AW$699,20,FALSE)="","",VLOOKUP($A12,Sheet1!$A$3:$AW$699,20,FALSE))</f>
        <v>ControlMode</v>
      </c>
      <c r="C12" s="9" t="str">
        <f>IF(VLOOKUP($A12,Sheet1!$A$3:$AW$699,25,FALSE)="","",VLOOKUP($A12,Sheet1!$A$3:$AW$699,25,FALSE))</f>
        <v>All</v>
      </c>
      <c r="D12" s="142" t="str">
        <f>IF(VLOOKUP($A12,Sheet1!$A$3:$AW$699,15,FALSE)="","",VLOOKUP($A12,Sheet1!$A$3:$AW$699,15,FALSE))</f>
        <v>0x0000</v>
      </c>
      <c r="E12" s="142" t="str">
        <f>IF(VLOOKUP($A12,Sheet1!$A$3:$AW$699,16,FALSE)="","",VLOOKUP($A12,Sheet1!$A$3:$AW$699,16,FALSE))</f>
        <v>0x110F</v>
      </c>
      <c r="F12" s="142" t="str">
        <f>IF(VLOOKUP($A12,Sheet1!$A$3:$AW$699,17,FALSE)="","",VLOOKUP($A12,Sheet1!$A$3:$AW$699,17,FALSE))</f>
        <v>0x0000</v>
      </c>
      <c r="G12" s="142" t="str">
        <f>IF(VLOOKUP($A12,Sheet1!$A$3:$AW$699,18,FALSE)="","",VLOOKUP($A12,Sheet1!$A$3:$AW$699,18,FALSE))</f>
        <v/>
      </c>
      <c r="H12" s="142" t="str">
        <f>IF(VLOOKUP($A12,Sheet1!$A$3:$AW$699,19,FALSE)="","",VLOOKUP($A12,Sheet1!$A$3:$AW$699,19,FALSE))</f>
        <v/>
      </c>
      <c r="I12" s="9" t="str">
        <f>IF(VLOOKUP($A12,Sheet1!$A$3:$AW$699,5,FALSE)="","",VLOOKUP($A12,Sheet1!$A$3:$AW$699,5,FALSE))</f>
        <v>UINT</v>
      </c>
      <c r="J12" s="11" t="s">
        <v>190</v>
      </c>
      <c r="K12" s="9" t="s">
        <v>191</v>
      </c>
      <c r="L12" s="146" t="str">
        <f>IF(VLOOKUP($A12,Sheet1!$A$3:$AW$699,7,FALSE)="★","x","")</f>
        <v/>
      </c>
      <c r="M12" s="146" t="str">
        <f>IF(VLOOKUP($A12,Sheet1!$A$3:$AW$699,8,FALSE)="▲","x","")</f>
        <v/>
      </c>
      <c r="N12" s="146" t="str">
        <f>IF(VLOOKUP($A12,Sheet1!$A$3:$AW$699,9,FALSE)="●","x","")</f>
        <v>x</v>
      </c>
      <c r="O12" s="146" t="str">
        <f>IF(VLOOKUP($A12,Sheet1!$A$3:$AW$699,10,FALSE)="■","x","")</f>
        <v/>
      </c>
      <c r="P12" s="9" t="str">
        <f>IF(VLOOKUP($A12,Sheet1!$A$3:$AW$699,2,FALSE)="","",VLOOKUP($A12,Sheet1!$A$3:$AW$699,2,FALSE))</f>
        <v>P1.001</v>
      </c>
    </row>
    <row r="13" spans="1:16" ht="112.2" x14ac:dyDescent="0.3">
      <c r="A13" s="9">
        <v>118</v>
      </c>
      <c r="B13" s="9" t="str">
        <f>IF(VLOOKUP($A13,Sheet1!$A$3:$AW$699,20,FALSE)="","",VLOOKUP($A13,Sheet1!$A$3:$AW$699,20,FALSE))</f>
        <v>VelocityTorqueLimitAction</v>
      </c>
      <c r="C13" s="9" t="str">
        <f>IF(VLOOKUP($A13,Sheet1!$A$3:$AW$699,25,FALSE)="","",VLOOKUP($A13,Sheet1!$A$3:$AW$699,25,FALSE))</f>
        <v>All</v>
      </c>
      <c r="D13" s="142" t="str">
        <f>IF(VLOOKUP($A13,Sheet1!$A$3:$AW$699,15,FALSE)="","",VLOOKUP($A13,Sheet1!$A$3:$AW$699,15,FALSE))</f>
        <v>0x0000</v>
      </c>
      <c r="E13" s="142" t="str">
        <f>IF(VLOOKUP($A13,Sheet1!$A$3:$AW$699,16,FALSE)="","",VLOOKUP($A13,Sheet1!$A$3:$AW$699,16,FALSE))</f>
        <v>0x0011</v>
      </c>
      <c r="F13" s="142" t="str">
        <f>IF(VLOOKUP($A13,Sheet1!$A$3:$AW$699,17,FALSE)="","",VLOOKUP($A13,Sheet1!$A$3:$AW$699,17,FALSE))</f>
        <v>0x0000</v>
      </c>
      <c r="G13" s="142" t="str">
        <f>IF(VLOOKUP($A13,Sheet1!$A$3:$AW$699,18,FALSE)="","",VLOOKUP($A13,Sheet1!$A$3:$AW$699,18,FALSE))</f>
        <v/>
      </c>
      <c r="H13" s="142" t="str">
        <f>IF(VLOOKUP($A13,Sheet1!$A$3:$AW$699,19,FALSE)="","",VLOOKUP($A13,Sheet1!$A$3:$AW$699,19,FALSE))</f>
        <v/>
      </c>
      <c r="I13" s="9" t="str">
        <f>IF(VLOOKUP($A13,Sheet1!$A$3:$AW$699,5,FALSE)="","",VLOOKUP($A13,Sheet1!$A$3:$AW$699,5,FALSE))</f>
        <v>UINT</v>
      </c>
      <c r="J13" s="11" t="s">
        <v>192</v>
      </c>
      <c r="K13" s="9" t="s">
        <v>193</v>
      </c>
      <c r="L13" s="146" t="str">
        <f>IF(VLOOKUP($A13,Sheet1!$A$3:$AW$699,7,FALSE)="★","x","")</f>
        <v/>
      </c>
      <c r="M13" s="146" t="str">
        <f>IF(VLOOKUP($A13,Sheet1!$A$3:$AW$699,8,FALSE)="▲","x","")</f>
        <v>x</v>
      </c>
      <c r="N13" s="146" t="str">
        <f>IF(VLOOKUP($A13,Sheet1!$A$3:$AW$699,9,FALSE)="●","x","")</f>
        <v/>
      </c>
      <c r="O13" s="146" t="str">
        <f>IF(VLOOKUP($A13,Sheet1!$A$3:$AW$699,10,FALSE)="■","x","")</f>
        <v/>
      </c>
      <c r="P13" s="9" t="str">
        <f>IF(VLOOKUP($A13,Sheet1!$A$3:$AW$699,2,FALSE)="","",VLOOKUP($A13,Sheet1!$A$3:$AW$699,2,FALSE))</f>
        <v>P1.002</v>
      </c>
    </row>
    <row r="14" spans="1:16" ht="122.4" x14ac:dyDescent="0.3">
      <c r="A14" s="9">
        <v>119</v>
      </c>
      <c r="B14" s="9" t="str">
        <f>IF(VLOOKUP($A14,Sheet1!$A$3:$AW$699,20,FALSE)="","",VLOOKUP($A14,Sheet1!$A$3:$AW$699,20,FALSE))</f>
        <v>EncoderOutputPolarity</v>
      </c>
      <c r="C14" s="9" t="str">
        <f>IF(VLOOKUP($A14,Sheet1!$A$3:$AW$699,25,FALSE)="","",VLOOKUP($A14,Sheet1!$A$3:$AW$699,25,FALSE))</f>
        <v>All</v>
      </c>
      <c r="D14" s="142" t="str">
        <f>IF(VLOOKUP($A14,Sheet1!$A$3:$AW$699,15,FALSE)="","",VLOOKUP($A14,Sheet1!$A$3:$AW$699,15,FALSE))</f>
        <v>0x0000</v>
      </c>
      <c r="E14" s="142" t="str">
        <f>IF(VLOOKUP($A14,Sheet1!$A$3:$AW$699,16,FALSE)="","",VLOOKUP($A14,Sheet1!$A$3:$AW$699,16,FALSE))</f>
        <v>0x0013</v>
      </c>
      <c r="F14" s="142" t="str">
        <f>IF(VLOOKUP($A14,Sheet1!$A$3:$AW$699,17,FALSE)="","",VLOOKUP($A14,Sheet1!$A$3:$AW$699,17,FALSE))</f>
        <v>0x0000</v>
      </c>
      <c r="G14" s="142" t="str">
        <f>IF(VLOOKUP($A14,Sheet1!$A$3:$AW$699,18,FALSE)="","",VLOOKUP($A14,Sheet1!$A$3:$AW$699,18,FALSE))</f>
        <v/>
      </c>
      <c r="H14" s="142" t="str">
        <f>IF(VLOOKUP($A14,Sheet1!$A$3:$AW$699,19,FALSE)="","",VLOOKUP($A14,Sheet1!$A$3:$AW$699,19,FALSE))</f>
        <v/>
      </c>
      <c r="I14" s="9" t="str">
        <f>IF(VLOOKUP($A14,Sheet1!$A$3:$AW$699,5,FALSE)="","",VLOOKUP($A14,Sheet1!$A$3:$AW$699,5,FALSE))</f>
        <v>UINT</v>
      </c>
      <c r="J14" s="9" t="s">
        <v>194</v>
      </c>
      <c r="K14" s="9" t="s">
        <v>189</v>
      </c>
      <c r="L14" s="146" t="str">
        <f>IF(VLOOKUP($A14,Sheet1!$A$3:$AW$699,7,FALSE)="★","x","")</f>
        <v/>
      </c>
      <c r="M14" s="146" t="str">
        <f>IF(VLOOKUP($A14,Sheet1!$A$3:$AW$699,8,FALSE)="▲","x","")</f>
        <v/>
      </c>
      <c r="N14" s="146" t="str">
        <f>IF(VLOOKUP($A14,Sheet1!$A$3:$AW$699,9,FALSE)="●","x","")</f>
        <v/>
      </c>
      <c r="O14" s="146" t="str">
        <f>IF(VLOOKUP($A14,Sheet1!$A$3:$AW$699,10,FALSE)="■","x","")</f>
        <v/>
      </c>
      <c r="P14" s="9" t="str">
        <f>IF(VLOOKUP($A14,Sheet1!$A$3:$AW$699,2,FALSE)="","",VLOOKUP($A14,Sheet1!$A$3:$AW$699,2,FALSE))</f>
        <v>P1.003</v>
      </c>
    </row>
    <row r="15" spans="1:16" ht="20.399999999999999" x14ac:dyDescent="0.3">
      <c r="A15" s="9">
        <v>120</v>
      </c>
      <c r="B15" s="9" t="str">
        <f>IF(VLOOKUP($A15,Sheet1!$A$3:$AW$699,20,FALSE)="","",VLOOKUP($A15,Sheet1!$A$3:$AW$699,20,FALSE))</f>
        <v>AnalogOutput1Scale</v>
      </c>
      <c r="C15" s="9" t="str">
        <f>IF(VLOOKUP($A15,Sheet1!$A$3:$AW$699,25,FALSE)="","",VLOOKUP($A15,Sheet1!$A$3:$AW$699,25,FALSE))</f>
        <v>All</v>
      </c>
      <c r="D15" s="142">
        <f>IF(VLOOKUP($A15,Sheet1!$A$3:$AW$699,15,FALSE)="","",VLOOKUP($A15,Sheet1!$A$3:$AW$699,15,FALSE))</f>
        <v>0</v>
      </c>
      <c r="E15" s="142">
        <f>IF(VLOOKUP($A15,Sheet1!$A$3:$AW$699,16,FALSE)="","",VLOOKUP($A15,Sheet1!$A$3:$AW$699,16,FALSE))</f>
        <v>100</v>
      </c>
      <c r="F15" s="142">
        <f>IF(VLOOKUP($A15,Sheet1!$A$3:$AW$699,17,FALSE)="","",VLOOKUP($A15,Sheet1!$A$3:$AW$699,17,FALSE))</f>
        <v>100</v>
      </c>
      <c r="G15" s="142" t="str">
        <f>IF(VLOOKUP($A15,Sheet1!$A$3:$AW$699,18,FALSE)="","",VLOOKUP($A15,Sheet1!$A$3:$AW$699,18,FALSE))</f>
        <v/>
      </c>
      <c r="H15" s="142" t="str">
        <f>IF(VLOOKUP($A15,Sheet1!$A$3:$AW$699,19,FALSE)="","",VLOOKUP($A15,Sheet1!$A$3:$AW$699,19,FALSE))</f>
        <v>%</v>
      </c>
      <c r="I15" s="9" t="str">
        <f>IF(VLOOKUP($A15,Sheet1!$A$3:$AW$699,5,FALSE)="","",VLOOKUP($A15,Sheet1!$A$3:$AW$699,5,FALSE))</f>
        <v>INT</v>
      </c>
      <c r="J15" s="11" t="s">
        <v>195</v>
      </c>
      <c r="K15" s="9" t="s">
        <v>182</v>
      </c>
      <c r="L15" s="146" t="str">
        <f>IF(VLOOKUP($A15,Sheet1!$A$3:$AW$699,7,FALSE)="★","x","")</f>
        <v/>
      </c>
      <c r="M15" s="146" t="str">
        <f>IF(VLOOKUP($A15,Sheet1!$A$3:$AW$699,8,FALSE)="▲","x","")</f>
        <v/>
      </c>
      <c r="N15" s="146" t="str">
        <f>IF(VLOOKUP($A15,Sheet1!$A$3:$AW$699,9,FALSE)="●","x","")</f>
        <v/>
      </c>
      <c r="O15" s="146" t="str">
        <f>IF(VLOOKUP($A15,Sheet1!$A$3:$AW$699,10,FALSE)="■","x","")</f>
        <v/>
      </c>
      <c r="P15" s="9" t="str">
        <f>IF(VLOOKUP($A15,Sheet1!$A$3:$AW$699,2,FALSE)="","",VLOOKUP($A15,Sheet1!$A$3:$AW$699,2,FALSE))</f>
        <v>P1.004</v>
      </c>
    </row>
    <row r="16" spans="1:16" ht="20.399999999999999" x14ac:dyDescent="0.3">
      <c r="A16" s="9">
        <v>121</v>
      </c>
      <c r="B16" s="9" t="str">
        <f>IF(VLOOKUP($A16,Sheet1!$A$3:$AW$699,20,FALSE)="","",VLOOKUP($A16,Sheet1!$A$3:$AW$699,20,FALSE))</f>
        <v>AnalogOutput2Scale</v>
      </c>
      <c r="C16" s="9" t="str">
        <f>IF(VLOOKUP($A16,Sheet1!$A$3:$AW$699,25,FALSE)="","",VLOOKUP($A16,Sheet1!$A$3:$AW$699,25,FALSE))</f>
        <v>All</v>
      </c>
      <c r="D16" s="142">
        <f>IF(VLOOKUP($A16,Sheet1!$A$3:$AW$699,15,FALSE)="","",VLOOKUP($A16,Sheet1!$A$3:$AW$699,15,FALSE))</f>
        <v>0</v>
      </c>
      <c r="E16" s="142">
        <f>IF(VLOOKUP($A16,Sheet1!$A$3:$AW$699,16,FALSE)="","",VLOOKUP($A16,Sheet1!$A$3:$AW$699,16,FALSE))</f>
        <v>100</v>
      </c>
      <c r="F16" s="142">
        <f>IF(VLOOKUP($A16,Sheet1!$A$3:$AW$699,17,FALSE)="","",VLOOKUP($A16,Sheet1!$A$3:$AW$699,17,FALSE))</f>
        <v>100</v>
      </c>
      <c r="G16" s="142" t="str">
        <f>IF(VLOOKUP($A16,Sheet1!$A$3:$AW$699,18,FALSE)="","",VLOOKUP($A16,Sheet1!$A$3:$AW$699,18,FALSE))</f>
        <v/>
      </c>
      <c r="H16" s="142" t="str">
        <f>IF(VLOOKUP($A16,Sheet1!$A$3:$AW$699,19,FALSE)="","",VLOOKUP($A16,Sheet1!$A$3:$AW$699,19,FALSE))</f>
        <v>%</v>
      </c>
      <c r="I16" s="9" t="str">
        <f>IF(VLOOKUP($A16,Sheet1!$A$3:$AW$699,5,FALSE)="","",VLOOKUP($A16,Sheet1!$A$3:$AW$699,5,FALSE))</f>
        <v>INT</v>
      </c>
      <c r="J16" s="11" t="s">
        <v>196</v>
      </c>
      <c r="K16" s="9" t="s">
        <v>182</v>
      </c>
      <c r="L16" s="146" t="str">
        <f>IF(VLOOKUP($A16,Sheet1!$A$3:$AW$699,7,FALSE)="★","x","")</f>
        <v/>
      </c>
      <c r="M16" s="146" t="str">
        <f>IF(VLOOKUP($A16,Sheet1!$A$3:$AW$699,8,FALSE)="▲","x","")</f>
        <v/>
      </c>
      <c r="N16" s="146" t="str">
        <f>IF(VLOOKUP($A16,Sheet1!$A$3:$AW$699,9,FALSE)="●","x","")</f>
        <v/>
      </c>
      <c r="O16" s="146" t="str">
        <f>IF(VLOOKUP($A16,Sheet1!$A$3:$AW$699,10,FALSE)="■","x","")</f>
        <v/>
      </c>
      <c r="P16" s="9" t="str">
        <f>IF(VLOOKUP($A16,Sheet1!$A$3:$AW$699,2,FALSE)="","",VLOOKUP($A16,Sheet1!$A$3:$AW$699,2,FALSE))</f>
        <v>P1.005</v>
      </c>
    </row>
    <row r="17" spans="1:16" ht="40.799999999999997" x14ac:dyDescent="0.3">
      <c r="A17" s="9">
        <v>125</v>
      </c>
      <c r="B17" s="9" t="str">
        <f>IF(VLOOKUP($A17,Sheet1!$A$3:$AW$699,20,FALSE)="","",VLOOKUP($A17,Sheet1!$A$3:$AW$699,20,FALSE))</f>
        <v>PresetVelocityCmd_Limit_1</v>
      </c>
      <c r="C17" s="9" t="str">
        <f>IF(VLOOKUP($A17,Sheet1!$A$3:$AW$699,25,FALSE)="","",VLOOKUP($A17,Sheet1!$A$3:$AW$699,25,FALSE))</f>
        <v>S/Sz/T/Tz/IO</v>
      </c>
      <c r="D17" s="142" t="str">
        <f>IF(VLOOKUP($A17,Sheet1!$A$3:$AW$699,15,FALSE)="","",VLOOKUP($A17,Sheet1!$A$3:$AW$699,15,FALSE))</f>
        <v>-285000
-15999999</v>
      </c>
      <c r="E17" s="142" t="str">
        <f>IF(VLOOKUP($A17,Sheet1!$A$3:$AW$699,16,FALSE)="","",VLOOKUP($A17,Sheet1!$A$3:$AW$699,16,FALSE))</f>
        <v>285000
15999999</v>
      </c>
      <c r="F17" s="142" t="str">
        <f>IF(VLOOKUP($A17,Sheet1!$A$3:$AW$699,17,FALSE)="","",VLOOKUP($A17,Sheet1!$A$3:$AW$699,17,FALSE))</f>
        <v>1000
1000</v>
      </c>
      <c r="G17" s="142" t="str">
        <f>IF(VLOOKUP($A17,Sheet1!$A$3:$AW$699,18,FALSE)="","",VLOOKUP($A17,Sheet1!$A$3:$AW$699,18,FALSE))</f>
        <v>0.1
1</v>
      </c>
      <c r="H17" s="142" t="str">
        <f>IF(VLOOKUP($A17,Sheet1!$A$3:$AW$699,19,FALSE)="","",VLOOKUP($A17,Sheet1!$A$3:$AW$699,19,FALSE))</f>
        <v>RPM
um/s</v>
      </c>
      <c r="I17" s="9" t="str">
        <f>IF(VLOOKUP($A17,Sheet1!$A$3:$AW$699,5,FALSE)="","",VLOOKUP($A17,Sheet1!$A$3:$AW$699,5,FALSE))</f>
        <v>DINT</v>
      </c>
      <c r="J17" s="11" t="s">
        <v>197</v>
      </c>
      <c r="K17" s="9" t="s">
        <v>182</v>
      </c>
      <c r="L17" s="146" t="str">
        <f>IF(VLOOKUP($A17,Sheet1!$A$3:$AW$699,7,FALSE)="★","x","")</f>
        <v/>
      </c>
      <c r="M17" s="146" t="str">
        <f>IF(VLOOKUP($A17,Sheet1!$A$3:$AW$699,8,FALSE)="▲","x","")</f>
        <v/>
      </c>
      <c r="N17" s="146" t="str">
        <f>IF(VLOOKUP($A17,Sheet1!$A$3:$AW$699,9,FALSE)="●","x","")</f>
        <v/>
      </c>
      <c r="O17" s="146" t="str">
        <f>IF(VLOOKUP($A17,Sheet1!$A$3:$AW$699,10,FALSE)="■","x","")</f>
        <v/>
      </c>
      <c r="P17" s="9" t="str">
        <f>IF(VLOOKUP($A17,Sheet1!$A$3:$AW$699,2,FALSE)="","",VLOOKUP($A17,Sheet1!$A$3:$AW$699,2,FALSE))</f>
        <v>P1.009</v>
      </c>
    </row>
    <row r="18" spans="1:16" ht="40.799999999999997" x14ac:dyDescent="0.3">
      <c r="A18" s="9">
        <v>126</v>
      </c>
      <c r="B18" s="9" t="str">
        <f>IF(VLOOKUP($A18,Sheet1!$A$3:$AW$699,20,FALSE)="","",VLOOKUP($A18,Sheet1!$A$3:$AW$699,20,FALSE))</f>
        <v>PresetVelocityCmd_Limit_2</v>
      </c>
      <c r="C18" s="9" t="str">
        <f>IF(VLOOKUP($A18,Sheet1!$A$3:$AW$699,25,FALSE)="","",VLOOKUP($A18,Sheet1!$A$3:$AW$699,25,FALSE))</f>
        <v>S/Sz/T/Tz/IO</v>
      </c>
      <c r="D18" s="142" t="str">
        <f>IF(VLOOKUP($A18,Sheet1!$A$3:$AW$699,15,FALSE)="","",VLOOKUP($A18,Sheet1!$A$3:$AW$699,15,FALSE))</f>
        <v>-285000
-15999999</v>
      </c>
      <c r="E18" s="142" t="str">
        <f>IF(VLOOKUP($A18,Sheet1!$A$3:$AW$699,16,FALSE)="","",VLOOKUP($A18,Sheet1!$A$3:$AW$699,16,FALSE))</f>
        <v>285000
15999999</v>
      </c>
      <c r="F18" s="142" t="str">
        <f>IF(VLOOKUP($A18,Sheet1!$A$3:$AW$699,17,FALSE)="","",VLOOKUP($A18,Sheet1!$A$3:$AW$699,17,FALSE))</f>
        <v>2000
2000</v>
      </c>
      <c r="G18" s="142" t="str">
        <f>IF(VLOOKUP($A18,Sheet1!$A$3:$AW$699,18,FALSE)="","",VLOOKUP($A18,Sheet1!$A$3:$AW$699,18,FALSE))</f>
        <v>0.1
1</v>
      </c>
      <c r="H18" s="142" t="str">
        <f>IF(VLOOKUP($A18,Sheet1!$A$3:$AW$699,19,FALSE)="","",VLOOKUP($A18,Sheet1!$A$3:$AW$699,19,FALSE))</f>
        <v>RPM
um/s</v>
      </c>
      <c r="I18" s="9" t="str">
        <f>IF(VLOOKUP($A18,Sheet1!$A$3:$AW$699,5,FALSE)="","",VLOOKUP($A18,Sheet1!$A$3:$AW$699,5,FALSE))</f>
        <v>DINT</v>
      </c>
      <c r="J18" s="11" t="s">
        <v>198</v>
      </c>
      <c r="K18" s="9" t="s">
        <v>182</v>
      </c>
      <c r="L18" s="146" t="str">
        <f>IF(VLOOKUP($A18,Sheet1!$A$3:$AW$699,7,FALSE)="★","x","")</f>
        <v/>
      </c>
      <c r="M18" s="146" t="str">
        <f>IF(VLOOKUP($A18,Sheet1!$A$3:$AW$699,8,FALSE)="▲","x","")</f>
        <v/>
      </c>
      <c r="N18" s="146" t="str">
        <f>IF(VLOOKUP($A18,Sheet1!$A$3:$AW$699,9,FALSE)="●","x","")</f>
        <v/>
      </c>
      <c r="O18" s="146" t="str">
        <f>IF(VLOOKUP($A18,Sheet1!$A$3:$AW$699,10,FALSE)="■","x","")</f>
        <v/>
      </c>
      <c r="P18" s="9" t="str">
        <f>IF(VLOOKUP($A18,Sheet1!$A$3:$AW$699,2,FALSE)="","",VLOOKUP($A18,Sheet1!$A$3:$AW$699,2,FALSE))</f>
        <v>P1.010</v>
      </c>
    </row>
    <row r="19" spans="1:16" ht="40.799999999999997" x14ac:dyDescent="0.3">
      <c r="A19" s="9">
        <v>127</v>
      </c>
      <c r="B19" s="9" t="str">
        <f>IF(VLOOKUP($A19,Sheet1!$A$3:$AW$699,20,FALSE)="","",VLOOKUP($A19,Sheet1!$A$3:$AW$699,20,FALSE))</f>
        <v>PresetVelocityCmd_Limit_3</v>
      </c>
      <c r="C19" s="9" t="str">
        <f>IF(VLOOKUP($A19,Sheet1!$A$3:$AW$699,25,FALSE)="","",VLOOKUP($A19,Sheet1!$A$3:$AW$699,25,FALSE))</f>
        <v>S/Sz/T/Tz/IO</v>
      </c>
      <c r="D19" s="142" t="str">
        <f>IF(VLOOKUP($A19,Sheet1!$A$3:$AW$699,15,FALSE)="","",VLOOKUP($A19,Sheet1!$A$3:$AW$699,15,FALSE))</f>
        <v>-285000
-15999999</v>
      </c>
      <c r="E19" s="142" t="str">
        <f>IF(VLOOKUP($A19,Sheet1!$A$3:$AW$699,16,FALSE)="","",VLOOKUP($A19,Sheet1!$A$3:$AW$699,16,FALSE))</f>
        <v>285000
15999999</v>
      </c>
      <c r="F19" s="142" t="str">
        <f>IF(VLOOKUP($A19,Sheet1!$A$3:$AW$699,17,FALSE)="","",VLOOKUP($A19,Sheet1!$A$3:$AW$699,17,FALSE))</f>
        <v>3000
3000</v>
      </c>
      <c r="G19" s="142" t="str">
        <f>IF(VLOOKUP($A19,Sheet1!$A$3:$AW$699,18,FALSE)="","",VLOOKUP($A19,Sheet1!$A$3:$AW$699,18,FALSE))</f>
        <v>0.1
1</v>
      </c>
      <c r="H19" s="142" t="str">
        <f>IF(VLOOKUP($A19,Sheet1!$A$3:$AW$699,19,FALSE)="","",VLOOKUP($A19,Sheet1!$A$3:$AW$699,19,FALSE))</f>
        <v>RPM
um/s</v>
      </c>
      <c r="I19" s="9" t="str">
        <f>IF(VLOOKUP($A19,Sheet1!$A$3:$AW$699,5,FALSE)="","",VLOOKUP($A19,Sheet1!$A$3:$AW$699,5,FALSE))</f>
        <v>DINT</v>
      </c>
      <c r="J19" s="11" t="s">
        <v>199</v>
      </c>
      <c r="K19" s="9" t="s">
        <v>182</v>
      </c>
      <c r="L19" s="146" t="str">
        <f>IF(VLOOKUP($A19,Sheet1!$A$3:$AW$699,7,FALSE)="★","x","")</f>
        <v/>
      </c>
      <c r="M19" s="146" t="str">
        <f>IF(VLOOKUP($A19,Sheet1!$A$3:$AW$699,8,FALSE)="▲","x","")</f>
        <v/>
      </c>
      <c r="N19" s="146" t="str">
        <f>IF(VLOOKUP($A19,Sheet1!$A$3:$AW$699,9,FALSE)="●","x","")</f>
        <v/>
      </c>
      <c r="O19" s="146" t="str">
        <f>IF(VLOOKUP($A19,Sheet1!$A$3:$AW$699,10,FALSE)="■","x","")</f>
        <v/>
      </c>
      <c r="P19" s="9" t="str">
        <f>IF(VLOOKUP($A19,Sheet1!$A$3:$AW$699,2,FALSE)="","",VLOOKUP($A19,Sheet1!$A$3:$AW$699,2,FALSE))</f>
        <v>P1.011</v>
      </c>
    </row>
    <row r="20" spans="1:16" ht="40.799999999999997" x14ac:dyDescent="0.3">
      <c r="A20" s="9">
        <v>128</v>
      </c>
      <c r="B20" s="9" t="str">
        <f>IF(VLOOKUP($A20,Sheet1!$A$3:$AW$699,20,FALSE)="","",VLOOKUP($A20,Sheet1!$A$3:$AW$699,20,FALSE))</f>
        <v>PresetTorqueCmd_Limit_1</v>
      </c>
      <c r="C20" s="9" t="str">
        <f>IF(VLOOKUP($A20,Sheet1!$A$3:$AW$699,25,FALSE)="","",VLOOKUP($A20,Sheet1!$A$3:$AW$699,25,FALSE))</f>
        <v>T/Tz/PT/PR/S/Sz/IO</v>
      </c>
      <c r="D20" s="142">
        <f>IF(VLOOKUP($A20,Sheet1!$A$3:$AW$699,15,FALSE)="","",VLOOKUP($A20,Sheet1!$A$3:$AW$699,15,FALSE))</f>
        <v>-420</v>
      </c>
      <c r="E20" s="142">
        <f>IF(VLOOKUP($A20,Sheet1!$A$3:$AW$699,16,FALSE)="","",VLOOKUP($A20,Sheet1!$A$3:$AW$699,16,FALSE))</f>
        <v>420</v>
      </c>
      <c r="F20" s="142">
        <f>IF(VLOOKUP($A20,Sheet1!$A$3:$AW$699,17,FALSE)="","",VLOOKUP($A20,Sheet1!$A$3:$AW$699,17,FALSE))</f>
        <v>100</v>
      </c>
      <c r="G20" s="142" t="str">
        <f>IF(VLOOKUP($A20,Sheet1!$A$3:$AW$699,18,FALSE)="","",VLOOKUP($A20,Sheet1!$A$3:$AW$699,18,FALSE))</f>
        <v/>
      </c>
      <c r="H20" s="142" t="str">
        <f>IF(VLOOKUP($A20,Sheet1!$A$3:$AW$699,19,FALSE)="","",VLOOKUP($A20,Sheet1!$A$3:$AW$699,19,FALSE))</f>
        <v>%</v>
      </c>
      <c r="I20" s="9" t="str">
        <f>IF(VLOOKUP($A20,Sheet1!$A$3:$AW$699,5,FALSE)="","",VLOOKUP($A20,Sheet1!$A$3:$AW$699,5,FALSE))</f>
        <v>INT</v>
      </c>
      <c r="J20" s="11" t="s">
        <v>200</v>
      </c>
      <c r="K20" s="9" t="s">
        <v>193</v>
      </c>
      <c r="L20" s="146" t="str">
        <f>IF(VLOOKUP($A20,Sheet1!$A$3:$AW$699,7,FALSE)="★","x","")</f>
        <v/>
      </c>
      <c r="M20" s="146" t="str">
        <f>IF(VLOOKUP($A20,Sheet1!$A$3:$AW$699,8,FALSE)="▲","x","")</f>
        <v/>
      </c>
      <c r="N20" s="146" t="str">
        <f>IF(VLOOKUP($A20,Sheet1!$A$3:$AW$699,9,FALSE)="●","x","")</f>
        <v/>
      </c>
      <c r="O20" s="146" t="str">
        <f>IF(VLOOKUP($A20,Sheet1!$A$3:$AW$699,10,FALSE)="■","x","")</f>
        <v/>
      </c>
      <c r="P20" s="9" t="str">
        <f>IF(VLOOKUP($A20,Sheet1!$A$3:$AW$699,2,FALSE)="","",VLOOKUP($A20,Sheet1!$A$3:$AW$699,2,FALSE))</f>
        <v>P1.012</v>
      </c>
    </row>
    <row r="21" spans="1:16" ht="40.799999999999997" x14ac:dyDescent="0.3">
      <c r="A21" s="9">
        <v>129</v>
      </c>
      <c r="B21" s="9" t="str">
        <f>IF(VLOOKUP($A21,Sheet1!$A$3:$AW$699,20,FALSE)="","",VLOOKUP($A21,Sheet1!$A$3:$AW$699,20,FALSE))</f>
        <v>PresetTorqueCmd_Limit_2</v>
      </c>
      <c r="C21" s="9" t="str">
        <f>IF(VLOOKUP($A21,Sheet1!$A$3:$AW$699,25,FALSE)="","",VLOOKUP($A21,Sheet1!$A$3:$AW$699,25,FALSE))</f>
        <v>T/Tz/PT/PR/S/Sz/IO</v>
      </c>
      <c r="D21" s="142">
        <f>IF(VLOOKUP($A21,Sheet1!$A$3:$AW$699,15,FALSE)="","",VLOOKUP($A21,Sheet1!$A$3:$AW$699,15,FALSE))</f>
        <v>-420</v>
      </c>
      <c r="E21" s="142">
        <f>IF(VLOOKUP($A21,Sheet1!$A$3:$AW$699,16,FALSE)="","",VLOOKUP($A21,Sheet1!$A$3:$AW$699,16,FALSE))</f>
        <v>420</v>
      </c>
      <c r="F21" s="142">
        <f>IF(VLOOKUP($A21,Sheet1!$A$3:$AW$699,17,FALSE)="","",VLOOKUP($A21,Sheet1!$A$3:$AW$699,17,FALSE))</f>
        <v>100</v>
      </c>
      <c r="G21" s="142" t="str">
        <f>IF(VLOOKUP($A21,Sheet1!$A$3:$AW$699,18,FALSE)="","",VLOOKUP($A21,Sheet1!$A$3:$AW$699,18,FALSE))</f>
        <v/>
      </c>
      <c r="H21" s="142" t="str">
        <f>IF(VLOOKUP($A21,Sheet1!$A$3:$AW$699,19,FALSE)="","",VLOOKUP($A21,Sheet1!$A$3:$AW$699,19,FALSE))</f>
        <v>%</v>
      </c>
      <c r="I21" s="9" t="str">
        <f>IF(VLOOKUP($A21,Sheet1!$A$3:$AW$699,5,FALSE)="","",VLOOKUP($A21,Sheet1!$A$3:$AW$699,5,FALSE))</f>
        <v>INT</v>
      </c>
      <c r="J21" s="11" t="s">
        <v>201</v>
      </c>
      <c r="K21" s="9" t="s">
        <v>193</v>
      </c>
      <c r="L21" s="146" t="str">
        <f>IF(VLOOKUP($A21,Sheet1!$A$3:$AW$699,7,FALSE)="★","x","")</f>
        <v/>
      </c>
      <c r="M21" s="146" t="str">
        <f>IF(VLOOKUP($A21,Sheet1!$A$3:$AW$699,8,FALSE)="▲","x","")</f>
        <v/>
      </c>
      <c r="N21" s="146" t="str">
        <f>IF(VLOOKUP($A21,Sheet1!$A$3:$AW$699,9,FALSE)="●","x","")</f>
        <v/>
      </c>
      <c r="O21" s="146" t="str">
        <f>IF(VLOOKUP($A21,Sheet1!$A$3:$AW$699,10,FALSE)="■","x","")</f>
        <v/>
      </c>
      <c r="P21" s="9" t="str">
        <f>IF(VLOOKUP($A21,Sheet1!$A$3:$AW$699,2,FALSE)="","",VLOOKUP($A21,Sheet1!$A$3:$AW$699,2,FALSE))</f>
        <v>P1.013</v>
      </c>
    </row>
    <row r="22" spans="1:16" ht="40.799999999999997" x14ac:dyDescent="0.3">
      <c r="A22" s="9">
        <v>130</v>
      </c>
      <c r="B22" s="9" t="str">
        <f>IF(VLOOKUP($A22,Sheet1!$A$3:$AW$699,20,FALSE)="","",VLOOKUP($A22,Sheet1!$A$3:$AW$699,20,FALSE))</f>
        <v>PresetTorqueCmd_Limit_3</v>
      </c>
      <c r="C22" s="9" t="str">
        <f>IF(VLOOKUP($A22,Sheet1!$A$3:$AW$699,25,FALSE)="","",VLOOKUP($A22,Sheet1!$A$3:$AW$699,25,FALSE))</f>
        <v>T/Tz/PT/PR/S/Sz/IO</v>
      </c>
      <c r="D22" s="142">
        <f>IF(VLOOKUP($A22,Sheet1!$A$3:$AW$699,15,FALSE)="","",VLOOKUP($A22,Sheet1!$A$3:$AW$699,15,FALSE))</f>
        <v>-420</v>
      </c>
      <c r="E22" s="142">
        <f>IF(VLOOKUP($A22,Sheet1!$A$3:$AW$699,16,FALSE)="","",VLOOKUP($A22,Sheet1!$A$3:$AW$699,16,FALSE))</f>
        <v>420</v>
      </c>
      <c r="F22" s="142">
        <f>IF(VLOOKUP($A22,Sheet1!$A$3:$AW$699,17,FALSE)="","",VLOOKUP($A22,Sheet1!$A$3:$AW$699,17,FALSE))</f>
        <v>100</v>
      </c>
      <c r="G22" s="142" t="str">
        <f>IF(VLOOKUP($A22,Sheet1!$A$3:$AW$699,18,FALSE)="","",VLOOKUP($A22,Sheet1!$A$3:$AW$699,18,FALSE))</f>
        <v/>
      </c>
      <c r="H22" s="142" t="str">
        <f>IF(VLOOKUP($A22,Sheet1!$A$3:$AW$699,19,FALSE)="","",VLOOKUP($A22,Sheet1!$A$3:$AW$699,19,FALSE))</f>
        <v>%</v>
      </c>
      <c r="I22" s="9" t="str">
        <f>IF(VLOOKUP($A22,Sheet1!$A$3:$AW$699,5,FALSE)="","",VLOOKUP($A22,Sheet1!$A$3:$AW$699,5,FALSE))</f>
        <v>INT</v>
      </c>
      <c r="J22" s="11" t="s">
        <v>202</v>
      </c>
      <c r="K22" s="9" t="s">
        <v>193</v>
      </c>
      <c r="L22" s="146" t="str">
        <f>IF(VLOOKUP($A22,Sheet1!$A$3:$AW$699,7,FALSE)="★","x","")</f>
        <v/>
      </c>
      <c r="M22" s="146" t="str">
        <f>IF(VLOOKUP($A22,Sheet1!$A$3:$AW$699,8,FALSE)="▲","x","")</f>
        <v/>
      </c>
      <c r="N22" s="146" t="str">
        <f>IF(VLOOKUP($A22,Sheet1!$A$3:$AW$699,9,FALSE)="●","x","")</f>
        <v/>
      </c>
      <c r="O22" s="146" t="str">
        <f>IF(VLOOKUP($A22,Sheet1!$A$3:$AW$699,10,FALSE)="■","x","")</f>
        <v/>
      </c>
      <c r="P22" s="9" t="str">
        <f>IF(VLOOKUP($A22,Sheet1!$A$3:$AW$699,2,FALSE)="","",VLOOKUP($A22,Sheet1!$A$3:$AW$699,2,FALSE))</f>
        <v>P1.014</v>
      </c>
    </row>
    <row r="23" spans="1:16" ht="71.400000000000006" x14ac:dyDescent="0.3">
      <c r="A23" s="9">
        <v>139</v>
      </c>
      <c r="B23" s="9" t="str">
        <f>IF(VLOOKUP($A23,Sheet1!$A$3:$AW$699,20,FALSE)="","",VLOOKUP($A23,Sheet1!$A$3:$AW$699,20,FALSE))</f>
        <v>LowFreqVibrationSuppressionMode</v>
      </c>
      <c r="C23" s="9" t="str">
        <f>IF(VLOOKUP($A23,Sheet1!$A$3:$AW$699,25,FALSE)="","",VLOOKUP($A23,Sheet1!$A$3:$AW$699,25,FALSE))</f>
        <v>PT/PR/IO</v>
      </c>
      <c r="D23" s="142">
        <f>IF(VLOOKUP($A23,Sheet1!$A$3:$AW$699,15,FALSE)="","",VLOOKUP($A23,Sheet1!$A$3:$AW$699,15,FALSE))</f>
        <v>0</v>
      </c>
      <c r="E23" s="142">
        <f>IF(VLOOKUP($A23,Sheet1!$A$3:$AW$699,16,FALSE)="","",VLOOKUP($A23,Sheet1!$A$3:$AW$699,16,FALSE))</f>
        <v>1</v>
      </c>
      <c r="F23" s="142">
        <f>IF(VLOOKUP($A23,Sheet1!$A$3:$AW$699,17,FALSE)="","",VLOOKUP($A23,Sheet1!$A$3:$AW$699,17,FALSE))</f>
        <v>0</v>
      </c>
      <c r="G23" s="142" t="str">
        <f>IF(VLOOKUP($A23,Sheet1!$A$3:$AW$699,18,FALSE)="","",VLOOKUP($A23,Sheet1!$A$3:$AW$699,18,FALSE))</f>
        <v/>
      </c>
      <c r="H23" s="142" t="str">
        <f>IF(VLOOKUP($A23,Sheet1!$A$3:$AW$699,19,FALSE)="","",VLOOKUP($A23,Sheet1!$A$3:$AW$699,19,FALSE))</f>
        <v/>
      </c>
      <c r="I23" s="9" t="str">
        <f>IF(VLOOKUP($A23,Sheet1!$A$3:$AW$699,5,FALSE)="","",VLOOKUP($A23,Sheet1!$A$3:$AW$699,5,FALSE))</f>
        <v>INT</v>
      </c>
      <c r="J23" s="9" t="s">
        <v>203</v>
      </c>
      <c r="K23" s="9" t="s">
        <v>182</v>
      </c>
      <c r="L23" s="146" t="str">
        <f>IF(VLOOKUP($A23,Sheet1!$A$3:$AW$699,7,FALSE)="★","x","")</f>
        <v/>
      </c>
      <c r="M23" s="146" t="str">
        <f>IF(VLOOKUP($A23,Sheet1!$A$3:$AW$699,8,FALSE)="▲","x","")</f>
        <v/>
      </c>
      <c r="N23" s="146" t="str">
        <f>IF(VLOOKUP($A23,Sheet1!$A$3:$AW$699,9,FALSE)="●","x","")</f>
        <v/>
      </c>
      <c r="O23" s="146" t="str">
        <f>IF(VLOOKUP($A23,Sheet1!$A$3:$AW$699,10,FALSE)="■","x","")</f>
        <v/>
      </c>
      <c r="P23" s="9" t="str">
        <f>IF(VLOOKUP($A23,Sheet1!$A$3:$AW$699,2,FALSE)="","",VLOOKUP($A23,Sheet1!$A$3:$AW$699,2,FALSE))</f>
        <v>P1.029</v>
      </c>
    </row>
    <row r="24" spans="1:16" ht="61.2" x14ac:dyDescent="0.3">
      <c r="A24" s="9">
        <v>140</v>
      </c>
      <c r="B24" s="9" t="str">
        <f>IF(VLOOKUP($A24,Sheet1!$A$3:$AW$699,20,FALSE)="","",VLOOKUP($A24,Sheet1!$A$3:$AW$699,20,FALSE))</f>
        <v>LowFreqVibrationDetectionLevel</v>
      </c>
      <c r="C24" s="9" t="str">
        <f>IF(VLOOKUP($A24,Sheet1!$A$3:$AW$699,25,FALSE)="","",VLOOKUP($A24,Sheet1!$A$3:$AW$699,25,FALSE))</f>
        <v>PT/PR/IO</v>
      </c>
      <c r="D24" s="142">
        <f>IF(VLOOKUP($A24,Sheet1!$A$3:$AW$699,15,FALSE)="","",VLOOKUP($A24,Sheet1!$A$3:$AW$699,15,FALSE))</f>
        <v>1</v>
      </c>
      <c r="E24" s="142">
        <f>IF(VLOOKUP($A24,Sheet1!$A$3:$AW$699,16,FALSE)="","",VLOOKUP($A24,Sheet1!$A$3:$AW$699,16,FALSE))</f>
        <v>128000</v>
      </c>
      <c r="F24" s="142">
        <f>IF(VLOOKUP($A24,Sheet1!$A$3:$AW$699,17,FALSE)="","",VLOOKUP($A24,Sheet1!$A$3:$AW$699,17,FALSE))</f>
        <v>8000</v>
      </c>
      <c r="G24" s="142" t="str">
        <f>IF(VLOOKUP($A24,Sheet1!$A$3:$AW$699,18,FALSE)="","",VLOOKUP($A24,Sheet1!$A$3:$AW$699,18,FALSE))</f>
        <v/>
      </c>
      <c r="H24" s="142" t="str">
        <f>IF(VLOOKUP($A24,Sheet1!$A$3:$AW$699,19,FALSE)="","",VLOOKUP($A24,Sheet1!$A$3:$AW$699,19,FALSE))</f>
        <v>Counts</v>
      </c>
      <c r="I24" s="9" t="str">
        <f>IF(VLOOKUP($A24,Sheet1!$A$3:$AW$699,5,FALSE)="","",VLOOKUP($A24,Sheet1!$A$3:$AW$699,5,FALSE))</f>
        <v>DINT</v>
      </c>
      <c r="J24" s="9" t="s">
        <v>204</v>
      </c>
      <c r="K24" s="9" t="s">
        <v>182</v>
      </c>
      <c r="L24" s="146" t="str">
        <f>IF(VLOOKUP($A24,Sheet1!$A$3:$AW$699,7,FALSE)="★","x","")</f>
        <v/>
      </c>
      <c r="M24" s="146" t="str">
        <f>IF(VLOOKUP($A24,Sheet1!$A$3:$AW$699,8,FALSE)="▲","x","")</f>
        <v/>
      </c>
      <c r="N24" s="146" t="str">
        <f>IF(VLOOKUP($A24,Sheet1!$A$3:$AW$699,9,FALSE)="●","x","")</f>
        <v/>
      </c>
      <c r="O24" s="146" t="str">
        <f>IF(VLOOKUP($A24,Sheet1!$A$3:$AW$699,10,FALSE)="■","x","")</f>
        <v/>
      </c>
      <c r="P24" s="9" t="str">
        <f>IF(VLOOKUP($A24,Sheet1!$A$3:$AW$699,2,FALSE)="","",VLOOKUP($A24,Sheet1!$A$3:$AW$699,2,FALSE))</f>
        <v>P1.030</v>
      </c>
    </row>
    <row r="25" spans="1:16" ht="71.400000000000006" x14ac:dyDescent="0.3">
      <c r="A25" s="9">
        <v>145</v>
      </c>
      <c r="B25" s="9" t="str">
        <f>IF(VLOOKUP($A25,Sheet1!$A$3:$AW$699,20,FALSE)="","",VLOOKUP($A25,Sheet1!$A$3:$AW$699,20,FALSE))</f>
        <v>ZeroSpeedWindow</v>
      </c>
      <c r="C25" s="9" t="str">
        <f>IF(VLOOKUP($A25,Sheet1!$A$3:$AW$699,25,FALSE)="","",VLOOKUP($A25,Sheet1!$A$3:$AW$699,25,FALSE))</f>
        <v>All</v>
      </c>
      <c r="D25" s="142">
        <f>IF(VLOOKUP($A25,Sheet1!$A$3:$AW$699,15,FALSE)="","",VLOOKUP($A25,Sheet1!$A$3:$AW$699,15,FALSE))</f>
        <v>1</v>
      </c>
      <c r="E25" s="142">
        <f>IF(VLOOKUP($A25,Sheet1!$A$3:$AW$699,16,FALSE)="","",VLOOKUP($A25,Sheet1!$A$3:$AW$699,16,FALSE))</f>
        <v>2000</v>
      </c>
      <c r="F25" s="142">
        <f>IF(VLOOKUP($A25,Sheet1!$A$3:$AW$699,17,FALSE)="","",VLOOKUP($A25,Sheet1!$A$3:$AW$699,17,FALSE))</f>
        <v>100</v>
      </c>
      <c r="G25" s="142">
        <f>IF(VLOOKUP($A25,Sheet1!$A$3:$AW$699,18,FALSE)="","",VLOOKUP($A25,Sheet1!$A$3:$AW$699,18,FALSE))</f>
        <v>0.1</v>
      </c>
      <c r="H25" s="142" t="str">
        <f>IF(VLOOKUP($A25,Sheet1!$A$3:$AW$699,19,FALSE)="","",VLOOKUP($A25,Sheet1!$A$3:$AW$699,19,FALSE))</f>
        <v>RPM
mm/s</v>
      </c>
      <c r="I25" s="9" t="str">
        <f>IF(VLOOKUP($A25,Sheet1!$A$3:$AW$699,5,FALSE)="","",VLOOKUP($A25,Sheet1!$A$3:$AW$699,5,FALSE))</f>
        <v>INT</v>
      </c>
      <c r="J25" s="9" t="s">
        <v>205</v>
      </c>
      <c r="K25" s="9" t="s">
        <v>206</v>
      </c>
      <c r="L25" s="146" t="str">
        <f>IF(VLOOKUP($A25,Sheet1!$A$3:$AW$699,7,FALSE)="★","x","")</f>
        <v/>
      </c>
      <c r="M25" s="146" t="str">
        <f>IF(VLOOKUP($A25,Sheet1!$A$3:$AW$699,8,FALSE)="▲","x","")</f>
        <v/>
      </c>
      <c r="N25" s="146" t="str">
        <f>IF(VLOOKUP($A25,Sheet1!$A$3:$AW$699,9,FALSE)="●","x","")</f>
        <v/>
      </c>
      <c r="O25" s="146" t="str">
        <f>IF(VLOOKUP($A25,Sheet1!$A$3:$AW$699,10,FALSE)="■","x","")</f>
        <v/>
      </c>
      <c r="P25" s="9" t="str">
        <f>IF(VLOOKUP($A25,Sheet1!$A$3:$AW$699,2,FALSE)="","",VLOOKUP($A25,Sheet1!$A$3:$AW$699,2,FALSE))</f>
        <v>P1.038</v>
      </c>
    </row>
    <row r="26" spans="1:16" ht="40.799999999999997" x14ac:dyDescent="0.3">
      <c r="A26" s="9">
        <v>146</v>
      </c>
      <c r="B26" s="9" t="str">
        <f>IF(VLOOKUP($A26,Sheet1!$A$3:$AW$699,20,FALSE)="","",VLOOKUP($A26,Sheet1!$A$3:$AW$699,20,FALSE))</f>
        <v>UpToSpeedLimit</v>
      </c>
      <c r="C26" s="9" t="str">
        <f>IF(VLOOKUP($A26,Sheet1!$A$3:$AW$699,25,FALSE)="","",VLOOKUP($A26,Sheet1!$A$3:$AW$699,25,FALSE))</f>
        <v>All</v>
      </c>
      <c r="D26" s="142" t="str">
        <f>IF(VLOOKUP($A26,Sheet1!$A$3:$AW$699,15,FALSE)="","",VLOOKUP($A26,Sheet1!$A$3:$AW$699,15,FALSE))</f>
        <v>0
0</v>
      </c>
      <c r="E26" s="142" t="str">
        <f>IF(VLOOKUP($A26,Sheet1!$A$3:$AW$699,16,FALSE)="","",VLOOKUP($A26,Sheet1!$A$3:$AW$699,16,FALSE))</f>
        <v>25000
15999</v>
      </c>
      <c r="F26" s="142" t="str">
        <f>IF(VLOOKUP($A26,Sheet1!$A$3:$AW$699,17,FALSE)="","",VLOOKUP($A26,Sheet1!$A$3:$AW$699,17,FALSE))</f>
        <v>3000
3000</v>
      </c>
      <c r="G26" s="142" t="str">
        <f>IF(VLOOKUP($A26,Sheet1!$A$3:$AW$699,18,FALSE)="","",VLOOKUP($A26,Sheet1!$A$3:$AW$699,18,FALSE))</f>
        <v/>
      </c>
      <c r="H26" s="142" t="str">
        <f>IF(VLOOKUP($A26,Sheet1!$A$3:$AW$699,19,FALSE)="","",VLOOKUP($A26,Sheet1!$A$3:$AW$699,19,FALSE))</f>
        <v>RPM
mm/s</v>
      </c>
      <c r="I26" s="9" t="str">
        <f>IF(VLOOKUP($A26,Sheet1!$A$3:$AW$699,5,FALSE)="","",VLOOKUP($A26,Sheet1!$A$3:$AW$699,5,FALSE))</f>
        <v>INT</v>
      </c>
      <c r="J26" s="9" t="s">
        <v>207</v>
      </c>
      <c r="K26" s="9" t="s">
        <v>182</v>
      </c>
      <c r="L26" s="146" t="str">
        <f>IF(VLOOKUP($A26,Sheet1!$A$3:$AW$699,7,FALSE)="★","x","")</f>
        <v/>
      </c>
      <c r="M26" s="146" t="str">
        <f>IF(VLOOKUP($A26,Sheet1!$A$3:$AW$699,8,FALSE)="▲","x","")</f>
        <v/>
      </c>
      <c r="N26" s="146" t="str">
        <f>IF(VLOOKUP($A26,Sheet1!$A$3:$AW$699,9,FALSE)="●","x","")</f>
        <v/>
      </c>
      <c r="O26" s="146" t="str">
        <f>IF(VLOOKUP($A26,Sheet1!$A$3:$AW$699,10,FALSE)="■","x","")</f>
        <v/>
      </c>
      <c r="P26" s="9" t="str">
        <f>IF(VLOOKUP($A26,Sheet1!$A$3:$AW$699,2,FALSE)="","",VLOOKUP($A26,Sheet1!$A$3:$AW$699,2,FALSE))</f>
        <v>P1.039</v>
      </c>
    </row>
    <row r="27" spans="1:16" ht="30.6" x14ac:dyDescent="0.3">
      <c r="A27" s="9">
        <v>147</v>
      </c>
      <c r="B27" s="9" t="str">
        <f>IF(VLOOKUP($A27,Sheet1!$A$3:$AW$699,20,FALSE)="","",VLOOKUP($A27,Sheet1!$A$3:$AW$699,20,FALSE))</f>
        <v>AnalogToVelocityScale</v>
      </c>
      <c r="C27" s="9" t="str">
        <f>IF(VLOOKUP($A27,Sheet1!$A$3:$AW$699,25,FALSE)="","",VLOOKUP($A27,Sheet1!$A$3:$AW$699,25,FALSE))</f>
        <v>S/Sz/T/Tz/IO</v>
      </c>
      <c r="D27" s="142" t="str">
        <f>IF(VLOOKUP($A27,Sheet1!$A$3:$AW$699,15,FALSE)="","",VLOOKUP($A27,Sheet1!$A$3:$AW$699,15,FALSE))</f>
        <v>0
0</v>
      </c>
      <c r="E27" s="142" t="str">
        <f>IF(VLOOKUP($A27,Sheet1!$A$3:$AW$699,16,FALSE)="","",VLOOKUP($A27,Sheet1!$A$3:$AW$699,16,FALSE))</f>
        <v>28500
15998</v>
      </c>
      <c r="F27" s="142" t="str">
        <f>IF(VLOOKUP($A27,Sheet1!$A$3:$AW$699,17,FALSE)="","",VLOOKUP($A27,Sheet1!$A$3:$AW$699,17,FALSE))</f>
        <v>8000
15998</v>
      </c>
      <c r="G27" s="142" t="str">
        <f>IF(VLOOKUP($A27,Sheet1!$A$3:$AW$699,18,FALSE)="","",VLOOKUP($A27,Sheet1!$A$3:$AW$699,18,FALSE))</f>
        <v/>
      </c>
      <c r="H27" s="142" t="str">
        <f>IF(VLOOKUP($A27,Sheet1!$A$3:$AW$699,19,FALSE)="","",VLOOKUP($A27,Sheet1!$A$3:$AW$699,19,FALSE))</f>
        <v>RPM
mm/s</v>
      </c>
      <c r="I27" s="9" t="str">
        <f>IF(VLOOKUP($A27,Sheet1!$A$3:$AW$699,5,FALSE)="","",VLOOKUP($A27,Sheet1!$A$3:$AW$699,5,FALSE))</f>
        <v>DINT</v>
      </c>
      <c r="J27" s="11" t="s">
        <v>208</v>
      </c>
      <c r="K27" s="9" t="s">
        <v>182</v>
      </c>
      <c r="L27" s="146" t="str">
        <f>IF(VLOOKUP($A27,Sheet1!$A$3:$AW$699,7,FALSE)="★","x","")</f>
        <v/>
      </c>
      <c r="M27" s="146" t="str">
        <f>IF(VLOOKUP($A27,Sheet1!$A$3:$AW$699,8,FALSE)="▲","x","")</f>
        <v/>
      </c>
      <c r="N27" s="146" t="str">
        <f>IF(VLOOKUP($A27,Sheet1!$A$3:$AW$699,9,FALSE)="●","x","")</f>
        <v/>
      </c>
      <c r="O27" s="146" t="str">
        <f>IF(VLOOKUP($A27,Sheet1!$A$3:$AW$699,10,FALSE)="■","x","")</f>
        <v/>
      </c>
      <c r="P27" s="9" t="str">
        <f>IF(VLOOKUP($A27,Sheet1!$A$3:$AW$699,2,FALSE)="","",VLOOKUP($A27,Sheet1!$A$3:$AW$699,2,FALSE))</f>
        <v>P1.040</v>
      </c>
    </row>
    <row r="28" spans="1:16" ht="30.6" x14ac:dyDescent="0.3">
      <c r="A28" s="9">
        <v>148</v>
      </c>
      <c r="B28" s="9" t="str">
        <f>IF(VLOOKUP($A28,Sheet1!$A$3:$AW$699,20,FALSE)="","",VLOOKUP($A28,Sheet1!$A$3:$AW$699,20,FALSE))</f>
        <v>AnalogToTorqueScale</v>
      </c>
      <c r="C28" s="9" t="str">
        <f>IF(VLOOKUP($A28,Sheet1!$A$3:$AW$699,25,FALSE)="","",VLOOKUP($A28,Sheet1!$A$3:$AW$699,25,FALSE))</f>
        <v>All</v>
      </c>
      <c r="D28" s="142">
        <f>IF(VLOOKUP($A28,Sheet1!$A$3:$AW$699,15,FALSE)="","",VLOOKUP($A28,Sheet1!$A$3:$AW$699,15,FALSE))</f>
        <v>-1000</v>
      </c>
      <c r="E28" s="142">
        <f>IF(VLOOKUP($A28,Sheet1!$A$3:$AW$699,16,FALSE)="","",VLOOKUP($A28,Sheet1!$A$3:$AW$699,16,FALSE))</f>
        <v>1000</v>
      </c>
      <c r="F28" s="142">
        <f>IF(VLOOKUP($A28,Sheet1!$A$3:$AW$699,17,FALSE)="","",VLOOKUP($A28,Sheet1!$A$3:$AW$699,17,FALSE))</f>
        <v>100</v>
      </c>
      <c r="G28" s="142" t="str">
        <f>IF(VLOOKUP($A28,Sheet1!$A$3:$AW$699,18,FALSE)="","",VLOOKUP($A28,Sheet1!$A$3:$AW$699,18,FALSE))</f>
        <v/>
      </c>
      <c r="H28" s="142" t="str">
        <f>IF(VLOOKUP($A28,Sheet1!$A$3:$AW$699,19,FALSE)="","",VLOOKUP($A28,Sheet1!$A$3:$AW$699,19,FALSE))</f>
        <v>%</v>
      </c>
      <c r="I28" s="9" t="str">
        <f>IF(VLOOKUP($A28,Sheet1!$A$3:$AW$699,5,FALSE)="","",VLOOKUP($A28,Sheet1!$A$3:$AW$699,5,FALSE))</f>
        <v>INT</v>
      </c>
      <c r="J28" s="11" t="s">
        <v>209</v>
      </c>
      <c r="K28" s="9" t="s">
        <v>182</v>
      </c>
      <c r="L28" s="146" t="str">
        <f>IF(VLOOKUP($A28,Sheet1!$A$3:$AW$699,7,FALSE)="★","x","")</f>
        <v/>
      </c>
      <c r="M28" s="146" t="str">
        <f>IF(VLOOKUP($A28,Sheet1!$A$3:$AW$699,8,FALSE)="▲","x","")</f>
        <v>x</v>
      </c>
      <c r="N28" s="146" t="str">
        <f>IF(VLOOKUP($A28,Sheet1!$A$3:$AW$699,9,FALSE)="●","x","")</f>
        <v/>
      </c>
      <c r="O28" s="146" t="str">
        <f>IF(VLOOKUP($A28,Sheet1!$A$3:$AW$699,10,FALSE)="■","x","")</f>
        <v/>
      </c>
      <c r="P28" s="9" t="str">
        <f>IF(VLOOKUP($A28,Sheet1!$A$3:$AW$699,2,FALSE)="","",VLOOKUP($A28,Sheet1!$A$3:$AW$699,2,FALSE))</f>
        <v>P1.041</v>
      </c>
    </row>
    <row r="29" spans="1:16" ht="30.6" x14ac:dyDescent="0.3">
      <c r="A29" s="9">
        <v>149</v>
      </c>
      <c r="B29" s="9" t="str">
        <f>IF(VLOOKUP($A29,Sheet1!$A$3:$AW$699,20,FALSE)="","",VLOOKUP($A29,Sheet1!$A$3:$AW$699,20,FALSE))</f>
        <v>BrakeOnDelay</v>
      </c>
      <c r="C29" s="9" t="str">
        <f>IF(VLOOKUP($A29,Sheet1!$A$3:$AW$699,25,FALSE)="","",VLOOKUP($A29,Sheet1!$A$3:$AW$699,25,FALSE))</f>
        <v>All</v>
      </c>
      <c r="D29" s="142">
        <f>IF(VLOOKUP($A29,Sheet1!$A$3:$AW$699,15,FALSE)="","",VLOOKUP($A29,Sheet1!$A$3:$AW$699,15,FALSE))</f>
        <v>0</v>
      </c>
      <c r="E29" s="142">
        <f>IF(VLOOKUP($A29,Sheet1!$A$3:$AW$699,16,FALSE)="","",VLOOKUP($A29,Sheet1!$A$3:$AW$699,16,FALSE))</f>
        <v>1000</v>
      </c>
      <c r="F29" s="142">
        <f>IF(VLOOKUP($A29,Sheet1!$A$3:$AW$699,17,FALSE)="","",VLOOKUP($A29,Sheet1!$A$3:$AW$699,17,FALSE))</f>
        <v>0</v>
      </c>
      <c r="G29" s="142" t="str">
        <f>IF(VLOOKUP($A29,Sheet1!$A$3:$AW$699,18,FALSE)="","",VLOOKUP($A29,Sheet1!$A$3:$AW$699,18,FALSE))</f>
        <v/>
      </c>
      <c r="H29" s="142" t="str">
        <f>IF(VLOOKUP($A29,Sheet1!$A$3:$AW$699,19,FALSE)="","",VLOOKUP($A29,Sheet1!$A$3:$AW$699,19,FALSE))</f>
        <v>ms</v>
      </c>
      <c r="I29" s="9" t="str">
        <f>IF(VLOOKUP($A29,Sheet1!$A$3:$AW$699,5,FALSE)="","",VLOOKUP($A29,Sheet1!$A$3:$AW$699,5,FALSE))</f>
        <v>INT</v>
      </c>
      <c r="J29" s="11" t="s">
        <v>210</v>
      </c>
      <c r="K29" s="9" t="s">
        <v>206</v>
      </c>
      <c r="L29" s="146" t="str">
        <f>IF(VLOOKUP($A29,Sheet1!$A$3:$AW$699,7,FALSE)="★","x","")</f>
        <v/>
      </c>
      <c r="M29" s="146" t="str">
        <f>IF(VLOOKUP($A29,Sheet1!$A$3:$AW$699,8,FALSE)="▲","x","")</f>
        <v/>
      </c>
      <c r="N29" s="146" t="str">
        <f>IF(VLOOKUP($A29,Sheet1!$A$3:$AW$699,9,FALSE)="●","x","")</f>
        <v/>
      </c>
      <c r="O29" s="146" t="str">
        <f>IF(VLOOKUP($A29,Sheet1!$A$3:$AW$699,10,FALSE)="■","x","")</f>
        <v/>
      </c>
      <c r="P29" s="9" t="str">
        <f>IF(VLOOKUP($A29,Sheet1!$A$3:$AW$699,2,FALSE)="","",VLOOKUP($A29,Sheet1!$A$3:$AW$699,2,FALSE))</f>
        <v>P1.042</v>
      </c>
    </row>
    <row r="30" spans="1:16" ht="40.799999999999997" x14ac:dyDescent="0.3">
      <c r="A30" s="9">
        <v>150</v>
      </c>
      <c r="B30" s="9" t="str">
        <f>IF(VLOOKUP($A30,Sheet1!$A$3:$AW$699,20,FALSE)="","",VLOOKUP($A30,Sheet1!$A$3:$AW$699,20,FALSE))</f>
        <v>BrakeOffDelay</v>
      </c>
      <c r="C30" s="9" t="str">
        <f>IF(VLOOKUP($A30,Sheet1!$A$3:$AW$699,25,FALSE)="","",VLOOKUP($A30,Sheet1!$A$3:$AW$699,25,FALSE))</f>
        <v>All</v>
      </c>
      <c r="D30" s="142">
        <f>IF(VLOOKUP($A30,Sheet1!$A$3:$AW$699,15,FALSE)="","",VLOOKUP($A30,Sheet1!$A$3:$AW$699,15,FALSE))</f>
        <v>-1000</v>
      </c>
      <c r="E30" s="142">
        <f>IF(VLOOKUP($A30,Sheet1!$A$3:$AW$699,16,FALSE)="","",VLOOKUP($A30,Sheet1!$A$3:$AW$699,16,FALSE))</f>
        <v>1000</v>
      </c>
      <c r="F30" s="142">
        <f>IF(VLOOKUP($A30,Sheet1!$A$3:$AW$699,17,FALSE)="","",VLOOKUP($A30,Sheet1!$A$3:$AW$699,17,FALSE))</f>
        <v>0</v>
      </c>
      <c r="G30" s="142" t="str">
        <f>IF(VLOOKUP($A30,Sheet1!$A$3:$AW$699,18,FALSE)="","",VLOOKUP($A30,Sheet1!$A$3:$AW$699,18,FALSE))</f>
        <v/>
      </c>
      <c r="H30" s="142" t="str">
        <f>IF(VLOOKUP($A30,Sheet1!$A$3:$AW$699,19,FALSE)="","",VLOOKUP($A30,Sheet1!$A$3:$AW$699,19,FALSE))</f>
        <v>ms</v>
      </c>
      <c r="I30" s="9" t="str">
        <f>IF(VLOOKUP($A30,Sheet1!$A$3:$AW$699,5,FALSE)="","",VLOOKUP($A30,Sheet1!$A$3:$AW$699,5,FALSE))</f>
        <v>INT</v>
      </c>
      <c r="J30" s="11" t="s">
        <v>211</v>
      </c>
      <c r="K30" s="9" t="s">
        <v>206</v>
      </c>
      <c r="L30" s="146" t="str">
        <f>IF(VLOOKUP($A30,Sheet1!$A$3:$AW$699,7,FALSE)="★","x","")</f>
        <v/>
      </c>
      <c r="M30" s="146" t="str">
        <f>IF(VLOOKUP($A30,Sheet1!$A$3:$AW$699,8,FALSE)="▲","x","")</f>
        <v/>
      </c>
      <c r="N30" s="146" t="str">
        <f>IF(VLOOKUP($A30,Sheet1!$A$3:$AW$699,9,FALSE)="●","x","")</f>
        <v/>
      </c>
      <c r="O30" s="146" t="str">
        <f>IF(VLOOKUP($A30,Sheet1!$A$3:$AW$699,10,FALSE)="■","x","")</f>
        <v/>
      </c>
      <c r="P30" s="9" t="str">
        <f>IF(VLOOKUP($A30,Sheet1!$A$3:$AW$699,2,FALSE)="","",VLOOKUP($A30,Sheet1!$A$3:$AW$699,2,FALSE))</f>
        <v>P1.043</v>
      </c>
    </row>
    <row r="31" spans="1:16" ht="30.6" x14ac:dyDescent="0.3">
      <c r="A31" s="9">
        <v>151</v>
      </c>
      <c r="B31" s="9" t="str">
        <f>IF(VLOOKUP($A31,Sheet1!$A$3:$AW$699,20,FALSE)="","",VLOOKUP($A31,Sheet1!$A$3:$AW$699,20,FALSE))</f>
        <v>GearRatioFollowerCountsN1</v>
      </c>
      <c r="C31" s="9" t="str">
        <f>IF(VLOOKUP($A31,Sheet1!$A$3:$AW$699,25,FALSE)="","",VLOOKUP($A31,Sheet1!$A$3:$AW$699,25,FALSE))</f>
        <v>PT/PR/IO</v>
      </c>
      <c r="D31" s="142">
        <f>IF(VLOOKUP($A31,Sheet1!$A$3:$AW$699,15,FALSE)="","",VLOOKUP($A31,Sheet1!$A$3:$AW$699,15,FALSE))</f>
        <v>1</v>
      </c>
      <c r="E31" s="142">
        <f>IF(VLOOKUP($A31,Sheet1!$A$3:$AW$699,16,FALSE)="","",VLOOKUP($A31,Sheet1!$A$3:$AW$699,16,FALSE))</f>
        <v>536870911</v>
      </c>
      <c r="F31" s="142">
        <f>IF(VLOOKUP($A31,Sheet1!$A$3:$AW$699,17,FALSE)="","",VLOOKUP($A31,Sheet1!$A$3:$AW$699,17,FALSE))</f>
        <v>16777216</v>
      </c>
      <c r="G31" s="142" t="str">
        <f>IF(VLOOKUP($A31,Sheet1!$A$3:$AW$699,18,FALSE)="","",VLOOKUP($A31,Sheet1!$A$3:$AW$699,18,FALSE))</f>
        <v/>
      </c>
      <c r="H31" s="142" t="str">
        <f>IF(VLOOKUP($A31,Sheet1!$A$3:$AW$699,19,FALSE)="","",VLOOKUP($A31,Sheet1!$A$3:$AW$699,19,FALSE))</f>
        <v>Counts</v>
      </c>
      <c r="I31" s="9" t="str">
        <f>IF(VLOOKUP($A31,Sheet1!$A$3:$AW$699,5,FALSE)="","",VLOOKUP($A31,Sheet1!$A$3:$AW$699,5,FALSE))</f>
        <v>DINT</v>
      </c>
      <c r="J31" s="11" t="s">
        <v>212</v>
      </c>
      <c r="K31" s="9" t="s">
        <v>213</v>
      </c>
      <c r="L31" s="146" t="str">
        <f>IF(VLOOKUP($A31,Sheet1!$A$3:$AW$699,7,FALSE)="★","x","")</f>
        <v/>
      </c>
      <c r="M31" s="146" t="str">
        <f>IF(VLOOKUP($A31,Sheet1!$A$3:$AW$699,8,FALSE)="▲","x","")</f>
        <v/>
      </c>
      <c r="N31" s="146" t="str">
        <f>IF(VLOOKUP($A31,Sheet1!$A$3:$AW$699,9,FALSE)="●","x","")</f>
        <v/>
      </c>
      <c r="O31" s="146" t="str">
        <f>IF(VLOOKUP($A31,Sheet1!$A$3:$AW$699,10,FALSE)="■","x","")</f>
        <v/>
      </c>
      <c r="P31" s="9" t="str">
        <f>IF(VLOOKUP($A31,Sheet1!$A$3:$AW$699,2,FALSE)="","",VLOOKUP($A31,Sheet1!$A$3:$AW$699,2,FALSE))</f>
        <v>P1.044</v>
      </c>
    </row>
    <row r="32" spans="1:16" ht="30.6" x14ac:dyDescent="0.3">
      <c r="A32" s="9">
        <v>152</v>
      </c>
      <c r="B32" s="9" t="str">
        <f>IF(VLOOKUP($A32,Sheet1!$A$3:$AW$699,20,FALSE)="","",VLOOKUP($A32,Sheet1!$A$3:$AW$699,20,FALSE))</f>
        <v>GearRatioMasterCounts</v>
      </c>
      <c r="C32" s="9" t="str">
        <f>IF(VLOOKUP($A32,Sheet1!$A$3:$AW$699,25,FALSE)="","",VLOOKUP($A32,Sheet1!$A$3:$AW$699,25,FALSE))</f>
        <v>PT/PR/IO</v>
      </c>
      <c r="D32" s="142">
        <f>IF(VLOOKUP($A32,Sheet1!$A$3:$AW$699,15,FALSE)="","",VLOOKUP($A32,Sheet1!$A$3:$AW$699,15,FALSE))</f>
        <v>1</v>
      </c>
      <c r="E32" s="142">
        <f>IF(VLOOKUP($A32,Sheet1!$A$3:$AW$699,16,FALSE)="","",VLOOKUP($A32,Sheet1!$A$3:$AW$699,16,FALSE))</f>
        <v>2147483647</v>
      </c>
      <c r="F32" s="142">
        <f>IF(VLOOKUP($A32,Sheet1!$A$3:$AW$699,17,FALSE)="","",VLOOKUP($A32,Sheet1!$A$3:$AW$699,17,FALSE))</f>
        <v>100000</v>
      </c>
      <c r="G32" s="142" t="str">
        <f>IF(VLOOKUP($A32,Sheet1!$A$3:$AW$699,18,FALSE)="","",VLOOKUP($A32,Sheet1!$A$3:$AW$699,18,FALSE))</f>
        <v/>
      </c>
      <c r="H32" s="142" t="str">
        <f>IF(VLOOKUP($A32,Sheet1!$A$3:$AW$699,19,FALSE)="","",VLOOKUP($A32,Sheet1!$A$3:$AW$699,19,FALSE))</f>
        <v>Counts</v>
      </c>
      <c r="I32" s="9" t="str">
        <f>IF(VLOOKUP($A32,Sheet1!$A$3:$AW$699,5,FALSE)="","",VLOOKUP($A32,Sheet1!$A$3:$AW$699,5,FALSE))</f>
        <v>DINT</v>
      </c>
      <c r="J32" s="11" t="s">
        <v>214</v>
      </c>
      <c r="K32" s="9" t="s">
        <v>213</v>
      </c>
      <c r="L32" s="146" t="str">
        <f>IF(VLOOKUP($A32,Sheet1!$A$3:$AW$699,7,FALSE)="★","x","")</f>
        <v/>
      </c>
      <c r="M32" s="146" t="str">
        <f>IF(VLOOKUP($A32,Sheet1!$A$3:$AW$699,8,FALSE)="▲","x","")</f>
        <v/>
      </c>
      <c r="N32" s="146" t="str">
        <f>IF(VLOOKUP($A32,Sheet1!$A$3:$AW$699,9,FALSE)="●","x","")</f>
        <v/>
      </c>
      <c r="O32" s="146" t="str">
        <f>IF(VLOOKUP($A32,Sheet1!$A$3:$AW$699,10,FALSE)="■","x","")</f>
        <v/>
      </c>
      <c r="P32" s="9" t="str">
        <f>IF(VLOOKUP($A32,Sheet1!$A$3:$AW$699,2,FALSE)="","",VLOOKUP($A32,Sheet1!$A$3:$AW$699,2,FALSE))</f>
        <v>P1.045</v>
      </c>
    </row>
    <row r="33" spans="1:16" ht="30.6" x14ac:dyDescent="0.3">
      <c r="A33" s="9">
        <v>153</v>
      </c>
      <c r="B33" s="9" t="str">
        <f>IF(VLOOKUP($A33,Sheet1!$A$3:$AW$699,20,FALSE)="","",VLOOKUP($A33,Sheet1!$A$3:$AW$699,20,FALSE))</f>
        <v>EncoderOutputResolution</v>
      </c>
      <c r="C33" s="9" t="str">
        <f>IF(VLOOKUP($A33,Sheet1!$A$3:$AW$699,25,FALSE)="","",VLOOKUP($A33,Sheet1!$A$3:$AW$699,25,FALSE))</f>
        <v>All</v>
      </c>
      <c r="D33" s="142">
        <f>IF(VLOOKUP($A33,Sheet1!$A$3:$AW$699,15,FALSE)="","",VLOOKUP($A33,Sheet1!$A$3:$AW$699,15,FALSE))</f>
        <v>1</v>
      </c>
      <c r="E33" s="142">
        <f>IF(VLOOKUP($A33,Sheet1!$A$3:$AW$699,16,FALSE)="","",VLOOKUP($A33,Sheet1!$A$3:$AW$699,16,FALSE))</f>
        <v>536870912</v>
      </c>
      <c r="F33" s="142">
        <f>IF(VLOOKUP($A33,Sheet1!$A$3:$AW$699,17,FALSE)="","",VLOOKUP($A33,Sheet1!$A$3:$AW$699,17,FALSE))</f>
        <v>2500</v>
      </c>
      <c r="G33" s="142" t="str">
        <f>IF(VLOOKUP($A33,Sheet1!$A$3:$AW$699,18,FALSE)="","",VLOOKUP($A33,Sheet1!$A$3:$AW$699,18,FALSE))</f>
        <v/>
      </c>
      <c r="H33" s="142" t="str">
        <f>IF(VLOOKUP($A33,Sheet1!$A$3:$AW$699,19,FALSE)="","",VLOOKUP($A33,Sheet1!$A$3:$AW$699,19,FALSE))</f>
        <v>Counts</v>
      </c>
      <c r="I33" s="9" t="str">
        <f>IF(VLOOKUP($A33,Sheet1!$A$3:$AW$699,5,FALSE)="","",VLOOKUP($A33,Sheet1!$A$3:$AW$699,5,FALSE))</f>
        <v>DINT</v>
      </c>
      <c r="J33" s="9" t="s">
        <v>215</v>
      </c>
      <c r="K33" s="9" t="s">
        <v>189</v>
      </c>
      <c r="L33" s="146" t="str">
        <f>IF(VLOOKUP($A33,Sheet1!$A$3:$AW$699,7,FALSE)="★","x","")</f>
        <v/>
      </c>
      <c r="M33" s="146" t="str">
        <f>IF(VLOOKUP($A33,Sheet1!$A$3:$AW$699,8,FALSE)="▲","x","")</f>
        <v>x</v>
      </c>
      <c r="N33" s="146" t="str">
        <f>IF(VLOOKUP($A33,Sheet1!$A$3:$AW$699,9,FALSE)="●","x","")</f>
        <v/>
      </c>
      <c r="O33" s="146" t="str">
        <f>IF(VLOOKUP($A33,Sheet1!$A$3:$AW$699,10,FALSE)="■","x","")</f>
        <v/>
      </c>
      <c r="P33" s="9" t="str">
        <f>IF(VLOOKUP($A33,Sheet1!$A$3:$AW$699,2,FALSE)="","",VLOOKUP($A33,Sheet1!$A$3:$AW$699,2,FALSE))</f>
        <v>P1.046</v>
      </c>
    </row>
    <row r="34" spans="1:16" ht="51" x14ac:dyDescent="0.3">
      <c r="A34" s="9">
        <v>154</v>
      </c>
      <c r="B34" s="9" t="str">
        <f>IF(VLOOKUP($A34,Sheet1!$A$3:$AW$699,20,FALSE)="","",VLOOKUP($A34,Sheet1!$A$3:$AW$699,20,FALSE))</f>
        <v>SpeedWindow</v>
      </c>
      <c r="C34" s="9" t="str">
        <f>IF(VLOOKUP($A34,Sheet1!$A$3:$AW$699,25,FALSE)="","",VLOOKUP($A34,Sheet1!$A$3:$AW$699,25,FALSE))</f>
        <v>S/Sz/IO</v>
      </c>
      <c r="D34" s="142">
        <f>IF(VLOOKUP($A34,Sheet1!$A$3:$AW$699,15,FALSE)="","",VLOOKUP($A34,Sheet1!$A$3:$AW$699,15,FALSE))</f>
        <v>0</v>
      </c>
      <c r="E34" s="142">
        <f>IF(VLOOKUP($A34,Sheet1!$A$3:$AW$699,16,FALSE)="","",VLOOKUP($A34,Sheet1!$A$3:$AW$699,16,FALSE))</f>
        <v>300</v>
      </c>
      <c r="F34" s="142">
        <f>IF(VLOOKUP($A34,Sheet1!$A$3:$AW$699,17,FALSE)="","",VLOOKUP($A34,Sheet1!$A$3:$AW$699,17,FALSE))</f>
        <v>10</v>
      </c>
      <c r="G34" s="142" t="str">
        <f>IF(VLOOKUP($A34,Sheet1!$A$3:$AW$699,18,FALSE)="","",VLOOKUP($A34,Sheet1!$A$3:$AW$699,18,FALSE))</f>
        <v/>
      </c>
      <c r="H34" s="142" t="str">
        <f>IF(VLOOKUP($A34,Sheet1!$A$3:$AW$699,19,FALSE)="","",VLOOKUP($A34,Sheet1!$A$3:$AW$699,19,FALSE))</f>
        <v>RPM</v>
      </c>
      <c r="I34" s="9" t="str">
        <f>IF(VLOOKUP($A34,Sheet1!$A$3:$AW$699,5,FALSE)="","",VLOOKUP($A34,Sheet1!$A$3:$AW$699,5,FALSE))</f>
        <v>INT</v>
      </c>
      <c r="J34" s="11" t="s">
        <v>216</v>
      </c>
      <c r="K34" s="9" t="s">
        <v>182</v>
      </c>
      <c r="L34" s="146" t="str">
        <f>IF(VLOOKUP($A34,Sheet1!$A$3:$AW$699,7,FALSE)="★","x","")</f>
        <v/>
      </c>
      <c r="M34" s="146" t="str">
        <f>IF(VLOOKUP($A34,Sheet1!$A$3:$AW$699,8,FALSE)="▲","x","")</f>
        <v/>
      </c>
      <c r="N34" s="146" t="str">
        <f>IF(VLOOKUP($A34,Sheet1!$A$3:$AW$699,9,FALSE)="●","x","")</f>
        <v/>
      </c>
      <c r="O34" s="146" t="str">
        <f>IF(VLOOKUP($A34,Sheet1!$A$3:$AW$699,10,FALSE)="■","x","")</f>
        <v/>
      </c>
      <c r="P34" s="9" t="str">
        <f>IF(VLOOKUP($A34,Sheet1!$A$3:$AW$699,2,FALSE)="","",VLOOKUP($A34,Sheet1!$A$3:$AW$699,2,FALSE))</f>
        <v>P1.047</v>
      </c>
    </row>
    <row r="35" spans="1:16" ht="122.4" x14ac:dyDescent="0.3">
      <c r="A35" s="9">
        <v>155</v>
      </c>
      <c r="B35" s="9" t="str">
        <f>IF(VLOOKUP($A35,Sheet1!$A$3:$AW$699,20,FALSE)="","",VLOOKUP($A35,Sheet1!$A$3:$AW$699,20,FALSE))</f>
        <v>ToSpeedAction</v>
      </c>
      <c r="C35" s="9" t="str">
        <f>IF(VLOOKUP($A35,Sheet1!$A$3:$AW$699,25,FALSE)="","",VLOOKUP($A35,Sheet1!$A$3:$AW$699,25,FALSE))</f>
        <v>PR/IO</v>
      </c>
      <c r="D35" s="142" t="str">
        <f>IF(VLOOKUP($A35,Sheet1!$A$3:$AW$699,15,FALSE)="","",VLOOKUP($A35,Sheet1!$A$3:$AW$699,15,FALSE))</f>
        <v>0x0000</v>
      </c>
      <c r="E35" s="142" t="str">
        <f>IF(VLOOKUP($A35,Sheet1!$A$3:$AW$699,16,FALSE)="","",VLOOKUP($A35,Sheet1!$A$3:$AW$699,16,FALSE))</f>
        <v>0x0011</v>
      </c>
      <c r="F35" s="142" t="str">
        <f>IF(VLOOKUP($A35,Sheet1!$A$3:$AW$699,17,FALSE)="","",VLOOKUP($A35,Sheet1!$A$3:$AW$699,17,FALSE))</f>
        <v>0x0000</v>
      </c>
      <c r="G35" s="142" t="str">
        <f>IF(VLOOKUP($A35,Sheet1!$A$3:$AW$699,18,FALSE)="","",VLOOKUP($A35,Sheet1!$A$3:$AW$699,18,FALSE))</f>
        <v/>
      </c>
      <c r="H35" s="142" t="str">
        <f>IF(VLOOKUP($A35,Sheet1!$A$3:$AW$699,19,FALSE)="","",VLOOKUP($A35,Sheet1!$A$3:$AW$699,19,FALSE))</f>
        <v/>
      </c>
      <c r="I35" s="9" t="str">
        <f>IF(VLOOKUP($A35,Sheet1!$A$3:$AW$699,5,FALSE)="","",VLOOKUP($A35,Sheet1!$A$3:$AW$699,5,FALSE))</f>
        <v>UINT</v>
      </c>
      <c r="J35" s="11" t="s">
        <v>217</v>
      </c>
      <c r="K35" s="9" t="s">
        <v>182</v>
      </c>
      <c r="L35" s="146" t="str">
        <f>IF(VLOOKUP($A35,Sheet1!$A$3:$AW$699,7,FALSE)="★","x","")</f>
        <v/>
      </c>
      <c r="M35" s="146" t="str">
        <f>IF(VLOOKUP($A35,Sheet1!$A$3:$AW$699,8,FALSE)="▲","x","")</f>
        <v/>
      </c>
      <c r="N35" s="146" t="str">
        <f>IF(VLOOKUP($A35,Sheet1!$A$3:$AW$699,9,FALSE)="●","x","")</f>
        <v/>
      </c>
      <c r="O35" s="146" t="str">
        <f>IF(VLOOKUP($A35,Sheet1!$A$3:$AW$699,10,FALSE)="■","x","")</f>
        <v/>
      </c>
      <c r="P35" s="9" t="str">
        <f>IF(VLOOKUP($A35,Sheet1!$A$3:$AW$699,2,FALSE)="","",VLOOKUP($A35,Sheet1!$A$3:$AW$699,2,FALSE))</f>
        <v>P1.048</v>
      </c>
    </row>
    <row r="36" spans="1:16" ht="20.399999999999999" x14ac:dyDescent="0.3">
      <c r="A36" s="9">
        <v>156</v>
      </c>
      <c r="B36" s="9" t="str">
        <f>IF(VLOOKUP($A36,Sheet1!$A$3:$AW$699,20,FALSE)="","",VLOOKUP($A36,Sheet1!$A$3:$AW$699,20,FALSE))</f>
        <v>SpeedWindowTime</v>
      </c>
      <c r="C36" s="9" t="str">
        <f>IF(VLOOKUP($A36,Sheet1!$A$3:$AW$699,25,FALSE)="","",VLOOKUP($A36,Sheet1!$A$3:$AW$699,25,FALSE))</f>
        <v>S/Sz/IO</v>
      </c>
      <c r="D36" s="142">
        <f>IF(VLOOKUP($A36,Sheet1!$A$3:$AW$699,15,FALSE)="","",VLOOKUP($A36,Sheet1!$A$3:$AW$699,15,FALSE))</f>
        <v>0</v>
      </c>
      <c r="E36" s="142">
        <f>IF(VLOOKUP($A36,Sheet1!$A$3:$AW$699,16,FALSE)="","",VLOOKUP($A36,Sheet1!$A$3:$AW$699,16,FALSE))</f>
        <v>65535</v>
      </c>
      <c r="F36" s="142">
        <f>IF(VLOOKUP($A36,Sheet1!$A$3:$AW$699,17,FALSE)="","",VLOOKUP($A36,Sheet1!$A$3:$AW$699,17,FALSE))</f>
        <v>0</v>
      </c>
      <c r="G36" s="142" t="str">
        <f>IF(VLOOKUP($A36,Sheet1!$A$3:$AW$699,18,FALSE)="","",VLOOKUP($A36,Sheet1!$A$3:$AW$699,18,FALSE))</f>
        <v/>
      </c>
      <c r="H36" s="142" t="str">
        <f>IF(VLOOKUP($A36,Sheet1!$A$3:$AW$699,19,FALSE)="","",VLOOKUP($A36,Sheet1!$A$3:$AW$699,19,FALSE))</f>
        <v>ms</v>
      </c>
      <c r="I36" s="9" t="str">
        <f>IF(VLOOKUP($A36,Sheet1!$A$3:$AW$699,5,FALSE)="","",VLOOKUP($A36,Sheet1!$A$3:$AW$699,5,FALSE))</f>
        <v>UINT</v>
      </c>
      <c r="J36" s="9" t="s">
        <v>218</v>
      </c>
      <c r="K36" s="9" t="s">
        <v>182</v>
      </c>
      <c r="L36" s="146" t="str">
        <f>IF(VLOOKUP($A36,Sheet1!$A$3:$AW$699,7,FALSE)="★","x","")</f>
        <v/>
      </c>
      <c r="M36" s="146" t="str">
        <f>IF(VLOOKUP($A36,Sheet1!$A$3:$AW$699,8,FALSE)="▲","x","")</f>
        <v/>
      </c>
      <c r="N36" s="146" t="str">
        <f>IF(VLOOKUP($A36,Sheet1!$A$3:$AW$699,9,FALSE)="●","x","")</f>
        <v/>
      </c>
      <c r="O36" s="146" t="str">
        <f>IF(VLOOKUP($A36,Sheet1!$A$3:$AW$699,10,FALSE)="■","x","")</f>
        <v/>
      </c>
      <c r="P36" s="9" t="str">
        <f>IF(VLOOKUP($A36,Sheet1!$A$3:$AW$699,2,FALSE)="","",VLOOKUP($A36,Sheet1!$A$3:$AW$699,2,FALSE))</f>
        <v>P1.049</v>
      </c>
    </row>
    <row r="37" spans="1:16" ht="71.400000000000006" x14ac:dyDescent="0.3">
      <c r="A37" s="9">
        <v>157</v>
      </c>
      <c r="B37" s="9" t="str">
        <f>IF(VLOOKUP($A37,Sheet1!$A$3:$AW$699,20,FALSE)="","",VLOOKUP($A37,Sheet1!$A$3:$AW$699,20,FALSE))</f>
        <v>ShuntResistorValue</v>
      </c>
      <c r="C37" s="9" t="str">
        <f>IF(VLOOKUP($A37,Sheet1!$A$3:$AW$699,25,FALSE)="","",VLOOKUP($A37,Sheet1!$A$3:$AW$699,25,FALSE))</f>
        <v>All</v>
      </c>
      <c r="D37" s="142">
        <f>IF(VLOOKUP($A37,Sheet1!$A$3:$AW$699,15,FALSE)="","",VLOOKUP($A37,Sheet1!$A$3:$AW$699,15,FALSE))</f>
        <v>5</v>
      </c>
      <c r="E37" s="142">
        <f>IF(VLOOKUP($A37,Sheet1!$A$3:$AW$699,16,FALSE)="","",VLOOKUP($A37,Sheet1!$A$3:$AW$699,16,FALSE))</f>
        <v>750</v>
      </c>
      <c r="F37" s="142">
        <f>IF(VLOOKUP($A37,Sheet1!$A$3:$AW$699,17,FALSE)="","",VLOOKUP($A37,Sheet1!$A$3:$AW$699,17,FALSE))</f>
        <v>100</v>
      </c>
      <c r="G37" s="142" t="str">
        <f>IF(VLOOKUP($A37,Sheet1!$A$3:$AW$699,18,FALSE)="","",VLOOKUP($A37,Sheet1!$A$3:$AW$699,18,FALSE))</f>
        <v/>
      </c>
      <c r="H37" s="142" t="str">
        <f>IF(VLOOKUP($A37,Sheet1!$A$3:$AW$699,19,FALSE)="","",VLOOKUP($A37,Sheet1!$A$3:$AW$699,19,FALSE))</f>
        <v>Ohms</v>
      </c>
      <c r="I37" s="9" t="str">
        <f>IF(VLOOKUP($A37,Sheet1!$A$3:$AW$699,5,FALSE)="","",VLOOKUP($A37,Sheet1!$A$3:$AW$699,5,FALSE))</f>
        <v>INT</v>
      </c>
      <c r="J37" s="9" t="s">
        <v>219</v>
      </c>
      <c r="K37" s="9" t="s">
        <v>206</v>
      </c>
      <c r="L37" s="146" t="str">
        <f>IF(VLOOKUP($A37,Sheet1!$A$3:$AW$699,7,FALSE)="★","x","")</f>
        <v/>
      </c>
      <c r="M37" s="146" t="str">
        <f>IF(VLOOKUP($A37,Sheet1!$A$3:$AW$699,8,FALSE)="▲","x","")</f>
        <v/>
      </c>
      <c r="N37" s="146" t="str">
        <f>IF(VLOOKUP($A37,Sheet1!$A$3:$AW$699,9,FALSE)="●","x","")</f>
        <v/>
      </c>
      <c r="O37" s="146" t="str">
        <f>IF(VLOOKUP($A37,Sheet1!$A$3:$AW$699,10,FALSE)="■","x","")</f>
        <v/>
      </c>
      <c r="P37" s="9" t="str">
        <f>IF(VLOOKUP($A37,Sheet1!$A$3:$AW$699,2,FALSE)="","",VLOOKUP($A37,Sheet1!$A$3:$AW$699,2,FALSE))</f>
        <v>P1.052</v>
      </c>
    </row>
    <row r="38" spans="1:16" ht="20.399999999999999" x14ac:dyDescent="0.3">
      <c r="A38" s="9">
        <v>158</v>
      </c>
      <c r="B38" s="9" t="str">
        <f>IF(VLOOKUP($A38,Sheet1!$A$3:$AW$699,20,FALSE)="","",VLOOKUP($A38,Sheet1!$A$3:$AW$699,20,FALSE))</f>
        <v>ShuntResistorPower</v>
      </c>
      <c r="C38" s="9" t="str">
        <f>IF(VLOOKUP($A38,Sheet1!$A$3:$AW$699,25,FALSE)="","",VLOOKUP($A38,Sheet1!$A$3:$AW$699,25,FALSE))</f>
        <v>All</v>
      </c>
      <c r="D38" s="142">
        <f>IF(VLOOKUP($A38,Sheet1!$A$3:$AW$699,15,FALSE)="","",VLOOKUP($A38,Sheet1!$A$3:$AW$699,15,FALSE))</f>
        <v>0</v>
      </c>
      <c r="E38" s="142">
        <f>IF(VLOOKUP($A38,Sheet1!$A$3:$AW$699,16,FALSE)="","",VLOOKUP($A38,Sheet1!$A$3:$AW$699,16,FALSE))</f>
        <v>15000</v>
      </c>
      <c r="F38" s="142">
        <f>IF(VLOOKUP($A38,Sheet1!$A$3:$AW$699,17,FALSE)="","",VLOOKUP($A38,Sheet1!$A$3:$AW$699,17,FALSE))</f>
        <v>10</v>
      </c>
      <c r="G38" s="142" t="str">
        <f>IF(VLOOKUP($A38,Sheet1!$A$3:$AW$699,18,FALSE)="","",VLOOKUP($A38,Sheet1!$A$3:$AW$699,18,FALSE))</f>
        <v/>
      </c>
      <c r="H38" s="142" t="str">
        <f>IF(VLOOKUP($A38,Sheet1!$A$3:$AW$699,19,FALSE)="","",VLOOKUP($A38,Sheet1!$A$3:$AW$699,19,FALSE))</f>
        <v>W</v>
      </c>
      <c r="I38" s="9" t="str">
        <f>IF(VLOOKUP($A38,Sheet1!$A$3:$AW$699,5,FALSE)="","",VLOOKUP($A38,Sheet1!$A$3:$AW$699,5,FALSE))</f>
        <v>INT</v>
      </c>
      <c r="J38" s="9" t="s">
        <v>220</v>
      </c>
      <c r="K38" s="9" t="s">
        <v>206</v>
      </c>
      <c r="L38" s="146" t="str">
        <f>IF(VLOOKUP($A38,Sheet1!$A$3:$AW$699,7,FALSE)="★","x","")</f>
        <v/>
      </c>
      <c r="M38" s="146" t="str">
        <f>IF(VLOOKUP($A38,Sheet1!$A$3:$AW$699,8,FALSE)="▲","x","")</f>
        <v/>
      </c>
      <c r="N38" s="146" t="str">
        <f>IF(VLOOKUP($A38,Sheet1!$A$3:$AW$699,9,FALSE)="●","x","")</f>
        <v/>
      </c>
      <c r="O38" s="146" t="str">
        <f>IF(VLOOKUP($A38,Sheet1!$A$3:$AW$699,10,FALSE)="■","x","")</f>
        <v/>
      </c>
      <c r="P38" s="9" t="str">
        <f>IF(VLOOKUP($A38,Sheet1!$A$3:$AW$699,2,FALSE)="","",VLOOKUP($A38,Sheet1!$A$3:$AW$699,2,FALSE))</f>
        <v>P1.053</v>
      </c>
    </row>
    <row r="39" spans="1:16" ht="81.599999999999994" x14ac:dyDescent="0.3">
      <c r="A39" s="9">
        <v>159</v>
      </c>
      <c r="B39" s="9" t="str">
        <f>IF(VLOOKUP($A39,Sheet1!$A$3:$AW$699,20,FALSE)="","",VLOOKUP($A39,Sheet1!$A$3:$AW$699,20,FALSE))</f>
        <v>InPositionWindow</v>
      </c>
      <c r="C39" s="9" t="str">
        <f>IF(VLOOKUP($A39,Sheet1!$A$3:$AW$699,25,FALSE)="","",VLOOKUP($A39,Sheet1!$A$3:$AW$699,25,FALSE))</f>
        <v>PT/PR/IO</v>
      </c>
      <c r="D39" s="142">
        <f>IF(VLOOKUP($A39,Sheet1!$A$3:$AW$699,15,FALSE)="","",VLOOKUP($A39,Sheet1!$A$3:$AW$699,15,FALSE))</f>
        <v>0</v>
      </c>
      <c r="E39" s="142">
        <f>IF(VLOOKUP($A39,Sheet1!$A$3:$AW$699,16,FALSE)="","",VLOOKUP($A39,Sheet1!$A$3:$AW$699,16,FALSE))</f>
        <v>16777216</v>
      </c>
      <c r="F39" s="142">
        <f>IF(VLOOKUP($A39,Sheet1!$A$3:$AW$699,17,FALSE)="","",VLOOKUP($A39,Sheet1!$A$3:$AW$699,17,FALSE))</f>
        <v>167772</v>
      </c>
      <c r="G39" s="142" t="str">
        <f>IF(VLOOKUP($A39,Sheet1!$A$3:$AW$699,18,FALSE)="","",VLOOKUP($A39,Sheet1!$A$3:$AW$699,18,FALSE))</f>
        <v/>
      </c>
      <c r="H39" s="142" t="str">
        <f>IF(VLOOKUP($A39,Sheet1!$A$3:$AW$699,19,FALSE)="","",VLOOKUP($A39,Sheet1!$A$3:$AW$699,19,FALSE))</f>
        <v>Counts</v>
      </c>
      <c r="I39" s="9" t="str">
        <f>IF(VLOOKUP($A39,Sheet1!$A$3:$AW$699,5,FALSE)="","",VLOOKUP($A39,Sheet1!$A$3:$AW$699,5,FALSE))</f>
        <v>DINT</v>
      </c>
      <c r="J39" s="9" t="s">
        <v>221</v>
      </c>
      <c r="K39" s="9" t="s">
        <v>182</v>
      </c>
      <c r="L39" s="146" t="str">
        <f>IF(VLOOKUP($A39,Sheet1!$A$3:$AW$699,7,FALSE)="★","x","")</f>
        <v/>
      </c>
      <c r="M39" s="146" t="str">
        <f>IF(VLOOKUP($A39,Sheet1!$A$3:$AW$699,8,FALSE)="▲","x","")</f>
        <v/>
      </c>
      <c r="N39" s="146" t="str">
        <f>IF(VLOOKUP($A39,Sheet1!$A$3:$AW$699,9,FALSE)="●","x","")</f>
        <v/>
      </c>
      <c r="O39" s="146" t="str">
        <f>IF(VLOOKUP($A39,Sheet1!$A$3:$AW$699,10,FALSE)="■","x","")</f>
        <v/>
      </c>
      <c r="P39" s="9" t="str">
        <f>IF(VLOOKUP($A39,Sheet1!$A$3:$AW$699,2,FALSE)="","",VLOOKUP($A39,Sheet1!$A$3:$AW$699,2,FALSE))</f>
        <v>P1.054</v>
      </c>
    </row>
    <row r="40" spans="1:16" ht="20.399999999999999" x14ac:dyDescent="0.3">
      <c r="A40" s="9">
        <v>160</v>
      </c>
      <c r="B40" s="9" t="str">
        <f>IF(VLOOKUP($A40,Sheet1!$A$3:$AW$699,20,FALSE)="","",VLOOKUP($A40,Sheet1!$A$3:$AW$699,20,FALSE))</f>
        <v>MaximumSpeed</v>
      </c>
      <c r="C40" s="9" t="str">
        <f>IF(VLOOKUP($A40,Sheet1!$A$3:$AW$699,25,FALSE)="","",VLOOKUP($A40,Sheet1!$A$3:$AW$699,25,FALSE))</f>
        <v>All</v>
      </c>
      <c r="D40" s="142">
        <f>IF(VLOOKUP($A40,Sheet1!$A$3:$AW$699,15,FALSE)="","",VLOOKUP($A40,Sheet1!$A$3:$AW$699,15,FALSE))</f>
        <v>10</v>
      </c>
      <c r="E40" s="142">
        <f>IF(VLOOKUP($A40,Sheet1!$A$3:$AW$699,16,FALSE)="","",VLOOKUP($A40,Sheet1!$A$3:$AW$699,16,FALSE))</f>
        <v>28500</v>
      </c>
      <c r="F40" s="142">
        <f>IF(VLOOKUP($A40,Sheet1!$A$3:$AW$699,17,FALSE)="","",VLOOKUP($A40,Sheet1!$A$3:$AW$699,17,FALSE))</f>
        <v>8000</v>
      </c>
      <c r="G40" s="142" t="str">
        <f>IF(VLOOKUP($A40,Sheet1!$A$3:$AW$699,18,FALSE)="","",VLOOKUP($A40,Sheet1!$A$3:$AW$699,18,FALSE))</f>
        <v/>
      </c>
      <c r="H40" s="142" t="str">
        <f>IF(VLOOKUP($A40,Sheet1!$A$3:$AW$699,19,FALSE)="","",VLOOKUP($A40,Sheet1!$A$3:$AW$699,19,FALSE))</f>
        <v>RPM
mm/s</v>
      </c>
      <c r="I40" s="9" t="str">
        <f>IF(VLOOKUP($A40,Sheet1!$A$3:$AW$699,5,FALSE)="","",VLOOKUP($A40,Sheet1!$A$3:$AW$699,5,FALSE))</f>
        <v>UINT</v>
      </c>
      <c r="J40" s="9" t="s">
        <v>222</v>
      </c>
      <c r="K40" s="9" t="s">
        <v>193</v>
      </c>
      <c r="L40" s="146" t="str">
        <f>IF(VLOOKUP($A40,Sheet1!$A$3:$AW$699,7,FALSE)="★","x","")</f>
        <v/>
      </c>
      <c r="M40" s="146" t="str">
        <f>IF(VLOOKUP($A40,Sheet1!$A$3:$AW$699,8,FALSE)="▲","x","")</f>
        <v/>
      </c>
      <c r="N40" s="146" t="str">
        <f>IF(VLOOKUP($A40,Sheet1!$A$3:$AW$699,9,FALSE)="●","x","")</f>
        <v/>
      </c>
      <c r="O40" s="146" t="str">
        <f>IF(VLOOKUP($A40,Sheet1!$A$3:$AW$699,10,FALSE)="■","x","")</f>
        <v/>
      </c>
      <c r="P40" s="9" t="str">
        <f>IF(VLOOKUP($A40,Sheet1!$A$3:$AW$699,2,FALSE)="","",VLOOKUP($A40,Sheet1!$A$3:$AW$699,2,FALSE))</f>
        <v>P1.055</v>
      </c>
    </row>
    <row r="41" spans="1:16" ht="81.599999999999994" x14ac:dyDescent="0.3">
      <c r="A41" s="9">
        <v>161</v>
      </c>
      <c r="B41" s="9" t="str">
        <f>IF(VLOOKUP($A41,Sheet1!$A$3:$AW$699,20,FALSE)="","",VLOOKUP($A41,Sheet1!$A$3:$AW$699,20,FALSE))</f>
        <v>OverloadWarningUserThreshold</v>
      </c>
      <c r="C41" s="9" t="str">
        <f>IF(VLOOKUP($A41,Sheet1!$A$3:$AW$699,25,FALSE)="","",VLOOKUP($A41,Sheet1!$A$3:$AW$699,25,FALSE))</f>
        <v>All</v>
      </c>
      <c r="D41" s="142">
        <f>IF(VLOOKUP($A41,Sheet1!$A$3:$AW$699,15,FALSE)="","",VLOOKUP($A41,Sheet1!$A$3:$AW$699,15,FALSE))</f>
        <v>0</v>
      </c>
      <c r="E41" s="142">
        <f>IF(VLOOKUP($A41,Sheet1!$A$3:$AW$699,16,FALSE)="","",VLOOKUP($A41,Sheet1!$A$3:$AW$699,16,FALSE))</f>
        <v>120</v>
      </c>
      <c r="F41" s="142">
        <f>IF(VLOOKUP($A41,Sheet1!$A$3:$AW$699,17,FALSE)="","",VLOOKUP($A41,Sheet1!$A$3:$AW$699,17,FALSE))</f>
        <v>120</v>
      </c>
      <c r="G41" s="142" t="str">
        <f>IF(VLOOKUP($A41,Sheet1!$A$3:$AW$699,18,FALSE)="","",VLOOKUP($A41,Sheet1!$A$3:$AW$699,18,FALSE))</f>
        <v/>
      </c>
      <c r="H41" s="142" t="str">
        <f>IF(VLOOKUP($A41,Sheet1!$A$3:$AW$699,19,FALSE)="","",VLOOKUP($A41,Sheet1!$A$3:$AW$699,19,FALSE))</f>
        <v>%</v>
      </c>
      <c r="I41" s="9" t="str">
        <f>IF(VLOOKUP($A41,Sheet1!$A$3:$AW$699,5,FALSE)="","",VLOOKUP($A41,Sheet1!$A$3:$AW$699,5,FALSE))</f>
        <v>INT</v>
      </c>
      <c r="J41" s="9" t="s">
        <v>223</v>
      </c>
      <c r="K41" s="9" t="s">
        <v>182</v>
      </c>
      <c r="L41" s="146" t="str">
        <f>IF(VLOOKUP($A41,Sheet1!$A$3:$AW$699,7,FALSE)="★","x","")</f>
        <v/>
      </c>
      <c r="M41" s="146" t="str">
        <f>IF(VLOOKUP($A41,Sheet1!$A$3:$AW$699,8,FALSE)="▲","x","")</f>
        <v/>
      </c>
      <c r="N41" s="146" t="str">
        <f>IF(VLOOKUP($A41,Sheet1!$A$3:$AW$699,9,FALSE)="●","x","")</f>
        <v/>
      </c>
      <c r="O41" s="146" t="str">
        <f>IF(VLOOKUP($A41,Sheet1!$A$3:$AW$699,10,FALSE)="■","x","")</f>
        <v/>
      </c>
      <c r="P41" s="9" t="str">
        <f>IF(VLOOKUP($A41,Sheet1!$A$3:$AW$699,2,FALSE)="","",VLOOKUP($A41,Sheet1!$A$3:$AW$699,2,FALSE))</f>
        <v>P1.056</v>
      </c>
    </row>
    <row r="42" spans="1:16" ht="30.6" x14ac:dyDescent="0.3">
      <c r="A42" s="9">
        <v>162</v>
      </c>
      <c r="B42" s="9" t="str">
        <f>IF(VLOOKUP($A42,Sheet1!$A$3:$AW$699,20,FALSE)="","",VLOOKUP($A42,Sheet1!$A$3:$AW$699,20,FALSE))</f>
        <v>CrashProtectionTorqueThreshold</v>
      </c>
      <c r="C42" s="9" t="str">
        <f>IF(VLOOKUP($A42,Sheet1!$A$3:$AW$699,25,FALSE)="","",VLOOKUP($A42,Sheet1!$A$3:$AW$699,25,FALSE))</f>
        <v>All</v>
      </c>
      <c r="D42" s="142">
        <f>IF(VLOOKUP($A42,Sheet1!$A$3:$AW$699,15,FALSE)="","",VLOOKUP($A42,Sheet1!$A$3:$AW$699,15,FALSE))</f>
        <v>0</v>
      </c>
      <c r="E42" s="142">
        <f>IF(VLOOKUP($A42,Sheet1!$A$3:$AW$699,16,FALSE)="","",VLOOKUP($A42,Sheet1!$A$3:$AW$699,16,FALSE))</f>
        <v>300</v>
      </c>
      <c r="F42" s="142">
        <f>IF(VLOOKUP($A42,Sheet1!$A$3:$AW$699,17,FALSE)="","",VLOOKUP($A42,Sheet1!$A$3:$AW$699,17,FALSE))</f>
        <v>0</v>
      </c>
      <c r="G42" s="142" t="str">
        <f>IF(VLOOKUP($A42,Sheet1!$A$3:$AW$699,18,FALSE)="","",VLOOKUP($A42,Sheet1!$A$3:$AW$699,18,FALSE))</f>
        <v/>
      </c>
      <c r="H42" s="142" t="str">
        <f>IF(VLOOKUP($A42,Sheet1!$A$3:$AW$699,19,FALSE)="","",VLOOKUP($A42,Sheet1!$A$3:$AW$699,19,FALSE))</f>
        <v>%</v>
      </c>
      <c r="I42" s="9" t="str">
        <f>IF(VLOOKUP($A42,Sheet1!$A$3:$AW$699,5,FALSE)="","",VLOOKUP($A42,Sheet1!$A$3:$AW$699,5,FALSE))</f>
        <v>INT</v>
      </c>
      <c r="J42" s="9" t="s">
        <v>224</v>
      </c>
      <c r="K42" s="9" t="s">
        <v>182</v>
      </c>
      <c r="L42" s="146" t="str">
        <f>IF(VLOOKUP($A42,Sheet1!$A$3:$AW$699,7,FALSE)="★","x","")</f>
        <v/>
      </c>
      <c r="M42" s="146" t="str">
        <f>IF(VLOOKUP($A42,Sheet1!$A$3:$AW$699,8,FALSE)="▲","x","")</f>
        <v/>
      </c>
      <c r="N42" s="146" t="str">
        <f>IF(VLOOKUP($A42,Sheet1!$A$3:$AW$699,9,FALSE)="●","x","")</f>
        <v/>
      </c>
      <c r="O42" s="146" t="str">
        <f>IF(VLOOKUP($A42,Sheet1!$A$3:$AW$699,10,FALSE)="■","x","")</f>
        <v/>
      </c>
      <c r="P42" s="9" t="str">
        <f>IF(VLOOKUP($A42,Sheet1!$A$3:$AW$699,2,FALSE)="","",VLOOKUP($A42,Sheet1!$A$3:$AW$699,2,FALSE))</f>
        <v>P1.057</v>
      </c>
    </row>
    <row r="43" spans="1:16" ht="51" x14ac:dyDescent="0.3">
      <c r="A43" s="9">
        <v>163</v>
      </c>
      <c r="B43" s="9" t="str">
        <f>IF(VLOOKUP($A43,Sheet1!$A$3:$AW$699,20,FALSE)="","",VLOOKUP($A43,Sheet1!$A$3:$AW$699,20,FALSE))</f>
        <v>CrashProtectionFilterTime</v>
      </c>
      <c r="C43" s="9" t="str">
        <f>IF(VLOOKUP($A43,Sheet1!$A$3:$AW$699,25,FALSE)="","",VLOOKUP($A43,Sheet1!$A$3:$AW$699,25,FALSE))</f>
        <v>All</v>
      </c>
      <c r="D43" s="142">
        <f>IF(VLOOKUP($A43,Sheet1!$A$3:$AW$699,15,FALSE)="","",VLOOKUP($A43,Sheet1!$A$3:$AW$699,15,FALSE))</f>
        <v>1</v>
      </c>
      <c r="E43" s="142">
        <f>IF(VLOOKUP($A43,Sheet1!$A$3:$AW$699,16,FALSE)="","",VLOOKUP($A43,Sheet1!$A$3:$AW$699,16,FALSE))</f>
        <v>1000</v>
      </c>
      <c r="F43" s="142">
        <f>IF(VLOOKUP($A43,Sheet1!$A$3:$AW$699,17,FALSE)="","",VLOOKUP($A43,Sheet1!$A$3:$AW$699,17,FALSE))</f>
        <v>1</v>
      </c>
      <c r="G43" s="142" t="str">
        <f>IF(VLOOKUP($A43,Sheet1!$A$3:$AW$699,18,FALSE)="","",VLOOKUP($A43,Sheet1!$A$3:$AW$699,18,FALSE))</f>
        <v/>
      </c>
      <c r="H43" s="142" t="str">
        <f>IF(VLOOKUP($A43,Sheet1!$A$3:$AW$699,19,FALSE)="","",VLOOKUP($A43,Sheet1!$A$3:$AW$699,19,FALSE))</f>
        <v>ms</v>
      </c>
      <c r="I43" s="9" t="str">
        <f>IF(VLOOKUP($A43,Sheet1!$A$3:$AW$699,5,FALSE)="","",VLOOKUP($A43,Sheet1!$A$3:$AW$699,5,FALSE))</f>
        <v>INT</v>
      </c>
      <c r="J43" s="9" t="s">
        <v>225</v>
      </c>
      <c r="K43" s="9" t="s">
        <v>182</v>
      </c>
      <c r="L43" s="146" t="str">
        <f>IF(VLOOKUP($A43,Sheet1!$A$3:$AW$699,7,FALSE)="★","x","")</f>
        <v/>
      </c>
      <c r="M43" s="146" t="str">
        <f>IF(VLOOKUP($A43,Sheet1!$A$3:$AW$699,8,FALSE)="▲","x","")</f>
        <v/>
      </c>
      <c r="N43" s="146" t="str">
        <f>IF(VLOOKUP($A43,Sheet1!$A$3:$AW$699,9,FALSE)="●","x","")</f>
        <v/>
      </c>
      <c r="O43" s="146" t="str">
        <f>IF(VLOOKUP($A43,Sheet1!$A$3:$AW$699,10,FALSE)="■","x","")</f>
        <v/>
      </c>
      <c r="P43" s="9" t="str">
        <f>IF(VLOOKUP($A43,Sheet1!$A$3:$AW$699,2,FALSE)="","",VLOOKUP($A43,Sheet1!$A$3:$AW$699,2,FALSE))</f>
        <v>P1.058</v>
      </c>
    </row>
    <row r="44" spans="1:16" ht="30.6" x14ac:dyDescent="0.3">
      <c r="A44" s="9">
        <v>165</v>
      </c>
      <c r="B44" s="9" t="str">
        <f>IF(VLOOKUP($A44,Sheet1!$A$3:$AW$699,20,FALSE)="","",VLOOKUP($A44,Sheet1!$A$3:$AW$699,20,FALSE))</f>
        <v>FrictionCompensation</v>
      </c>
      <c r="C44" s="9" t="str">
        <f>IF(VLOOKUP($A44,Sheet1!$A$3:$AW$699,25,FALSE)="","",VLOOKUP($A44,Sheet1!$A$3:$AW$699,25,FALSE))</f>
        <v>PT/PR/S/Sz/IO</v>
      </c>
      <c r="D44" s="142">
        <f>IF(VLOOKUP($A44,Sheet1!$A$3:$AW$699,15,FALSE)="","",VLOOKUP($A44,Sheet1!$A$3:$AW$699,15,FALSE))</f>
        <v>0</v>
      </c>
      <c r="E44" s="142">
        <f>IF(VLOOKUP($A44,Sheet1!$A$3:$AW$699,16,FALSE)="","",VLOOKUP($A44,Sheet1!$A$3:$AW$699,16,FALSE))</f>
        <v>100</v>
      </c>
      <c r="F44" s="142">
        <f>IF(VLOOKUP($A44,Sheet1!$A$3:$AW$699,17,FALSE)="","",VLOOKUP($A44,Sheet1!$A$3:$AW$699,17,FALSE))</f>
        <v>0</v>
      </c>
      <c r="G44" s="142" t="str">
        <f>IF(VLOOKUP($A44,Sheet1!$A$3:$AW$699,18,FALSE)="","",VLOOKUP($A44,Sheet1!$A$3:$AW$699,18,FALSE))</f>
        <v/>
      </c>
      <c r="H44" s="142" t="str">
        <f>IF(VLOOKUP($A44,Sheet1!$A$3:$AW$699,19,FALSE)="","",VLOOKUP($A44,Sheet1!$A$3:$AW$699,19,FALSE))</f>
        <v>%</v>
      </c>
      <c r="I44" s="9" t="str">
        <f>IF(VLOOKUP($A44,Sheet1!$A$3:$AW$699,5,FALSE)="","",VLOOKUP($A44,Sheet1!$A$3:$AW$699,5,FALSE))</f>
        <v>INT</v>
      </c>
      <c r="J44" s="9" t="s">
        <v>226</v>
      </c>
      <c r="K44" s="9" t="s">
        <v>182</v>
      </c>
      <c r="L44" s="146" t="str">
        <f>IF(VLOOKUP($A44,Sheet1!$A$3:$AW$699,7,FALSE)="★","x","")</f>
        <v/>
      </c>
      <c r="M44" s="146" t="str">
        <f>IF(VLOOKUP($A44,Sheet1!$A$3:$AW$699,8,FALSE)="▲","x","")</f>
        <v/>
      </c>
      <c r="N44" s="146" t="str">
        <f>IF(VLOOKUP($A44,Sheet1!$A$3:$AW$699,9,FALSE)="●","x","")</f>
        <v/>
      </c>
      <c r="O44" s="146" t="str">
        <f>IF(VLOOKUP($A44,Sheet1!$A$3:$AW$699,10,FALSE)="■","x","")</f>
        <v/>
      </c>
      <c r="P44" s="9" t="str">
        <f>IF(VLOOKUP($A44,Sheet1!$A$3:$AW$699,2,FALSE)="","",VLOOKUP($A44,Sheet1!$A$3:$AW$699,2,FALSE))</f>
        <v>P1.062</v>
      </c>
    </row>
    <row r="45" spans="1:16" ht="20.399999999999999" x14ac:dyDescent="0.3">
      <c r="A45" s="9">
        <v>166</v>
      </c>
      <c r="B45" s="9" t="str">
        <f>IF(VLOOKUP($A45,Sheet1!$A$3:$AW$699,20,FALSE)="","",VLOOKUP($A45,Sheet1!$A$3:$AW$699,20,FALSE))</f>
        <v>FrictionCompensationSmoothTime</v>
      </c>
      <c r="C45" s="9" t="str">
        <f>IF(VLOOKUP($A45,Sheet1!$A$3:$AW$699,25,FALSE)="","",VLOOKUP($A45,Sheet1!$A$3:$AW$699,25,FALSE))</f>
        <v>PT/PR/S/Sz/IO</v>
      </c>
      <c r="D45" s="142">
        <f>IF(VLOOKUP($A45,Sheet1!$A$3:$AW$699,15,FALSE)="","",VLOOKUP($A45,Sheet1!$A$3:$AW$699,15,FALSE))</f>
        <v>1</v>
      </c>
      <c r="E45" s="142">
        <f>IF(VLOOKUP($A45,Sheet1!$A$3:$AW$699,16,FALSE)="","",VLOOKUP($A45,Sheet1!$A$3:$AW$699,16,FALSE))</f>
        <v>1000</v>
      </c>
      <c r="F45" s="142">
        <f>IF(VLOOKUP($A45,Sheet1!$A$3:$AW$699,17,FALSE)="","",VLOOKUP($A45,Sheet1!$A$3:$AW$699,17,FALSE))</f>
        <v>1</v>
      </c>
      <c r="G45" s="142" t="str">
        <f>IF(VLOOKUP($A45,Sheet1!$A$3:$AW$699,18,FALSE)="","",VLOOKUP($A45,Sheet1!$A$3:$AW$699,18,FALSE))</f>
        <v/>
      </c>
      <c r="H45" s="142" t="str">
        <f>IF(VLOOKUP($A45,Sheet1!$A$3:$AW$699,19,FALSE)="","",VLOOKUP($A45,Sheet1!$A$3:$AW$699,19,FALSE))</f>
        <v>ms</v>
      </c>
      <c r="I45" s="9" t="str">
        <f>IF(VLOOKUP($A45,Sheet1!$A$3:$AW$699,5,FALSE)="","",VLOOKUP($A45,Sheet1!$A$3:$AW$699,5,FALSE))</f>
        <v>INT</v>
      </c>
      <c r="J45" s="9" t="s">
        <v>227</v>
      </c>
      <c r="K45" s="9" t="s">
        <v>182</v>
      </c>
      <c r="L45" s="146" t="str">
        <f>IF(VLOOKUP($A45,Sheet1!$A$3:$AW$699,7,FALSE)="★","x","")</f>
        <v/>
      </c>
      <c r="M45" s="146" t="str">
        <f>IF(VLOOKUP($A45,Sheet1!$A$3:$AW$699,8,FALSE)="▲","x","")</f>
        <v/>
      </c>
      <c r="N45" s="146" t="str">
        <f>IF(VLOOKUP($A45,Sheet1!$A$3:$AW$699,9,FALSE)="●","x","")</f>
        <v/>
      </c>
      <c r="O45" s="146" t="str">
        <f>IF(VLOOKUP($A45,Sheet1!$A$3:$AW$699,10,FALSE)="■","x","")</f>
        <v/>
      </c>
      <c r="P45" s="9" t="str">
        <f>IF(VLOOKUP($A45,Sheet1!$A$3:$AW$699,2,FALSE)="","",VLOOKUP($A45,Sheet1!$A$3:$AW$699,2,FALSE))</f>
        <v>P1.063</v>
      </c>
    </row>
    <row r="46" spans="1:16" ht="102" x14ac:dyDescent="0.3">
      <c r="A46" s="9">
        <v>167</v>
      </c>
      <c r="B46" s="9" t="str">
        <f>IF(VLOOKUP($A46,Sheet1!$A$3:$AW$699,20,FALSE)="","",VLOOKUP($A46,Sheet1!$A$3:$AW$699,20,FALSE))</f>
        <v>AnalogToPositionStartupConfiguration</v>
      </c>
      <c r="C46" s="9" t="str">
        <f>IF(VLOOKUP($A46,Sheet1!$A$3:$AW$699,25,FALSE)="","",VLOOKUP($A46,Sheet1!$A$3:$AW$699,25,FALSE))</f>
        <v>PT/IO</v>
      </c>
      <c r="D46" s="142" t="str">
        <f>IF(VLOOKUP($A46,Sheet1!$A$3:$AW$699,15,FALSE)="","",VLOOKUP($A46,Sheet1!$A$3:$AW$699,15,FALSE))</f>
        <v>0x0000</v>
      </c>
      <c r="E46" s="142" t="str">
        <f>IF(VLOOKUP($A46,Sheet1!$A$3:$AW$699,16,FALSE)="","",VLOOKUP($A46,Sheet1!$A$3:$AW$699,16,FALSE))</f>
        <v>0x0011</v>
      </c>
      <c r="F46" s="142" t="str">
        <f>IF(VLOOKUP($A46,Sheet1!$A$3:$AW$699,17,FALSE)="","",VLOOKUP($A46,Sheet1!$A$3:$AW$699,17,FALSE))</f>
        <v>0x0000</v>
      </c>
      <c r="G46" s="142" t="str">
        <f>IF(VLOOKUP($A46,Sheet1!$A$3:$AW$699,18,FALSE)="","",VLOOKUP($A46,Sheet1!$A$3:$AW$699,18,FALSE))</f>
        <v/>
      </c>
      <c r="H46" s="142" t="str">
        <f>IF(VLOOKUP($A46,Sheet1!$A$3:$AW$699,19,FALSE)="","",VLOOKUP($A46,Sheet1!$A$3:$AW$699,19,FALSE))</f>
        <v/>
      </c>
      <c r="I46" s="9" t="str">
        <f>IF(VLOOKUP($A46,Sheet1!$A$3:$AW$699,5,FALSE)="","",VLOOKUP($A46,Sheet1!$A$3:$AW$699,5,FALSE))</f>
        <v>UINT</v>
      </c>
      <c r="J46" s="11" t="s">
        <v>228</v>
      </c>
      <c r="K46" s="9" t="s">
        <v>182</v>
      </c>
      <c r="L46" s="146" t="str">
        <f>IF(VLOOKUP($A46,Sheet1!$A$3:$AW$699,7,FALSE)="★","x","")</f>
        <v/>
      </c>
      <c r="M46" s="146" t="str">
        <f>IF(VLOOKUP($A46,Sheet1!$A$3:$AW$699,8,FALSE)="▲","x","")</f>
        <v/>
      </c>
      <c r="N46" s="146" t="str">
        <f>IF(VLOOKUP($A46,Sheet1!$A$3:$AW$699,9,FALSE)="●","x","")</f>
        <v/>
      </c>
      <c r="O46" s="146" t="str">
        <f>IF(VLOOKUP($A46,Sheet1!$A$3:$AW$699,10,FALSE)="■","x","")</f>
        <v/>
      </c>
      <c r="P46" s="9" t="str">
        <f>IF(VLOOKUP($A46,Sheet1!$A$3:$AW$699,2,FALSE)="","",VLOOKUP($A46,Sheet1!$A$3:$AW$699,2,FALSE))</f>
        <v>P1.064</v>
      </c>
    </row>
    <row r="47" spans="1:16" ht="61.2" x14ac:dyDescent="0.3">
      <c r="A47" s="9">
        <v>169</v>
      </c>
      <c r="B47" s="9" t="str">
        <f>IF(VLOOKUP($A47,Sheet1!$A$3:$AW$699,20,FALSE)="","",VLOOKUP($A47,Sheet1!$A$3:$AW$699,20,FALSE))</f>
        <v>AnalogToPositionMaxRotationNum</v>
      </c>
      <c r="C47" s="9" t="str">
        <f>IF(VLOOKUP($A47,Sheet1!$A$3:$AW$699,25,FALSE)="","",VLOOKUP($A47,Sheet1!$A$3:$AW$699,25,FALSE))</f>
        <v>PT/IO</v>
      </c>
      <c r="D47" s="142">
        <f>IF(VLOOKUP($A47,Sheet1!$A$3:$AW$699,15,FALSE)="","",VLOOKUP($A47,Sheet1!$A$3:$AW$699,15,FALSE))</f>
        <v>0</v>
      </c>
      <c r="E47" s="142">
        <f>IF(VLOOKUP($A47,Sheet1!$A$3:$AW$699,16,FALSE)="","",VLOOKUP($A47,Sheet1!$A$3:$AW$699,16,FALSE))</f>
        <v>2000</v>
      </c>
      <c r="F47" s="142">
        <f>IF(VLOOKUP($A47,Sheet1!$A$3:$AW$699,17,FALSE)="","",VLOOKUP($A47,Sheet1!$A$3:$AW$699,17,FALSE))</f>
        <v>0</v>
      </c>
      <c r="G47" s="142">
        <f>IF(VLOOKUP($A47,Sheet1!$A$3:$AW$699,18,FALSE)="","",VLOOKUP($A47,Sheet1!$A$3:$AW$699,18,FALSE))</f>
        <v>0.1</v>
      </c>
      <c r="H47" s="142" t="str">
        <f>IF(VLOOKUP($A47,Sheet1!$A$3:$AW$699,19,FALSE)="","",VLOOKUP($A47,Sheet1!$A$3:$AW$699,19,FALSE))</f>
        <v>Rev</v>
      </c>
      <c r="I47" s="9" t="str">
        <f>IF(VLOOKUP($A47,Sheet1!$A$3:$AW$699,5,FALSE)="","",VLOOKUP($A47,Sheet1!$A$3:$AW$699,5,FALSE))</f>
        <v>INT</v>
      </c>
      <c r="J47" s="11" t="s">
        <v>229</v>
      </c>
      <c r="K47" s="9" t="s">
        <v>182</v>
      </c>
      <c r="L47" s="146" t="str">
        <f>IF(VLOOKUP($A47,Sheet1!$A$3:$AW$699,7,FALSE)="★","x","")</f>
        <v/>
      </c>
      <c r="M47" s="146" t="str">
        <f>IF(VLOOKUP($A47,Sheet1!$A$3:$AW$699,8,FALSE)="▲","x","")</f>
        <v/>
      </c>
      <c r="N47" s="146" t="str">
        <f>IF(VLOOKUP($A47,Sheet1!$A$3:$AW$699,9,FALSE)="●","x","")</f>
        <v/>
      </c>
      <c r="O47" s="146" t="str">
        <f>IF(VLOOKUP($A47,Sheet1!$A$3:$AW$699,10,FALSE)="■","x","")</f>
        <v/>
      </c>
      <c r="P47" s="9" t="str">
        <f>IF(VLOOKUP($A47,Sheet1!$A$3:$AW$699,2,FALSE)="","",VLOOKUP($A47,Sheet1!$A$3:$AW$699,2,FALSE))</f>
        <v>P1.066</v>
      </c>
    </row>
    <row r="48" spans="1:16" ht="30.6" x14ac:dyDescent="0.3">
      <c r="A48" s="9">
        <v>171</v>
      </c>
      <c r="B48" s="9" t="str">
        <f>IF(VLOOKUP($A48,Sheet1!$A$3:$AW$699,20,FALSE)="","",VLOOKUP($A48,Sheet1!$A$3:$AW$699,20,FALSE))</f>
        <v>AuxFeedbackResolution</v>
      </c>
      <c r="C48" s="9" t="str">
        <f>IF(VLOOKUP($A48,Sheet1!$A$3:$AW$699,25,FALSE)="","",VLOOKUP($A48,Sheet1!$A$3:$AW$699,25,FALSE))</f>
        <v>PT/IO</v>
      </c>
      <c r="D48" s="142">
        <f>IF(VLOOKUP($A48,Sheet1!$A$3:$AW$699,15,FALSE)="","",VLOOKUP($A48,Sheet1!$A$3:$AW$699,15,FALSE))</f>
        <v>50</v>
      </c>
      <c r="E48" s="142">
        <f>IF(VLOOKUP($A48,Sheet1!$A$3:$AW$699,16,FALSE)="","",VLOOKUP($A48,Sheet1!$A$3:$AW$699,16,FALSE))</f>
        <v>16777216</v>
      </c>
      <c r="F48" s="142">
        <f>IF(VLOOKUP($A48,Sheet1!$A$3:$AW$699,17,FALSE)="","",VLOOKUP($A48,Sheet1!$A$3:$AW$699,17,FALSE))</f>
        <v>5000</v>
      </c>
      <c r="G48" s="142" t="str">
        <f>IF(VLOOKUP($A48,Sheet1!$A$3:$AW$699,18,FALSE)="","",VLOOKUP($A48,Sheet1!$A$3:$AW$699,18,FALSE))</f>
        <v/>
      </c>
      <c r="H48" s="142" t="str">
        <f>IF(VLOOKUP($A48,Sheet1!$A$3:$AW$699,19,FALSE)="","",VLOOKUP($A48,Sheet1!$A$3:$AW$699,19,FALSE))</f>
        <v>Counts/Rev</v>
      </c>
      <c r="I48" s="9" t="str">
        <f>IF(VLOOKUP($A48,Sheet1!$A$3:$AW$699,5,FALSE)="","",VLOOKUP($A48,Sheet1!$A$3:$AW$699,5,FALSE))</f>
        <v>DINT</v>
      </c>
      <c r="J48" s="9" t="s">
        <v>230</v>
      </c>
      <c r="K48" s="9" t="s">
        <v>182</v>
      </c>
      <c r="L48" s="146" t="str">
        <f>IF(VLOOKUP($A48,Sheet1!$A$3:$AW$699,7,FALSE)="★","x","")</f>
        <v/>
      </c>
      <c r="M48" s="146" t="str">
        <f>IF(VLOOKUP($A48,Sheet1!$A$3:$AW$699,8,FALSE)="▲","x","")</f>
        <v/>
      </c>
      <c r="N48" s="146" t="str">
        <f>IF(VLOOKUP($A48,Sheet1!$A$3:$AW$699,9,FALSE)="●","x","")</f>
        <v/>
      </c>
      <c r="O48" s="146" t="str">
        <f>IF(VLOOKUP($A48,Sheet1!$A$3:$AW$699,10,FALSE)="■","x","")</f>
        <v/>
      </c>
      <c r="P48" s="9" t="str">
        <f>IF(VLOOKUP($A48,Sheet1!$A$3:$AW$699,2,FALSE)="","",VLOOKUP($A48,Sheet1!$A$3:$AW$699,2,FALSE))</f>
        <v>P1.072</v>
      </c>
    </row>
    <row r="49" spans="1:16" ht="40.799999999999997" x14ac:dyDescent="0.3">
      <c r="A49" s="9">
        <v>172</v>
      </c>
      <c r="B49" s="9" t="str">
        <f>IF(VLOOKUP($A49,Sheet1!$A$3:$AW$699,20,FALSE)="","",VLOOKUP($A49,Sheet1!$A$3:$AW$699,20,FALSE))</f>
        <v>MotorAndAuxFeedbackErrorLimit</v>
      </c>
      <c r="C49" s="9" t="str">
        <f>IF(VLOOKUP($A49,Sheet1!$A$3:$AW$699,25,FALSE)="","",VLOOKUP($A49,Sheet1!$A$3:$AW$699,25,FALSE))</f>
        <v>PT/IO</v>
      </c>
      <c r="D49" s="142">
        <f>IF(VLOOKUP($A49,Sheet1!$A$3:$AW$699,15,FALSE)="","",VLOOKUP($A49,Sheet1!$A$3:$AW$699,15,FALSE))</f>
        <v>1</v>
      </c>
      <c r="E49" s="142">
        <f>IF(VLOOKUP($A49,Sheet1!$A$3:$AW$699,16,FALSE)="","",VLOOKUP($A49,Sheet1!$A$3:$AW$699,16,FALSE))</f>
        <v>2147483647</v>
      </c>
      <c r="F49" s="142">
        <f>IF(VLOOKUP($A49,Sheet1!$A$3:$AW$699,17,FALSE)="","",VLOOKUP($A49,Sheet1!$A$3:$AW$699,17,FALSE))</f>
        <v>30000</v>
      </c>
      <c r="G49" s="142" t="str">
        <f>IF(VLOOKUP($A49,Sheet1!$A$3:$AW$699,18,FALSE)="","",VLOOKUP($A49,Sheet1!$A$3:$AW$699,18,FALSE))</f>
        <v/>
      </c>
      <c r="H49" s="142" t="str">
        <f>IF(VLOOKUP($A49,Sheet1!$A$3:$AW$699,19,FALSE)="","",VLOOKUP($A49,Sheet1!$A$3:$AW$699,19,FALSE))</f>
        <v>Counts</v>
      </c>
      <c r="I49" s="9" t="str">
        <f>IF(VLOOKUP($A49,Sheet1!$A$3:$AW$699,5,FALSE)="","",VLOOKUP($A49,Sheet1!$A$3:$AW$699,5,FALSE))</f>
        <v>DINT</v>
      </c>
      <c r="J49" s="9" t="s">
        <v>231</v>
      </c>
      <c r="K49" s="9" t="s">
        <v>182</v>
      </c>
      <c r="L49" s="146" t="str">
        <f>IF(VLOOKUP($A49,Sheet1!$A$3:$AW$699,7,FALSE)="★","x","")</f>
        <v/>
      </c>
      <c r="M49" s="146" t="str">
        <f>IF(VLOOKUP($A49,Sheet1!$A$3:$AW$699,8,FALSE)="▲","x","")</f>
        <v/>
      </c>
      <c r="N49" s="146" t="str">
        <f>IF(VLOOKUP($A49,Sheet1!$A$3:$AW$699,9,FALSE)="●","x","")</f>
        <v/>
      </c>
      <c r="O49" s="146" t="str">
        <f>IF(VLOOKUP($A49,Sheet1!$A$3:$AW$699,10,FALSE)="■","x","")</f>
        <v/>
      </c>
      <c r="P49" s="9" t="str">
        <f>IF(VLOOKUP($A49,Sheet1!$A$3:$AW$699,2,FALSE)="","",VLOOKUP($A49,Sheet1!$A$3:$AW$699,2,FALSE))</f>
        <v>P1.073</v>
      </c>
    </row>
    <row r="50" spans="1:16" ht="193.8" x14ac:dyDescent="0.3">
      <c r="A50" s="9">
        <v>173</v>
      </c>
      <c r="B50" s="9" t="str">
        <f>IF(VLOOKUP($A50,Sheet1!$A$3:$AW$699,20,FALSE)="","",VLOOKUP($A50,Sheet1!$A$3:$AW$699,20,FALSE))</f>
        <v>FullClosedLoopControlConfiguration</v>
      </c>
      <c r="C50" s="9" t="str">
        <f>IF(VLOOKUP($A50,Sheet1!$A$3:$AW$699,25,FALSE)="","",VLOOKUP($A50,Sheet1!$A$3:$AW$699,25,FALSE))</f>
        <v>PT/IO</v>
      </c>
      <c r="D50" s="142" t="str">
        <f>IF(VLOOKUP($A50,Sheet1!$A$3:$AW$699,15,FALSE)="","",VLOOKUP($A50,Sheet1!$A$3:$AW$699,15,FALSE))</f>
        <v>0x0000</v>
      </c>
      <c r="E50" s="142" t="str">
        <f>IF(VLOOKUP($A50,Sheet1!$A$3:$AW$699,16,FALSE)="","",VLOOKUP($A50,Sheet1!$A$3:$AW$699,16,FALSE))</f>
        <v>0xF131</v>
      </c>
      <c r="F50" s="142" t="str">
        <f>IF(VLOOKUP($A50,Sheet1!$A$3:$AW$699,17,FALSE)="","",VLOOKUP($A50,Sheet1!$A$3:$AW$699,17,FALSE))</f>
        <v>0x0000</v>
      </c>
      <c r="G50" s="142" t="str">
        <f>IF(VLOOKUP($A50,Sheet1!$A$3:$AW$699,18,FALSE)="","",VLOOKUP($A50,Sheet1!$A$3:$AW$699,18,FALSE))</f>
        <v/>
      </c>
      <c r="H50" s="142" t="str">
        <f>IF(VLOOKUP($A50,Sheet1!$A$3:$AW$699,19,FALSE)="","",VLOOKUP($A50,Sheet1!$A$3:$AW$699,19,FALSE))</f>
        <v/>
      </c>
      <c r="I50" s="9" t="str">
        <f>IF(VLOOKUP($A50,Sheet1!$A$3:$AW$699,5,FALSE)="","",VLOOKUP($A50,Sheet1!$A$3:$AW$699,5,FALSE))</f>
        <v>UINT</v>
      </c>
      <c r="J50" s="9" t="s">
        <v>232</v>
      </c>
      <c r="K50" s="9" t="s">
        <v>189</v>
      </c>
      <c r="L50" s="146" t="str">
        <f>IF(VLOOKUP($A50,Sheet1!$A$3:$AW$699,7,FALSE)="★","x","")</f>
        <v/>
      </c>
      <c r="M50" s="146" t="str">
        <f>IF(VLOOKUP($A50,Sheet1!$A$3:$AW$699,8,FALSE)="▲","x","")</f>
        <v/>
      </c>
      <c r="N50" s="146" t="str">
        <f>IF(VLOOKUP($A50,Sheet1!$A$3:$AW$699,9,FALSE)="●","x","")</f>
        <v/>
      </c>
      <c r="O50" s="146" t="str">
        <f>IF(VLOOKUP($A50,Sheet1!$A$3:$AW$699,10,FALSE)="■","x","")</f>
        <v/>
      </c>
      <c r="P50" s="9" t="str">
        <f>IF(VLOOKUP($A50,Sheet1!$A$3:$AW$699,2,FALSE)="","",VLOOKUP($A50,Sheet1!$A$3:$AW$699,2,FALSE))</f>
        <v>P1.074</v>
      </c>
    </row>
    <row r="51" spans="1:16" ht="40.799999999999997" x14ac:dyDescent="0.3">
      <c r="A51" s="9">
        <v>175</v>
      </c>
      <c r="B51" s="9" t="str">
        <f>IF(VLOOKUP($A51,Sheet1!$A$3:$AW$699,20,FALSE)="","",VLOOKUP($A51,Sheet1!$A$3:$AW$699,20,FALSE))</f>
        <v>MaxEncoderOutputSpeed</v>
      </c>
      <c r="C51" s="9" t="str">
        <f>IF(VLOOKUP($A51,Sheet1!$A$3:$AW$699,25,FALSE)="","",VLOOKUP($A51,Sheet1!$A$3:$AW$699,25,FALSE))</f>
        <v>All</v>
      </c>
      <c r="D51" s="142">
        <f>IF(VLOOKUP($A51,Sheet1!$A$3:$AW$699,15,FALSE)="","",VLOOKUP($A51,Sheet1!$A$3:$AW$699,15,FALSE))</f>
        <v>0</v>
      </c>
      <c r="E51" s="142">
        <f>IF(VLOOKUP($A51,Sheet1!$A$3:$AW$699,16,FALSE)="","",VLOOKUP($A51,Sheet1!$A$3:$AW$699,16,FALSE))</f>
        <v>28500</v>
      </c>
      <c r="F51" s="142">
        <f>IF(VLOOKUP($A51,Sheet1!$A$3:$AW$699,17,FALSE)="","",VLOOKUP($A51,Sheet1!$A$3:$AW$699,17,FALSE))</f>
        <v>8000</v>
      </c>
      <c r="G51" s="142" t="str">
        <f>IF(VLOOKUP($A51,Sheet1!$A$3:$AW$699,18,FALSE)="","",VLOOKUP($A51,Sheet1!$A$3:$AW$699,18,FALSE))</f>
        <v/>
      </c>
      <c r="H51" s="142" t="str">
        <f>IF(VLOOKUP($A51,Sheet1!$A$3:$AW$699,19,FALSE)="","",VLOOKUP($A51,Sheet1!$A$3:$AW$699,19,FALSE))</f>
        <v>RPM
mm/s</v>
      </c>
      <c r="I51" s="9" t="str">
        <f>IF(VLOOKUP($A51,Sheet1!$A$3:$AW$699,5,FALSE)="","",VLOOKUP($A51,Sheet1!$A$3:$AW$699,5,FALSE))</f>
        <v>INT</v>
      </c>
      <c r="J51" s="9" t="s">
        <v>233</v>
      </c>
      <c r="K51" s="9" t="s">
        <v>182</v>
      </c>
      <c r="L51" s="146" t="str">
        <f>IF(VLOOKUP($A51,Sheet1!$A$3:$AW$699,7,FALSE)="★","x","")</f>
        <v/>
      </c>
      <c r="M51" s="146" t="str">
        <f>IF(VLOOKUP($A51,Sheet1!$A$3:$AW$699,8,FALSE)="▲","x","")</f>
        <v>x</v>
      </c>
      <c r="N51" s="146" t="str">
        <f>IF(VLOOKUP($A51,Sheet1!$A$3:$AW$699,9,FALSE)="●","x","")</f>
        <v/>
      </c>
      <c r="O51" s="146" t="str">
        <f>IF(VLOOKUP($A51,Sheet1!$A$3:$AW$699,10,FALSE)="■","x","")</f>
        <v/>
      </c>
      <c r="P51" s="9" t="str">
        <f>IF(VLOOKUP($A51,Sheet1!$A$3:$AW$699,2,FALSE)="","",VLOOKUP($A51,Sheet1!$A$3:$AW$699,2,FALSE))</f>
        <v>P1.076</v>
      </c>
    </row>
    <row r="52" spans="1:16" ht="51" x14ac:dyDescent="0.3">
      <c r="A52" s="9">
        <v>176</v>
      </c>
      <c r="B52" s="9" t="str">
        <f>IF(VLOOKUP($A52,Sheet1!$A$3:$AW$699,20,FALSE)="","",VLOOKUP($A52,Sheet1!$A$3:$AW$699,20,FALSE))</f>
        <v>AbnormalAnalogInputVoltageLevel</v>
      </c>
      <c r="C52" s="9" t="str">
        <f>IF(VLOOKUP($A52,Sheet1!$A$3:$AW$699,25,FALSE)="","",VLOOKUP($A52,Sheet1!$A$3:$AW$699,25,FALSE))</f>
        <v>S/IO</v>
      </c>
      <c r="D52" s="142">
        <f>IF(VLOOKUP($A52,Sheet1!$A$3:$AW$699,15,FALSE)="","",VLOOKUP($A52,Sheet1!$A$3:$AW$699,15,FALSE))</f>
        <v>0</v>
      </c>
      <c r="E52" s="142">
        <f>IF(VLOOKUP($A52,Sheet1!$A$3:$AW$699,16,FALSE)="","",VLOOKUP($A52,Sheet1!$A$3:$AW$699,16,FALSE))</f>
        <v>12000</v>
      </c>
      <c r="F52" s="142">
        <f>IF(VLOOKUP($A52,Sheet1!$A$3:$AW$699,17,FALSE)="","",VLOOKUP($A52,Sheet1!$A$3:$AW$699,17,FALSE))</f>
        <v>0</v>
      </c>
      <c r="G52" s="142" t="str">
        <f>IF(VLOOKUP($A52,Sheet1!$A$3:$AW$699,18,FALSE)="","",VLOOKUP($A52,Sheet1!$A$3:$AW$699,18,FALSE))</f>
        <v/>
      </c>
      <c r="H52" s="142" t="str">
        <f>IF(VLOOKUP($A52,Sheet1!$A$3:$AW$699,19,FALSE)="","",VLOOKUP($A52,Sheet1!$A$3:$AW$699,19,FALSE))</f>
        <v>mV</v>
      </c>
      <c r="I52" s="9" t="str">
        <f>IF(VLOOKUP($A52,Sheet1!$A$3:$AW$699,5,FALSE)="","",VLOOKUP($A52,Sheet1!$A$3:$AW$699,5,FALSE))</f>
        <v>INT</v>
      </c>
      <c r="J52" s="9" t="s">
        <v>234</v>
      </c>
      <c r="K52" s="9" t="s">
        <v>182</v>
      </c>
      <c r="L52" s="146" t="str">
        <f>IF(VLOOKUP($A52,Sheet1!$A$3:$AW$699,7,FALSE)="★","x","")</f>
        <v/>
      </c>
      <c r="M52" s="146" t="str">
        <f>IF(VLOOKUP($A52,Sheet1!$A$3:$AW$699,8,FALSE)="▲","x","")</f>
        <v/>
      </c>
      <c r="N52" s="146" t="str">
        <f>IF(VLOOKUP($A52,Sheet1!$A$3:$AW$699,9,FALSE)="●","x","")</f>
        <v/>
      </c>
      <c r="O52" s="146" t="str">
        <f>IF(VLOOKUP($A52,Sheet1!$A$3:$AW$699,10,FALSE)="■","x","")</f>
        <v/>
      </c>
      <c r="P52" s="9" t="str">
        <f>IF(VLOOKUP($A52,Sheet1!$A$3:$AW$699,2,FALSE)="","",VLOOKUP($A52,Sheet1!$A$3:$AW$699,2,FALSE))</f>
        <v>P1.083</v>
      </c>
    </row>
    <row r="53" spans="1:16" ht="20.399999999999999" x14ac:dyDescent="0.3">
      <c r="A53" s="9">
        <v>179</v>
      </c>
      <c r="B53" s="9" t="str">
        <f>IF(VLOOKUP($A53,Sheet1!$A$3:$AW$699,20,FALSE)="","",VLOOKUP($A53,Sheet1!$A$3:$AW$699,20,FALSE))</f>
        <v>EncoderOutputDenominator</v>
      </c>
      <c r="C53" s="9" t="str">
        <f>IF(VLOOKUP($A53,Sheet1!$A$3:$AW$699,25,FALSE)="","",VLOOKUP($A53,Sheet1!$A$3:$AW$699,25,FALSE))</f>
        <v>All</v>
      </c>
      <c r="D53" s="142">
        <f>IF(VLOOKUP($A53,Sheet1!$A$3:$AW$699,15,FALSE)="","",VLOOKUP($A53,Sheet1!$A$3:$AW$699,15,FALSE))</f>
        <v>0</v>
      </c>
      <c r="E53" s="142">
        <f>IF(VLOOKUP($A53,Sheet1!$A$3:$AW$699,16,FALSE)="","",VLOOKUP($A53,Sheet1!$A$3:$AW$699,16,FALSE))</f>
        <v>160000</v>
      </c>
      <c r="F53" s="142">
        <f>IF(VLOOKUP($A53,Sheet1!$A$3:$AW$699,17,FALSE)="","",VLOOKUP($A53,Sheet1!$A$3:$AW$699,17,FALSE))</f>
        <v>0</v>
      </c>
      <c r="G53" s="142" t="str">
        <f>IF(VLOOKUP($A53,Sheet1!$A$3:$AW$699,18,FALSE)="","",VLOOKUP($A53,Sheet1!$A$3:$AW$699,18,FALSE))</f>
        <v/>
      </c>
      <c r="H53" s="142" t="str">
        <f>IF(VLOOKUP($A53,Sheet1!$A$3:$AW$699,19,FALSE)="","",VLOOKUP($A53,Sheet1!$A$3:$AW$699,19,FALSE))</f>
        <v/>
      </c>
      <c r="I53" s="9" t="str">
        <f>IF(VLOOKUP($A53,Sheet1!$A$3:$AW$699,5,FALSE)="","",VLOOKUP($A53,Sheet1!$A$3:$AW$699,5,FALSE))</f>
        <v>DINT</v>
      </c>
      <c r="J53" s="9" t="s">
        <v>235</v>
      </c>
      <c r="K53" s="9" t="s">
        <v>189</v>
      </c>
      <c r="L53" s="146" t="str">
        <f>IF(VLOOKUP($A53,Sheet1!$A$3:$AW$699,7,FALSE)="★","x","")</f>
        <v/>
      </c>
      <c r="M53" s="146" t="str">
        <f>IF(VLOOKUP($A53,Sheet1!$A$3:$AW$699,8,FALSE)="▲","x","")</f>
        <v>x</v>
      </c>
      <c r="N53" s="146" t="str">
        <f>IF(VLOOKUP($A53,Sheet1!$A$3:$AW$699,9,FALSE)="●","x","")</f>
        <v/>
      </c>
      <c r="O53" s="146" t="str">
        <f>IF(VLOOKUP($A53,Sheet1!$A$3:$AW$699,10,FALSE)="■","x","")</f>
        <v/>
      </c>
      <c r="P53" s="9" t="str">
        <f>IF(VLOOKUP($A53,Sheet1!$A$3:$AW$699,2,FALSE)="","",VLOOKUP($A53,Sheet1!$A$3:$AW$699,2,FALSE))</f>
        <v>P1.097</v>
      </c>
    </row>
    <row r="54" spans="1:16" ht="81.599999999999994" x14ac:dyDescent="0.3">
      <c r="A54" s="9">
        <v>180</v>
      </c>
      <c r="B54" s="9" t="str">
        <f>IF(VLOOKUP($A54,Sheet1!$A$3:$AW$699,20,FALSE)="","",VLOOKUP($A54,Sheet1!$A$3:$AW$699,20,FALSE))</f>
        <v>PowerLossDiagnosticTime</v>
      </c>
      <c r="C54" s="9" t="str">
        <f>IF(VLOOKUP($A54,Sheet1!$A$3:$AW$699,25,FALSE)="","",VLOOKUP($A54,Sheet1!$A$3:$AW$699,25,FALSE))</f>
        <v>All</v>
      </c>
      <c r="D54" s="142">
        <f>IF(VLOOKUP($A54,Sheet1!$A$3:$AW$699,15,FALSE)="","",VLOOKUP($A54,Sheet1!$A$3:$AW$699,15,FALSE))</f>
        <v>0</v>
      </c>
      <c r="E54" s="142">
        <f>IF(VLOOKUP($A54,Sheet1!$A$3:$AW$699,16,FALSE)="","",VLOOKUP($A54,Sheet1!$A$3:$AW$699,16,FALSE))</f>
        <v>800</v>
      </c>
      <c r="F54" s="142">
        <f>IF(VLOOKUP($A54,Sheet1!$A$3:$AW$699,17,FALSE)="","",VLOOKUP($A54,Sheet1!$A$3:$AW$699,17,FALSE))</f>
        <v>0</v>
      </c>
      <c r="G54" s="142" t="str">
        <f>IF(VLOOKUP($A54,Sheet1!$A$3:$AW$699,18,FALSE)="","",VLOOKUP($A54,Sheet1!$A$3:$AW$699,18,FALSE))</f>
        <v/>
      </c>
      <c r="H54" s="142" t="str">
        <f>IF(VLOOKUP($A54,Sheet1!$A$3:$AW$699,19,FALSE)="","",VLOOKUP($A54,Sheet1!$A$3:$AW$699,19,FALSE))</f>
        <v>ms</v>
      </c>
      <c r="I54" s="9" t="str">
        <f>IF(VLOOKUP($A54,Sheet1!$A$3:$AW$699,5,FALSE)="","",VLOOKUP($A54,Sheet1!$A$3:$AW$699,5,FALSE))</f>
        <v>INT</v>
      </c>
      <c r="J54" s="9" t="s">
        <v>236</v>
      </c>
      <c r="K54" s="9" t="s">
        <v>182</v>
      </c>
      <c r="L54" s="146" t="str">
        <f>IF(VLOOKUP($A54,Sheet1!$A$3:$AW$699,7,FALSE)="★","x","")</f>
        <v/>
      </c>
      <c r="M54" s="146" t="str">
        <f>IF(VLOOKUP($A54,Sheet1!$A$3:$AW$699,8,FALSE)="▲","x","")</f>
        <v/>
      </c>
      <c r="N54" s="146" t="str">
        <f>IF(VLOOKUP($A54,Sheet1!$A$3:$AW$699,9,FALSE)="●","x","")</f>
        <v/>
      </c>
      <c r="O54" s="146" t="str">
        <f>IF(VLOOKUP($A54,Sheet1!$A$3:$AW$699,10,FALSE)="■","x","")</f>
        <v/>
      </c>
      <c r="P54" s="9" t="str">
        <f>IF(VLOOKUP($A54,Sheet1!$A$3:$AW$699,2,FALSE)="","",VLOOKUP($A54,Sheet1!$A$3:$AW$699,2,FALSE))</f>
        <v>P1.098</v>
      </c>
    </row>
    <row r="55" spans="1:16" ht="30.6" x14ac:dyDescent="0.3">
      <c r="A55" s="9">
        <v>181</v>
      </c>
      <c r="B55" s="9" t="str">
        <f>IF(VLOOKUP($A55,Sheet1!$A$3:$AW$699,20,FALSE)="","",VLOOKUP($A55,Sheet1!$A$3:$AW$699,20,FALSE))</f>
        <v>PresetAnalogOutput1</v>
      </c>
      <c r="C55" s="9" t="str">
        <f>IF(VLOOKUP($A55,Sheet1!$A$3:$AW$699,25,FALSE)="","",VLOOKUP($A55,Sheet1!$A$3:$AW$699,25,FALSE))</f>
        <v>All</v>
      </c>
      <c r="D55" s="142">
        <f>IF(VLOOKUP($A55,Sheet1!$A$3:$AW$699,15,FALSE)="","",VLOOKUP($A55,Sheet1!$A$3:$AW$699,15,FALSE))</f>
        <v>-10000</v>
      </c>
      <c r="E55" s="142">
        <f>IF(VLOOKUP($A55,Sheet1!$A$3:$AW$699,16,FALSE)="","",VLOOKUP($A55,Sheet1!$A$3:$AW$699,16,FALSE))</f>
        <v>10000</v>
      </c>
      <c r="F55" s="142">
        <f>IF(VLOOKUP($A55,Sheet1!$A$3:$AW$699,17,FALSE)="","",VLOOKUP($A55,Sheet1!$A$3:$AW$699,17,FALSE))</f>
        <v>0</v>
      </c>
      <c r="G55" s="142" t="str">
        <f>IF(VLOOKUP($A55,Sheet1!$A$3:$AW$699,18,FALSE)="","",VLOOKUP($A55,Sheet1!$A$3:$AW$699,18,FALSE))</f>
        <v/>
      </c>
      <c r="H55" s="142" t="str">
        <f>IF(VLOOKUP($A55,Sheet1!$A$3:$AW$699,19,FALSE)="","",VLOOKUP($A55,Sheet1!$A$3:$AW$699,19,FALSE))</f>
        <v>mV</v>
      </c>
      <c r="I55" s="9" t="str">
        <f>IF(VLOOKUP($A55,Sheet1!$A$3:$AW$699,5,FALSE)="","",VLOOKUP($A55,Sheet1!$A$3:$AW$699,5,FALSE))</f>
        <v>INT</v>
      </c>
      <c r="J55" s="9" t="s">
        <v>237</v>
      </c>
      <c r="K55" s="9" t="s">
        <v>182</v>
      </c>
      <c r="L55" s="146" t="str">
        <f>IF(VLOOKUP($A55,Sheet1!$A$3:$AW$699,7,FALSE)="★","x","")</f>
        <v/>
      </c>
      <c r="M55" s="146" t="str">
        <f>IF(VLOOKUP($A55,Sheet1!$A$3:$AW$699,8,FALSE)="▲","x","")</f>
        <v/>
      </c>
      <c r="N55" s="146" t="str">
        <f>IF(VLOOKUP($A55,Sheet1!$A$3:$AW$699,9,FALSE)="●","x","")</f>
        <v/>
      </c>
      <c r="O55" s="146" t="str">
        <f>IF(VLOOKUP($A55,Sheet1!$A$3:$AW$699,10,FALSE)="■","x","")</f>
        <v>x</v>
      </c>
      <c r="P55" s="9" t="str">
        <f>IF(VLOOKUP($A55,Sheet1!$A$3:$AW$699,2,FALSE)="","",VLOOKUP($A55,Sheet1!$A$3:$AW$699,2,FALSE))</f>
        <v>P1.101</v>
      </c>
    </row>
    <row r="56" spans="1:16" ht="30.6" x14ac:dyDescent="0.3">
      <c r="A56" s="9">
        <v>182</v>
      </c>
      <c r="B56" s="9" t="str">
        <f>IF(VLOOKUP($A56,Sheet1!$A$3:$AW$699,20,FALSE)="","",VLOOKUP($A56,Sheet1!$A$3:$AW$699,20,FALSE))</f>
        <v>PresetAnalogOutput2</v>
      </c>
      <c r="C56" s="9" t="str">
        <f>IF(VLOOKUP($A56,Sheet1!$A$3:$AW$699,25,FALSE)="","",VLOOKUP($A56,Sheet1!$A$3:$AW$699,25,FALSE))</f>
        <v>All</v>
      </c>
      <c r="D56" s="142">
        <f>IF(VLOOKUP($A56,Sheet1!$A$3:$AW$699,15,FALSE)="","",VLOOKUP($A56,Sheet1!$A$3:$AW$699,15,FALSE))</f>
        <v>-10000</v>
      </c>
      <c r="E56" s="142">
        <f>IF(VLOOKUP($A56,Sheet1!$A$3:$AW$699,16,FALSE)="","",VLOOKUP($A56,Sheet1!$A$3:$AW$699,16,FALSE))</f>
        <v>10000</v>
      </c>
      <c r="F56" s="142">
        <f>IF(VLOOKUP($A56,Sheet1!$A$3:$AW$699,17,FALSE)="","",VLOOKUP($A56,Sheet1!$A$3:$AW$699,17,FALSE))</f>
        <v>0</v>
      </c>
      <c r="G56" s="142" t="str">
        <f>IF(VLOOKUP($A56,Sheet1!$A$3:$AW$699,18,FALSE)="","",VLOOKUP($A56,Sheet1!$A$3:$AW$699,18,FALSE))</f>
        <v/>
      </c>
      <c r="H56" s="142" t="str">
        <f>IF(VLOOKUP($A56,Sheet1!$A$3:$AW$699,19,FALSE)="","",VLOOKUP($A56,Sheet1!$A$3:$AW$699,19,FALSE))</f>
        <v>mV</v>
      </c>
      <c r="I56" s="9" t="str">
        <f>IF(VLOOKUP($A56,Sheet1!$A$3:$AW$699,5,FALSE)="","",VLOOKUP($A56,Sheet1!$A$3:$AW$699,5,FALSE))</f>
        <v>INT</v>
      </c>
      <c r="J56" s="9" t="s">
        <v>238</v>
      </c>
      <c r="K56" s="9" t="s">
        <v>182</v>
      </c>
      <c r="L56" s="146" t="str">
        <f>IF(VLOOKUP($A56,Sheet1!$A$3:$AW$699,7,FALSE)="★","x","")</f>
        <v/>
      </c>
      <c r="M56" s="146" t="str">
        <f>IF(VLOOKUP($A56,Sheet1!$A$3:$AW$699,8,FALSE)="▲","x","")</f>
        <v/>
      </c>
      <c r="N56" s="146" t="str">
        <f>IF(VLOOKUP($A56,Sheet1!$A$3:$AW$699,9,FALSE)="●","x","")</f>
        <v/>
      </c>
      <c r="O56" s="146" t="str">
        <f>IF(VLOOKUP($A56,Sheet1!$A$3:$AW$699,10,FALSE)="■","x","")</f>
        <v>x</v>
      </c>
      <c r="P56" s="9" t="str">
        <f>IF(VLOOKUP($A56,Sheet1!$A$3:$AW$699,2,FALSE)="","",VLOOKUP($A56,Sheet1!$A$3:$AW$699,2,FALSE))</f>
        <v>P1.102</v>
      </c>
    </row>
    <row r="57" spans="1:16" ht="51" x14ac:dyDescent="0.3">
      <c r="A57" s="9">
        <v>193</v>
      </c>
      <c r="B57" s="9" t="str">
        <f>IF(VLOOKUP($A57,Sheet1!$A$3:$AW$699,20,FALSE)="","",VLOOKUP($A57,Sheet1!$A$3:$AW$699,20,FALSE))</f>
        <v>ForceFunction</v>
      </c>
      <c r="C57" s="9" t="str">
        <f>IF(VLOOKUP($A57,Sheet1!$A$3:$AW$699,25,FALSE)="","",VLOOKUP($A57,Sheet1!$A$3:$AW$699,25,FALSE))</f>
        <v>All</v>
      </c>
      <c r="D57" s="142">
        <f>IF(VLOOKUP($A57,Sheet1!$A$3:$AW$699,15,FALSE)="","",VLOOKUP($A57,Sheet1!$A$3:$AW$699,15,FALSE))</f>
        <v>0</v>
      </c>
      <c r="E57" s="142">
        <f>IF(VLOOKUP($A57,Sheet1!$A$3:$AW$699,16,FALSE)="","",VLOOKUP($A57,Sheet1!$A$3:$AW$699,16,FALSE))</f>
        <v>501</v>
      </c>
      <c r="F57" s="142">
        <f>IF(VLOOKUP($A57,Sheet1!$A$3:$AW$699,17,FALSE)="","",VLOOKUP($A57,Sheet1!$A$3:$AW$699,17,FALSE))</f>
        <v>1</v>
      </c>
      <c r="G57" s="142" t="str">
        <f>IF(VLOOKUP($A57,Sheet1!$A$3:$AW$699,18,FALSE)="","",VLOOKUP($A57,Sheet1!$A$3:$AW$699,18,FALSE))</f>
        <v/>
      </c>
      <c r="H57" s="142" t="str">
        <f>IF(VLOOKUP($A57,Sheet1!$A$3:$AW$699,19,FALSE)="","",VLOOKUP($A57,Sheet1!$A$3:$AW$699,19,FALSE))</f>
        <v/>
      </c>
      <c r="I57" s="9" t="str">
        <f>IF(VLOOKUP($A57,Sheet1!$A$3:$AW$699,5,FALSE)="","",VLOOKUP($A57,Sheet1!$A$3:$AW$699,5,FALSE))</f>
        <v>INT</v>
      </c>
      <c r="J57" s="9" t="s">
        <v>239</v>
      </c>
      <c r="K57" s="9" t="s">
        <v>182</v>
      </c>
      <c r="L57" s="146" t="str">
        <f>IF(VLOOKUP($A57,Sheet1!$A$3:$AW$699,7,FALSE)="★","x","")</f>
        <v/>
      </c>
      <c r="M57" s="146" t="str">
        <f>IF(VLOOKUP($A57,Sheet1!$A$3:$AW$699,8,FALSE)="▲","x","")</f>
        <v/>
      </c>
      <c r="N57" s="146" t="str">
        <f>IF(VLOOKUP($A57,Sheet1!$A$3:$AW$699,9,FALSE)="●","x","")</f>
        <v/>
      </c>
      <c r="O57" s="146" t="str">
        <f>IF(VLOOKUP($A57,Sheet1!$A$3:$AW$699,10,FALSE)="■","x","")</f>
        <v>x</v>
      </c>
      <c r="P57" s="9" t="str">
        <f>IF(VLOOKUP($A57,Sheet1!$A$3:$AW$699,2,FALSE)="","",VLOOKUP($A57,Sheet1!$A$3:$AW$699,2,FALSE))</f>
        <v>P2.008</v>
      </c>
    </row>
    <row r="58" spans="1:16" ht="122.4" x14ac:dyDescent="0.3">
      <c r="A58" s="9">
        <v>215</v>
      </c>
      <c r="B58" s="9" t="str">
        <f>IF(VLOOKUP($A58,Sheet1!$A$3:$AW$699,20,FALSE)="","",VLOOKUP($A58,Sheet1!$A$3:$AW$699,20,FALSE))</f>
        <v>AuxiliaryFunction</v>
      </c>
      <c r="C58" s="9" t="str">
        <f>IF(VLOOKUP($A58,Sheet1!$A$3:$AW$699,25,FALSE)="","",VLOOKUP($A58,Sheet1!$A$3:$AW$699,25,FALSE))</f>
        <v>All</v>
      </c>
      <c r="D58" s="142">
        <f>IF(VLOOKUP($A58,Sheet1!$A$3:$AW$699,15,FALSE)="","",VLOOKUP($A58,Sheet1!$A$3:$AW$699,15,FALSE))</f>
        <v>-7</v>
      </c>
      <c r="E58" s="142">
        <f>IF(VLOOKUP($A58,Sheet1!$A$3:$AW$699,16,FALSE)="","",VLOOKUP($A58,Sheet1!$A$3:$AW$699,16,FALSE))</f>
        <v>8</v>
      </c>
      <c r="F58" s="142">
        <f>IF(VLOOKUP($A58,Sheet1!$A$3:$AW$699,17,FALSE)="","",VLOOKUP($A58,Sheet1!$A$3:$AW$699,17,FALSE))</f>
        <v>0</v>
      </c>
      <c r="G58" s="142" t="str">
        <f>IF(VLOOKUP($A58,Sheet1!$A$3:$AW$699,18,FALSE)="","",VLOOKUP($A58,Sheet1!$A$3:$AW$699,18,FALSE))</f>
        <v/>
      </c>
      <c r="H58" s="142" t="str">
        <f>IF(VLOOKUP($A58,Sheet1!$A$3:$AW$699,19,FALSE)="","",VLOOKUP($A58,Sheet1!$A$3:$AW$699,19,FALSE))</f>
        <v/>
      </c>
      <c r="I58" s="9" t="str">
        <f>IF(VLOOKUP($A58,Sheet1!$A$3:$AW$699,5,FALSE)="","",VLOOKUP($A58,Sheet1!$A$3:$AW$699,5,FALSE))</f>
        <v>INT</v>
      </c>
      <c r="J58" s="9" t="s">
        <v>240</v>
      </c>
      <c r="K58" s="9" t="s">
        <v>182</v>
      </c>
      <c r="L58" s="146" t="str">
        <f>IF(VLOOKUP($A58,Sheet1!$A$3:$AW$699,7,FALSE)="★","x","")</f>
        <v/>
      </c>
      <c r="M58" s="146" t="str">
        <f>IF(VLOOKUP($A58,Sheet1!$A$3:$AW$699,8,FALSE)="▲","x","")</f>
        <v/>
      </c>
      <c r="N58" s="146" t="str">
        <f>IF(VLOOKUP($A58,Sheet1!$A$3:$AW$699,9,FALSE)="●","x","")</f>
        <v/>
      </c>
      <c r="O58" s="146" t="str">
        <f>IF(VLOOKUP($A58,Sheet1!$A$3:$AW$699,10,FALSE)="■","x","")</f>
        <v>x</v>
      </c>
      <c r="P58" s="9" t="str">
        <f>IF(VLOOKUP($A58,Sheet1!$A$3:$AW$699,2,FALSE)="","",VLOOKUP($A58,Sheet1!$A$3:$AW$699,2,FALSE))</f>
        <v>P2.030</v>
      </c>
    </row>
    <row r="59" spans="1:16" ht="51" x14ac:dyDescent="0.3">
      <c r="A59" s="9">
        <v>218</v>
      </c>
      <c r="B59" s="9" t="str">
        <f>IF(VLOOKUP($A59,Sheet1!$A$3:$AW$699,20,FALSE)="","",VLOOKUP($A59,Sheet1!$A$3:$AW$699,20,FALSE))</f>
        <v>VelocityErrorTolerance</v>
      </c>
      <c r="C59" s="9" t="str">
        <f>IF(VLOOKUP($A59,Sheet1!$A$3:$AW$699,25,FALSE)="","",VLOOKUP($A59,Sheet1!$A$3:$AW$699,25,FALSE))</f>
        <v>S/Sz/IO</v>
      </c>
      <c r="D59" s="142" t="str">
        <f>IF(VLOOKUP($A59,Sheet1!$A$3:$AW$699,15,FALSE)="","",VLOOKUP($A59,Sheet1!$A$3:$AW$699,15,FALSE))</f>
        <v>1
1</v>
      </c>
      <c r="E59" s="142" t="str">
        <f>IF(VLOOKUP($A59,Sheet1!$A$3:$AW$699,16,FALSE)="","",VLOOKUP($A59,Sheet1!$A$3:$AW$699,16,FALSE))</f>
        <v>28500
15999</v>
      </c>
      <c r="F59" s="142" t="str">
        <f>IF(VLOOKUP($A59,Sheet1!$A$3:$AW$699,17,FALSE)="","",VLOOKUP($A59,Sheet1!$A$3:$AW$699,17,FALSE))</f>
        <v>8000
8000</v>
      </c>
      <c r="G59" s="142" t="str">
        <f>IF(VLOOKUP($A59,Sheet1!$A$3:$AW$699,18,FALSE)="","",VLOOKUP($A59,Sheet1!$A$3:$AW$699,18,FALSE))</f>
        <v/>
      </c>
      <c r="H59" s="142" t="str">
        <f>IF(VLOOKUP($A59,Sheet1!$A$3:$AW$699,19,FALSE)="","",VLOOKUP($A59,Sheet1!$A$3:$AW$699,19,FALSE))</f>
        <v>RPM
mm/s</v>
      </c>
      <c r="I59" s="9" t="str">
        <f>IF(VLOOKUP($A59,Sheet1!$A$3:$AW$699,5,FALSE)="","",VLOOKUP($A59,Sheet1!$A$3:$AW$699,5,FALSE))</f>
        <v>INT</v>
      </c>
      <c r="J59" s="9" t="s">
        <v>241</v>
      </c>
      <c r="K59" s="9" t="s">
        <v>182</v>
      </c>
      <c r="L59" s="146" t="str">
        <f>IF(VLOOKUP($A59,Sheet1!$A$3:$AW$699,7,FALSE)="★","x","")</f>
        <v/>
      </c>
      <c r="M59" s="146" t="str">
        <f>IF(VLOOKUP($A59,Sheet1!$A$3:$AW$699,8,FALSE)="▲","x","")</f>
        <v/>
      </c>
      <c r="N59" s="146" t="str">
        <f>IF(VLOOKUP($A59,Sheet1!$A$3:$AW$699,9,FALSE)="●","x","")</f>
        <v/>
      </c>
      <c r="O59" s="146" t="str">
        <f>IF(VLOOKUP($A59,Sheet1!$A$3:$AW$699,10,FALSE)="■","x","")</f>
        <v/>
      </c>
      <c r="P59" s="9" t="str">
        <f>IF(VLOOKUP($A59,Sheet1!$A$3:$AW$699,2,FALSE)="","",VLOOKUP($A59,Sheet1!$A$3:$AW$699,2,FALSE))</f>
        <v>P2.034</v>
      </c>
    </row>
    <row r="60" spans="1:16" ht="51" x14ac:dyDescent="0.3">
      <c r="A60" s="9">
        <v>219</v>
      </c>
      <c r="B60" s="9" t="str">
        <f>IF(VLOOKUP($A60,Sheet1!$A$3:$AW$699,20,FALSE)="","",VLOOKUP($A60,Sheet1!$A$3:$AW$699,20,FALSE))</f>
        <v>PositionErrorTolerance</v>
      </c>
      <c r="C60" s="9" t="str">
        <f>IF(VLOOKUP($A60,Sheet1!$A$3:$AW$699,25,FALSE)="","",VLOOKUP($A60,Sheet1!$A$3:$AW$699,25,FALSE))</f>
        <v>PT/PR/IO</v>
      </c>
      <c r="D60" s="142">
        <f>IF(VLOOKUP($A60,Sheet1!$A$3:$AW$699,15,FALSE)="","",VLOOKUP($A60,Sheet1!$A$3:$AW$699,15,FALSE))</f>
        <v>1</v>
      </c>
      <c r="E60" s="142">
        <f>IF(VLOOKUP($A60,Sheet1!$A$3:$AW$699,16,FALSE)="","",VLOOKUP($A60,Sheet1!$A$3:$AW$699,16,FALSE))</f>
        <v>1677721600</v>
      </c>
      <c r="F60" s="142" t="str">
        <f>IF(VLOOKUP($A60,Sheet1!$A$3:$AW$699,17,FALSE)="","",VLOOKUP($A60,Sheet1!$A$3:$AW$699,17,FALSE))</f>
        <v>50331648
30000</v>
      </c>
      <c r="G60" s="142" t="str">
        <f>IF(VLOOKUP($A60,Sheet1!$A$3:$AW$699,18,FALSE)="","",VLOOKUP($A60,Sheet1!$A$3:$AW$699,18,FALSE))</f>
        <v/>
      </c>
      <c r="H60" s="142" t="str">
        <f>IF(VLOOKUP($A60,Sheet1!$A$3:$AW$699,19,FALSE)="","",VLOOKUP($A60,Sheet1!$A$3:$AW$699,19,FALSE))</f>
        <v>Counts</v>
      </c>
      <c r="I60" s="9" t="str">
        <f>IF(VLOOKUP($A60,Sheet1!$A$3:$AW$699,5,FALSE)="","",VLOOKUP($A60,Sheet1!$A$3:$AW$699,5,FALSE))</f>
        <v>DINT</v>
      </c>
      <c r="J60" s="9" t="s">
        <v>242</v>
      </c>
      <c r="K60" s="9" t="s">
        <v>182</v>
      </c>
      <c r="L60" s="146" t="str">
        <f>IF(VLOOKUP($A60,Sheet1!$A$3:$AW$699,7,FALSE)="★","x","")</f>
        <v/>
      </c>
      <c r="M60" s="146" t="str">
        <f>IF(VLOOKUP($A60,Sheet1!$A$3:$AW$699,8,FALSE)="▲","x","")</f>
        <v/>
      </c>
      <c r="N60" s="146" t="str">
        <f>IF(VLOOKUP($A60,Sheet1!$A$3:$AW$699,9,FALSE)="●","x","")</f>
        <v/>
      </c>
      <c r="O60" s="146" t="str">
        <f>IF(VLOOKUP($A60,Sheet1!$A$3:$AW$699,10,FALSE)="■","x","")</f>
        <v/>
      </c>
      <c r="P60" s="9" t="str">
        <f>IF(VLOOKUP($A60,Sheet1!$A$3:$AW$699,2,FALSE)="","",VLOOKUP($A60,Sheet1!$A$3:$AW$699,2,FALSE))</f>
        <v>P2.035</v>
      </c>
    </row>
    <row r="61" spans="1:16" ht="78.599999999999994" x14ac:dyDescent="0.3">
      <c r="A61" s="9">
        <v>230</v>
      </c>
      <c r="B61" s="9" t="str">
        <f>IF(VLOOKUP($A61,Sheet1!$A$3:$AW$699,20,FALSE)="","",VLOOKUP($A61,Sheet1!$A$3:$AW$699,20,FALSE))</f>
        <v>ResonanceSuppressionConfig</v>
      </c>
      <c r="C61" s="9" t="str">
        <f>IF(VLOOKUP($A61,Sheet1!$A$3:$AW$699,25,FALSE)="","",VLOOKUP($A61,Sheet1!$A$3:$AW$699,25,FALSE))</f>
        <v>All</v>
      </c>
      <c r="D61" s="142" t="str">
        <f>IF(VLOOKUP($A61,Sheet1!$A$3:$AW$699,15,FALSE)="","",VLOOKUP($A61,Sheet1!$A$3:$AW$699,15,FALSE))</f>
        <v>0x0000</v>
      </c>
      <c r="E61" s="142" t="str">
        <f>IF(VLOOKUP($A61,Sheet1!$A$3:$AW$699,16,FALSE)="","",VLOOKUP($A61,Sheet1!$A$3:$AW$699,16,FALSE))</f>
        <v>0x01F2</v>
      </c>
      <c r="F61" s="142" t="str">
        <f>IF(VLOOKUP($A61,Sheet1!$A$3:$AW$699,17,FALSE)="","",VLOOKUP($A61,Sheet1!$A$3:$AW$699,17,FALSE))</f>
        <v>0x0001</v>
      </c>
      <c r="G61" s="142" t="str">
        <f>IF(VLOOKUP($A61,Sheet1!$A$3:$AW$699,18,FALSE)="","",VLOOKUP($A61,Sheet1!$A$3:$AW$699,18,FALSE))</f>
        <v/>
      </c>
      <c r="H61" s="142" t="str">
        <f>IF(VLOOKUP($A61,Sheet1!$A$3:$AW$699,19,FALSE)="","",VLOOKUP($A61,Sheet1!$A$3:$AW$699,19,FALSE))</f>
        <v/>
      </c>
      <c r="I61" s="9" t="str">
        <f>IF(VLOOKUP($A61,Sheet1!$A$3:$AW$699,5,FALSE)="","",VLOOKUP($A61,Sheet1!$A$3:$AW$699,5,FALSE))</f>
        <v>UINT</v>
      </c>
      <c r="J61" s="11" t="s">
        <v>243</v>
      </c>
      <c r="K61" s="9" t="s">
        <v>182</v>
      </c>
      <c r="L61" s="146" t="str">
        <f>IF(VLOOKUP($A61,Sheet1!$A$3:$AW$699,7,FALSE)="★","x","")</f>
        <v/>
      </c>
      <c r="M61" s="146" t="str">
        <f>IF(VLOOKUP($A61,Sheet1!$A$3:$AW$699,8,FALSE)="▲","x","")</f>
        <v/>
      </c>
      <c r="N61" s="146" t="str">
        <f>IF(VLOOKUP($A61,Sheet1!$A$3:$AW$699,9,FALSE)="●","x","")</f>
        <v/>
      </c>
      <c r="O61" s="146" t="str">
        <f>IF(VLOOKUP($A61,Sheet1!$A$3:$AW$699,10,FALSE)="■","x","")</f>
        <v/>
      </c>
      <c r="P61" s="9" t="str">
        <f>IF(VLOOKUP($A61,Sheet1!$A$3:$AW$699,2,FALSE)="","",VLOOKUP($A61,Sheet1!$A$3:$AW$699,2,FALSE))</f>
        <v>P2.047</v>
      </c>
    </row>
    <row r="62" spans="1:16" ht="20.399999999999999" x14ac:dyDescent="0.3">
      <c r="A62" s="9">
        <v>231</v>
      </c>
      <c r="B62" s="9" t="str">
        <f>IF(VLOOKUP($A62,Sheet1!$A$3:$AW$699,20,FALSE)="","",VLOOKUP($A62,Sheet1!$A$3:$AW$699,20,FALSE))</f>
        <v>ResonanceDiagnosticLevel</v>
      </c>
      <c r="C62" s="9" t="str">
        <f>IF(VLOOKUP($A62,Sheet1!$A$3:$AW$699,25,FALSE)="","",VLOOKUP($A62,Sheet1!$A$3:$AW$699,25,FALSE))</f>
        <v>All</v>
      </c>
      <c r="D62" s="142">
        <f>IF(VLOOKUP($A62,Sheet1!$A$3:$AW$699,15,FALSE)="","",VLOOKUP($A62,Sheet1!$A$3:$AW$699,15,FALSE))</f>
        <v>0</v>
      </c>
      <c r="E62" s="142">
        <f>IF(VLOOKUP($A62,Sheet1!$A$3:$AW$699,16,FALSE)="","",VLOOKUP($A62,Sheet1!$A$3:$AW$699,16,FALSE))</f>
        <v>1000</v>
      </c>
      <c r="F62" s="142">
        <f>IF(VLOOKUP($A62,Sheet1!$A$3:$AW$699,17,FALSE)="","",VLOOKUP($A62,Sheet1!$A$3:$AW$699,17,FALSE))</f>
        <v>100</v>
      </c>
      <c r="G62" s="142" t="str">
        <f>IF(VLOOKUP($A62,Sheet1!$A$3:$AW$699,18,FALSE)="","",VLOOKUP($A62,Sheet1!$A$3:$AW$699,18,FALSE))</f>
        <v/>
      </c>
      <c r="H62" s="142" t="str">
        <f>IF(VLOOKUP($A62,Sheet1!$A$3:$AW$699,19,FALSE)="","",VLOOKUP($A62,Sheet1!$A$3:$AW$699,19,FALSE))</f>
        <v/>
      </c>
      <c r="I62" s="9" t="str">
        <f>IF(VLOOKUP($A62,Sheet1!$A$3:$AW$699,5,FALSE)="","",VLOOKUP($A62,Sheet1!$A$3:$AW$699,5,FALSE))</f>
        <v>INT</v>
      </c>
      <c r="J62" s="9" t="s">
        <v>244</v>
      </c>
      <c r="K62" s="9" t="s">
        <v>182</v>
      </c>
      <c r="L62" s="146" t="str">
        <f>IF(VLOOKUP($A62,Sheet1!$A$3:$AW$699,7,FALSE)="★","x","")</f>
        <v/>
      </c>
      <c r="M62" s="146" t="str">
        <f>IF(VLOOKUP($A62,Sheet1!$A$3:$AW$699,8,FALSE)="▲","x","")</f>
        <v/>
      </c>
      <c r="N62" s="146" t="str">
        <f>IF(VLOOKUP($A62,Sheet1!$A$3:$AW$699,9,FALSE)="●","x","")</f>
        <v/>
      </c>
      <c r="O62" s="146" t="str">
        <f>IF(VLOOKUP($A62,Sheet1!$A$3:$AW$699,10,FALSE)="■","x","")</f>
        <v/>
      </c>
      <c r="P62" s="9" t="str">
        <f>IF(VLOOKUP($A62,Sheet1!$A$3:$AW$699,2,FALSE)="","",VLOOKUP($A62,Sheet1!$A$3:$AW$699,2,FALSE))</f>
        <v>P2.048</v>
      </c>
    </row>
    <row r="63" spans="1:16" ht="61.2" x14ac:dyDescent="0.3">
      <c r="A63" s="9">
        <v>233</v>
      </c>
      <c r="B63" s="9" t="str">
        <f>IF(VLOOKUP($A63,Sheet1!$A$3:$AW$699,20,FALSE)="","",VLOOKUP($A63,Sheet1!$A$3:$AW$699,20,FALSE))</f>
        <v>PulseClearMode</v>
      </c>
      <c r="C63" s="9" t="str">
        <f>IF(VLOOKUP($A63,Sheet1!$A$3:$AW$699,25,FALSE)="","",VLOOKUP($A63,Sheet1!$A$3:$AW$699,25,FALSE))</f>
        <v>PT/IO</v>
      </c>
      <c r="D63" s="142" t="str">
        <f>IF(VLOOKUP($A63,Sheet1!$A$3:$AW$699,15,FALSE)="","",VLOOKUP($A63,Sheet1!$A$3:$AW$699,15,FALSE))</f>
        <v>0x0000</v>
      </c>
      <c r="E63" s="142" t="str">
        <f>IF(VLOOKUP($A63,Sheet1!$A$3:$AW$699,16,FALSE)="","",VLOOKUP($A63,Sheet1!$A$3:$AW$699,16,FALSE))</f>
        <v>0x0001</v>
      </c>
      <c r="F63" s="142" t="str">
        <f>IF(VLOOKUP($A63,Sheet1!$A$3:$AW$699,17,FALSE)="","",VLOOKUP($A63,Sheet1!$A$3:$AW$699,17,FALSE))</f>
        <v>0x0000</v>
      </c>
      <c r="G63" s="142" t="str">
        <f>IF(VLOOKUP($A63,Sheet1!$A$3:$AW$699,18,FALSE)="","",VLOOKUP($A63,Sheet1!$A$3:$AW$699,18,FALSE))</f>
        <v/>
      </c>
      <c r="H63" s="142" t="str">
        <f>IF(VLOOKUP($A63,Sheet1!$A$3:$AW$699,19,FALSE)="","",VLOOKUP($A63,Sheet1!$A$3:$AW$699,19,FALSE))</f>
        <v/>
      </c>
      <c r="I63" s="9" t="str">
        <f>IF(VLOOKUP($A63,Sheet1!$A$3:$AW$699,5,FALSE)="","",VLOOKUP($A63,Sheet1!$A$3:$AW$699,5,FALSE))</f>
        <v>UINT</v>
      </c>
      <c r="J63" s="11" t="s">
        <v>245</v>
      </c>
      <c r="K63" s="9" t="s">
        <v>189</v>
      </c>
      <c r="L63" s="146" t="str">
        <f>IF(VLOOKUP($A63,Sheet1!$A$3:$AW$699,7,FALSE)="★","x","")</f>
        <v/>
      </c>
      <c r="M63" s="146" t="str">
        <f>IF(VLOOKUP($A63,Sheet1!$A$3:$AW$699,8,FALSE)="▲","x","")</f>
        <v/>
      </c>
      <c r="N63" s="146" t="str">
        <f>IF(VLOOKUP($A63,Sheet1!$A$3:$AW$699,9,FALSE)="●","x","")</f>
        <v/>
      </c>
      <c r="O63" s="146" t="str">
        <f>IF(VLOOKUP($A63,Sheet1!$A$3:$AW$699,10,FALSE)="■","x","")</f>
        <v/>
      </c>
      <c r="P63" s="9" t="str">
        <f>IF(VLOOKUP($A63,Sheet1!$A$3:$AW$699,2,FALSE)="","",VLOOKUP($A63,Sheet1!$A$3:$AW$699,2,FALSE))</f>
        <v>P2.050</v>
      </c>
    </row>
    <row r="64" spans="1:16" ht="30.6" x14ac:dyDescent="0.3">
      <c r="A64" s="9">
        <v>236</v>
      </c>
      <c r="B64" s="9" t="str">
        <f>IF(VLOOKUP($A64,Sheet1!$A$3:$AW$699,20,FALSE)="","",VLOOKUP($A64,Sheet1!$A$3:$AW$699,20,FALSE))</f>
        <v>GearRatioFollowerCountsN2</v>
      </c>
      <c r="C64" s="9" t="str">
        <f>IF(VLOOKUP($A64,Sheet1!$A$3:$AW$699,25,FALSE)="","",VLOOKUP($A64,Sheet1!$A$3:$AW$699,25,FALSE))</f>
        <v>PT/IO</v>
      </c>
      <c r="D64" s="142">
        <f>IF(VLOOKUP($A64,Sheet1!$A$3:$AW$699,15,FALSE)="","",VLOOKUP($A64,Sheet1!$A$3:$AW$699,15,FALSE))</f>
        <v>1</v>
      </c>
      <c r="E64" s="142">
        <f>IF(VLOOKUP($A64,Sheet1!$A$3:$AW$699,16,FALSE)="","",VLOOKUP($A64,Sheet1!$A$3:$AW$699,16,FALSE))</f>
        <v>536870911</v>
      </c>
      <c r="F64" s="142">
        <f>IF(VLOOKUP($A64,Sheet1!$A$3:$AW$699,17,FALSE)="","",VLOOKUP($A64,Sheet1!$A$3:$AW$699,17,FALSE))</f>
        <v>16777216</v>
      </c>
      <c r="G64" s="142" t="str">
        <f>IF(VLOOKUP($A64,Sheet1!$A$3:$AW$699,18,FALSE)="","",VLOOKUP($A64,Sheet1!$A$3:$AW$699,18,FALSE))</f>
        <v/>
      </c>
      <c r="H64" s="142" t="str">
        <f>IF(VLOOKUP($A64,Sheet1!$A$3:$AW$699,19,FALSE)="","",VLOOKUP($A64,Sheet1!$A$3:$AW$699,19,FALSE))</f>
        <v>Counts</v>
      </c>
      <c r="I64" s="9" t="str">
        <f>IF(VLOOKUP($A64,Sheet1!$A$3:$AW$699,5,FALSE)="","",VLOOKUP($A64,Sheet1!$A$3:$AW$699,5,FALSE))</f>
        <v>DINT</v>
      </c>
      <c r="J64" s="11" t="s">
        <v>246</v>
      </c>
      <c r="K64" s="9" t="s">
        <v>213</v>
      </c>
      <c r="L64" s="146" t="str">
        <f>IF(VLOOKUP($A64,Sheet1!$A$3:$AW$699,7,FALSE)="★","x","")</f>
        <v/>
      </c>
      <c r="M64" s="146" t="str">
        <f>IF(VLOOKUP($A64,Sheet1!$A$3:$AW$699,8,FALSE)="▲","x","")</f>
        <v/>
      </c>
      <c r="N64" s="146" t="str">
        <f>IF(VLOOKUP($A64,Sheet1!$A$3:$AW$699,9,FALSE)="●","x","")</f>
        <v/>
      </c>
      <c r="O64" s="146" t="str">
        <f>IF(VLOOKUP($A64,Sheet1!$A$3:$AW$699,10,FALSE)="■","x","")</f>
        <v/>
      </c>
      <c r="P64" s="9" t="str">
        <f>IF(VLOOKUP($A64,Sheet1!$A$3:$AW$699,2,FALSE)="","",VLOOKUP($A64,Sheet1!$A$3:$AW$699,2,FALSE))</f>
        <v>P2.060</v>
      </c>
    </row>
    <row r="65" spans="1:16" ht="30.6" x14ac:dyDescent="0.3">
      <c r="A65" s="9">
        <v>237</v>
      </c>
      <c r="B65" s="9" t="str">
        <f>IF(VLOOKUP($A65,Sheet1!$A$3:$AW$699,20,FALSE)="","",VLOOKUP($A65,Sheet1!$A$3:$AW$699,20,FALSE))</f>
        <v>GearRatioFollowerCountsN3</v>
      </c>
      <c r="C65" s="9" t="str">
        <f>IF(VLOOKUP($A65,Sheet1!$A$3:$AW$699,25,FALSE)="","",VLOOKUP($A65,Sheet1!$A$3:$AW$699,25,FALSE))</f>
        <v>PT/IO</v>
      </c>
      <c r="D65" s="142">
        <f>IF(VLOOKUP($A65,Sheet1!$A$3:$AW$699,15,FALSE)="","",VLOOKUP($A65,Sheet1!$A$3:$AW$699,15,FALSE))</f>
        <v>1</v>
      </c>
      <c r="E65" s="142">
        <f>IF(VLOOKUP($A65,Sheet1!$A$3:$AW$699,16,FALSE)="","",VLOOKUP($A65,Sheet1!$A$3:$AW$699,16,FALSE))</f>
        <v>536870911</v>
      </c>
      <c r="F65" s="142">
        <f>IF(VLOOKUP($A65,Sheet1!$A$3:$AW$699,17,FALSE)="","",VLOOKUP($A65,Sheet1!$A$3:$AW$699,17,FALSE))</f>
        <v>16777216</v>
      </c>
      <c r="G65" s="142" t="str">
        <f>IF(VLOOKUP($A65,Sheet1!$A$3:$AW$699,18,FALSE)="","",VLOOKUP($A65,Sheet1!$A$3:$AW$699,18,FALSE))</f>
        <v/>
      </c>
      <c r="H65" s="142" t="str">
        <f>IF(VLOOKUP($A65,Sheet1!$A$3:$AW$699,19,FALSE)="","",VLOOKUP($A65,Sheet1!$A$3:$AW$699,19,FALSE))</f>
        <v>Counts</v>
      </c>
      <c r="I65" s="9" t="str">
        <f>IF(VLOOKUP($A65,Sheet1!$A$3:$AW$699,5,FALSE)="","",VLOOKUP($A65,Sheet1!$A$3:$AW$699,5,FALSE))</f>
        <v>DINT</v>
      </c>
      <c r="J65" s="11" t="s">
        <v>247</v>
      </c>
      <c r="K65" s="9" t="s">
        <v>213</v>
      </c>
      <c r="L65" s="146" t="str">
        <f>IF(VLOOKUP($A65,Sheet1!$A$3:$AW$699,7,FALSE)="★","x","")</f>
        <v/>
      </c>
      <c r="M65" s="146" t="str">
        <f>IF(VLOOKUP($A65,Sheet1!$A$3:$AW$699,8,FALSE)="▲","x","")</f>
        <v/>
      </c>
      <c r="N65" s="146" t="str">
        <f>IF(VLOOKUP($A65,Sheet1!$A$3:$AW$699,9,FALSE)="●","x","")</f>
        <v/>
      </c>
      <c r="O65" s="146" t="str">
        <f>IF(VLOOKUP($A65,Sheet1!$A$3:$AW$699,10,FALSE)="■","x","")</f>
        <v/>
      </c>
      <c r="P65" s="9" t="str">
        <f>IF(VLOOKUP($A65,Sheet1!$A$3:$AW$699,2,FALSE)="","",VLOOKUP($A65,Sheet1!$A$3:$AW$699,2,FALSE))</f>
        <v>P2.061</v>
      </c>
    </row>
    <row r="66" spans="1:16" ht="30.6" x14ac:dyDescent="0.3">
      <c r="A66" s="9">
        <v>238</v>
      </c>
      <c r="B66" s="9" t="str">
        <f>IF(VLOOKUP($A66,Sheet1!$A$3:$AW$699,20,FALSE)="","",VLOOKUP($A66,Sheet1!$A$3:$AW$699,20,FALSE))</f>
        <v>GearRatioFollowerCountsN4</v>
      </c>
      <c r="C66" s="9" t="str">
        <f>IF(VLOOKUP($A66,Sheet1!$A$3:$AW$699,25,FALSE)="","",VLOOKUP($A66,Sheet1!$A$3:$AW$699,25,FALSE))</f>
        <v>PT/IO</v>
      </c>
      <c r="D66" s="142">
        <f>IF(VLOOKUP($A66,Sheet1!$A$3:$AW$699,15,FALSE)="","",VLOOKUP($A66,Sheet1!$A$3:$AW$699,15,FALSE))</f>
        <v>1</v>
      </c>
      <c r="E66" s="142">
        <f>IF(VLOOKUP($A66,Sheet1!$A$3:$AW$699,16,FALSE)="","",VLOOKUP($A66,Sheet1!$A$3:$AW$699,16,FALSE))</f>
        <v>536870911</v>
      </c>
      <c r="F66" s="142">
        <f>IF(VLOOKUP($A66,Sheet1!$A$3:$AW$699,17,FALSE)="","",VLOOKUP($A66,Sheet1!$A$3:$AW$699,17,FALSE))</f>
        <v>16777216</v>
      </c>
      <c r="G66" s="142" t="str">
        <f>IF(VLOOKUP($A66,Sheet1!$A$3:$AW$699,18,FALSE)="","",VLOOKUP($A66,Sheet1!$A$3:$AW$699,18,FALSE))</f>
        <v/>
      </c>
      <c r="H66" s="142" t="str">
        <f>IF(VLOOKUP($A66,Sheet1!$A$3:$AW$699,19,FALSE)="","",VLOOKUP($A66,Sheet1!$A$3:$AW$699,19,FALSE))</f>
        <v>Counts</v>
      </c>
      <c r="I66" s="9" t="str">
        <f>IF(VLOOKUP($A66,Sheet1!$A$3:$AW$699,5,FALSE)="","",VLOOKUP($A66,Sheet1!$A$3:$AW$699,5,FALSE))</f>
        <v>DINT</v>
      </c>
      <c r="J66" s="11" t="s">
        <v>248</v>
      </c>
      <c r="K66" s="9" t="s">
        <v>213</v>
      </c>
      <c r="L66" s="146" t="str">
        <f>IF(VLOOKUP($A66,Sheet1!$A$3:$AW$699,7,FALSE)="★","x","")</f>
        <v/>
      </c>
      <c r="M66" s="146" t="str">
        <f>IF(VLOOKUP($A66,Sheet1!$A$3:$AW$699,8,FALSE)="▲","x","")</f>
        <v/>
      </c>
      <c r="N66" s="146" t="str">
        <f>IF(VLOOKUP($A66,Sheet1!$A$3:$AW$699,9,FALSE)="●","x","")</f>
        <v/>
      </c>
      <c r="O66" s="146" t="str">
        <f>IF(VLOOKUP($A66,Sheet1!$A$3:$AW$699,10,FALSE)="■","x","")</f>
        <v/>
      </c>
      <c r="P66" s="9" t="str">
        <f>IF(VLOOKUP($A66,Sheet1!$A$3:$AW$699,2,FALSE)="","",VLOOKUP($A66,Sheet1!$A$3:$AW$699,2,FALSE))</f>
        <v>P2.062</v>
      </c>
    </row>
    <row r="67" spans="1:16" ht="40.799999999999997" x14ac:dyDescent="0.3">
      <c r="A67" s="9">
        <v>239</v>
      </c>
      <c r="B67" s="9" t="str">
        <f>IF(VLOOKUP($A67,Sheet1!$A$3:$AW$699,20,FALSE)="","",VLOOKUP($A67,Sheet1!$A$3:$AW$699,20,FALSE))</f>
        <v>SpecialFunctionConfiguration1</v>
      </c>
      <c r="C67" s="9" t="str">
        <f>IF(VLOOKUP($A67,Sheet1!$A$3:$AW$699,25,FALSE)="","",VLOOKUP($A67,Sheet1!$A$3:$AW$699,25,FALSE))</f>
        <v>PT/PR/S/Sz/IO</v>
      </c>
      <c r="D67" s="142" t="str">
        <f>IF(VLOOKUP($A67,Sheet1!$A$3:$AW$699,15,FALSE)="","",VLOOKUP($A67,Sheet1!$A$3:$AW$699,15,FALSE))</f>
        <v>0x0000</v>
      </c>
      <c r="E67" s="142" t="str">
        <f>IF(VLOOKUP($A67,Sheet1!$A$3:$AW$699,16,FALSE)="","",VLOOKUP($A67,Sheet1!$A$3:$AW$699,16,FALSE))</f>
        <v>0xBF48</v>
      </c>
      <c r="F67" s="142" t="str">
        <f>IF(VLOOKUP($A67,Sheet1!$A$3:$AW$699,17,FALSE)="","",VLOOKUP($A67,Sheet1!$A$3:$AW$699,17,FALSE))</f>
        <v>0x1000</v>
      </c>
      <c r="G67" s="142" t="str">
        <f>IF(VLOOKUP($A67,Sheet1!$A$3:$AW$699,18,FALSE)="","",VLOOKUP($A67,Sheet1!$A$3:$AW$699,18,FALSE))</f>
        <v/>
      </c>
      <c r="H67" s="142" t="str">
        <f>IF(VLOOKUP($A67,Sheet1!$A$3:$AW$699,19,FALSE)="","",VLOOKUP($A67,Sheet1!$A$3:$AW$699,19,FALSE))</f>
        <v/>
      </c>
      <c r="I67" s="9" t="str">
        <f>IF(VLOOKUP($A67,Sheet1!$A$3:$AW$699,5,FALSE)="","",VLOOKUP($A67,Sheet1!$A$3:$AW$699,5,FALSE))</f>
        <v>UINT</v>
      </c>
      <c r="J67" s="13" t="s">
        <v>249</v>
      </c>
      <c r="K67" s="9" t="s">
        <v>182</v>
      </c>
      <c r="L67" s="146" t="str">
        <f>IF(VLOOKUP($A67,Sheet1!$A$3:$AW$699,7,FALSE)="★","x","")</f>
        <v/>
      </c>
      <c r="M67" s="146" t="str">
        <f>IF(VLOOKUP($A67,Sheet1!$A$3:$AW$699,8,FALSE)="▲","x","")</f>
        <v/>
      </c>
      <c r="N67" s="146" t="str">
        <f>IF(VLOOKUP($A67,Sheet1!$A$3:$AW$699,9,FALSE)="●","x","")</f>
        <v/>
      </c>
      <c r="O67" s="146" t="str">
        <f>IF(VLOOKUP($A67,Sheet1!$A$3:$AW$699,10,FALSE)="■","x","")</f>
        <v/>
      </c>
      <c r="P67" s="9" t="str">
        <f>IF(VLOOKUP($A67,Sheet1!$A$3:$AW$699,2,FALSE)="","",VLOOKUP($A67,Sheet1!$A$3:$AW$699,2,FALSE))</f>
        <v>P2.065</v>
      </c>
    </row>
    <row r="68" spans="1:16" ht="163.19999999999999" x14ac:dyDescent="0.3">
      <c r="A68" s="9">
        <v>240</v>
      </c>
      <c r="B68" s="9" t="str">
        <f>IF(VLOOKUP($A68,Sheet1!$A$3:$AW$699,20,FALSE)="","",VLOOKUP($A68,Sheet1!$A$3:$AW$699,20,FALSE))</f>
        <v>SpecialFunctionConfiguration2</v>
      </c>
      <c r="C68" s="9" t="str">
        <f>IF(VLOOKUP($A68,Sheet1!$A$3:$AW$699,25,FALSE)="","",VLOOKUP($A68,Sheet1!$A$3:$AW$699,25,FALSE))</f>
        <v>PT/PR/S/Sz/IO</v>
      </c>
      <c r="D68" s="142" t="str">
        <f>IF(VLOOKUP($A68,Sheet1!$A$3:$AW$699,15,FALSE)="","",VLOOKUP($A68,Sheet1!$A$3:$AW$699,15,FALSE))</f>
        <v>0x0000</v>
      </c>
      <c r="E68" s="142" t="str">
        <f>IF(VLOOKUP($A68,Sheet1!$A$3:$AW$699,16,FALSE)="","",VLOOKUP($A68,Sheet1!$A$3:$AW$699,16,FALSE))</f>
        <v>0x0031</v>
      </c>
      <c r="F68" s="142" t="str">
        <f>IF(VLOOKUP($A68,Sheet1!$A$3:$AW$699,17,FALSE)="","",VLOOKUP($A68,Sheet1!$A$3:$AW$699,17,FALSE))</f>
        <v>0x0021</v>
      </c>
      <c r="G68" s="142" t="str">
        <f>IF(VLOOKUP($A68,Sheet1!$A$3:$AW$699,18,FALSE)="","",VLOOKUP($A68,Sheet1!$A$3:$AW$699,18,FALSE))</f>
        <v/>
      </c>
      <c r="H68" s="142" t="str">
        <f>IF(VLOOKUP($A68,Sheet1!$A$3:$AW$699,19,FALSE)="","",VLOOKUP($A68,Sheet1!$A$3:$AW$699,19,FALSE))</f>
        <v/>
      </c>
      <c r="I68" s="9" t="str">
        <f>IF(VLOOKUP($A68,Sheet1!$A$3:$AW$699,5,FALSE)="","",VLOOKUP($A68,Sheet1!$A$3:$AW$699,5,FALSE))</f>
        <v>UINT</v>
      </c>
      <c r="J68" s="9" t="s">
        <v>250</v>
      </c>
      <c r="K68" s="9" t="s">
        <v>182</v>
      </c>
      <c r="L68" s="146" t="str">
        <f>IF(VLOOKUP($A68,Sheet1!$A$3:$AW$699,7,FALSE)="★","x","")</f>
        <v/>
      </c>
      <c r="M68" s="146" t="str">
        <f>IF(VLOOKUP($A68,Sheet1!$A$3:$AW$699,8,FALSE)="▲","x","")</f>
        <v/>
      </c>
      <c r="N68" s="146" t="str">
        <f>IF(VLOOKUP($A68,Sheet1!$A$3:$AW$699,9,FALSE)="●","x","")</f>
        <v/>
      </c>
      <c r="O68" s="146" t="str">
        <f>IF(VLOOKUP($A68,Sheet1!$A$3:$AW$699,10,FALSE)="■","x","")</f>
        <v/>
      </c>
      <c r="P68" s="9" t="str">
        <f>IF(VLOOKUP($A68,Sheet1!$A$3:$AW$699,2,FALSE)="","",VLOOKUP($A68,Sheet1!$A$3:$AW$699,2,FALSE))</f>
        <v>P2.066</v>
      </c>
    </row>
    <row r="69" spans="1:16" ht="91.8" x14ac:dyDescent="0.3">
      <c r="A69" s="9">
        <v>242</v>
      </c>
      <c r="B69" s="9" t="str">
        <f>IF(VLOOKUP($A69,Sheet1!$A$3:$AW$699,20,FALSE)="","",VLOOKUP($A69,Sheet1!$A$3:$AW$699,20,FALSE))</f>
        <v>AbsoluteSystemSetting</v>
      </c>
      <c r="C69" s="9" t="str">
        <f>IF(VLOOKUP($A69,Sheet1!$A$3:$AW$699,25,FALSE)="","",VLOOKUP($A69,Sheet1!$A$3:$AW$699,25,FALSE))</f>
        <v>All</v>
      </c>
      <c r="D69" s="142" t="str">
        <f>IF(VLOOKUP($A69,Sheet1!$A$3:$AW$699,15,FALSE)="","",VLOOKUP($A69,Sheet1!$A$3:$AW$699,15,FALSE))</f>
        <v>0x0000</v>
      </c>
      <c r="E69" s="142" t="str">
        <f>IF(VLOOKUP($A69,Sheet1!$A$3:$AW$699,16,FALSE)="","",VLOOKUP($A69,Sheet1!$A$3:$AW$699,16,FALSE))</f>
        <v>0x0101</v>
      </c>
      <c r="F69" s="142" t="str">
        <f>IF(VLOOKUP($A69,Sheet1!$A$3:$AW$699,17,FALSE)="","",VLOOKUP($A69,Sheet1!$A$3:$AW$699,17,FALSE))</f>
        <v>0x0000</v>
      </c>
      <c r="G69" s="142" t="str">
        <f>IF(VLOOKUP($A69,Sheet1!$A$3:$AW$699,18,FALSE)="","",VLOOKUP($A69,Sheet1!$A$3:$AW$699,18,FALSE))</f>
        <v/>
      </c>
      <c r="H69" s="142" t="str">
        <f>IF(VLOOKUP($A69,Sheet1!$A$3:$AW$699,19,FALSE)="","",VLOOKUP($A69,Sheet1!$A$3:$AW$699,19,FALSE))</f>
        <v/>
      </c>
      <c r="I69" s="9" t="str">
        <f>IF(VLOOKUP($A69,Sheet1!$A$3:$AW$699,5,FALSE)="","",VLOOKUP($A69,Sheet1!$A$3:$AW$699,5,FALSE))</f>
        <v>UINT</v>
      </c>
      <c r="J69" s="9" t="s">
        <v>251</v>
      </c>
      <c r="K69" s="9" t="s">
        <v>252</v>
      </c>
      <c r="L69" s="146" t="str">
        <f>IF(VLOOKUP($A69,Sheet1!$A$3:$AW$699,7,FALSE)="★","x","")</f>
        <v/>
      </c>
      <c r="M69" s="146" t="str">
        <f>IF(VLOOKUP($A69,Sheet1!$A$3:$AW$699,8,FALSE)="▲","x","")</f>
        <v/>
      </c>
      <c r="N69" s="146" t="str">
        <f>IF(VLOOKUP($A69,Sheet1!$A$3:$AW$699,9,FALSE)="●","x","")</f>
        <v>x</v>
      </c>
      <c r="O69" s="146" t="str">
        <f>IF(VLOOKUP($A69,Sheet1!$A$3:$AW$699,10,FALSE)="■","x","")</f>
        <v/>
      </c>
      <c r="P69" s="9" t="str">
        <f>IF(VLOOKUP($A69,Sheet1!$A$3:$AW$699,2,FALSE)="","",VLOOKUP($A69,Sheet1!$A$3:$AW$699,2,FALSE))</f>
        <v>P2.069</v>
      </c>
    </row>
    <row r="70" spans="1:16" ht="112.2" x14ac:dyDescent="0.3">
      <c r="A70" s="9">
        <v>243</v>
      </c>
      <c r="B70" s="9" t="str">
        <f>IF(VLOOKUP($A70,Sheet1!$A$3:$AW$699,20,FALSE)="","",VLOOKUP($A70,Sheet1!$A$3:$AW$699,20,FALSE))</f>
        <v>DataReadUnitSelection</v>
      </c>
      <c r="C70" s="9" t="str">
        <f>IF(VLOOKUP($A70,Sheet1!$A$3:$AW$699,25,FALSE)="","",VLOOKUP($A70,Sheet1!$A$3:$AW$699,25,FALSE))</f>
        <v>All</v>
      </c>
      <c r="D70" s="142" t="str">
        <f>IF(VLOOKUP($A70,Sheet1!$A$3:$AW$699,15,FALSE)="","",VLOOKUP($A70,Sheet1!$A$3:$AW$699,15,FALSE))</f>
        <v>0x0000</v>
      </c>
      <c r="E70" s="142" t="str">
        <f>IF(VLOOKUP($A70,Sheet1!$A$3:$AW$699,16,FALSE)="","",VLOOKUP($A70,Sheet1!$A$3:$AW$699,16,FALSE))</f>
        <v>0x0007</v>
      </c>
      <c r="F70" s="142" t="str">
        <f>IF(VLOOKUP($A70,Sheet1!$A$3:$AW$699,17,FALSE)="","",VLOOKUP($A70,Sheet1!$A$3:$AW$699,17,FALSE))</f>
        <v>0x0000</v>
      </c>
      <c r="G70" s="142" t="str">
        <f>IF(VLOOKUP($A70,Sheet1!$A$3:$AW$699,18,FALSE)="","",VLOOKUP($A70,Sheet1!$A$3:$AW$699,18,FALSE))</f>
        <v/>
      </c>
      <c r="H70" s="142" t="str">
        <f>IF(VLOOKUP($A70,Sheet1!$A$3:$AW$699,19,FALSE)="","",VLOOKUP($A70,Sheet1!$A$3:$AW$699,19,FALSE))</f>
        <v/>
      </c>
      <c r="I70" s="9" t="str">
        <f>IF(VLOOKUP($A70,Sheet1!$A$3:$AW$699,5,FALSE)="","",VLOOKUP($A70,Sheet1!$A$3:$AW$699,5,FALSE))</f>
        <v>UINT</v>
      </c>
      <c r="J70" s="9" t="s">
        <v>253</v>
      </c>
      <c r="K70" s="9" t="s">
        <v>182</v>
      </c>
      <c r="L70" s="146" t="str">
        <f>IF(VLOOKUP($A70,Sheet1!$A$3:$AW$699,7,FALSE)="★","x","")</f>
        <v/>
      </c>
      <c r="M70" s="146" t="str">
        <f>IF(VLOOKUP($A70,Sheet1!$A$3:$AW$699,8,FALSE)="▲","x","")</f>
        <v/>
      </c>
      <c r="N70" s="146" t="str">
        <f>IF(VLOOKUP($A70,Sheet1!$A$3:$AW$699,9,FALSE)="●","x","")</f>
        <v/>
      </c>
      <c r="O70" s="146" t="str">
        <f>IF(VLOOKUP($A70,Sheet1!$A$3:$AW$699,10,FALSE)="■","x","")</f>
        <v/>
      </c>
      <c r="P70" s="9" t="str">
        <f>IF(VLOOKUP($A70,Sheet1!$A$3:$AW$699,2,FALSE)="","",VLOOKUP($A70,Sheet1!$A$3:$AW$699,2,FALSE))</f>
        <v>P2.070</v>
      </c>
    </row>
    <row r="71" spans="1:16" ht="71.400000000000006" x14ac:dyDescent="0.3">
      <c r="A71" s="9">
        <v>251</v>
      </c>
      <c r="B71" s="9" t="str">
        <f>IF(VLOOKUP($A71,Sheet1!$A$3:$AW$699,20,FALSE)="","",VLOOKUP($A71,Sheet1!$A$3:$AW$699,20,FALSE))</f>
        <v>PositionErrorToleranceTime</v>
      </c>
      <c r="C71" s="9" t="str">
        <f>IF(VLOOKUP($A71,Sheet1!$A$3:$AW$699,25,FALSE)="","",VLOOKUP($A71,Sheet1!$A$3:$AW$699,25,FALSE))</f>
        <v>PT/PR/IO</v>
      </c>
      <c r="D71" s="142">
        <f>IF(VLOOKUP($A71,Sheet1!$A$3:$AW$699,15,FALSE)="","",VLOOKUP($A71,Sheet1!$A$3:$AW$699,15,FALSE))</f>
        <v>0</v>
      </c>
      <c r="E71" s="142">
        <f>IF(VLOOKUP($A71,Sheet1!$A$3:$AW$699,16,FALSE)="","",VLOOKUP($A71,Sheet1!$A$3:$AW$699,16,FALSE))</f>
        <v>65535</v>
      </c>
      <c r="F71" s="142">
        <f>IF(VLOOKUP($A71,Sheet1!$A$3:$AW$699,17,FALSE)="","",VLOOKUP($A71,Sheet1!$A$3:$AW$699,17,FALSE))</f>
        <v>0</v>
      </c>
      <c r="G71" s="142" t="str">
        <f>IF(VLOOKUP($A71,Sheet1!$A$3:$AW$699,18,FALSE)="","",VLOOKUP($A71,Sheet1!$A$3:$AW$699,18,FALSE))</f>
        <v/>
      </c>
      <c r="H71" s="142" t="str">
        <f>IF(VLOOKUP($A71,Sheet1!$A$3:$AW$699,19,FALSE)="","",VLOOKUP($A71,Sheet1!$A$3:$AW$699,19,FALSE))</f>
        <v>ms</v>
      </c>
      <c r="I71" s="9" t="str">
        <f>IF(VLOOKUP($A71,Sheet1!$A$3:$AW$699,5,FALSE)="","",VLOOKUP($A71,Sheet1!$A$3:$AW$699,5,FALSE))</f>
        <v>UINT</v>
      </c>
      <c r="J71" s="11" t="s">
        <v>254</v>
      </c>
      <c r="K71" s="9" t="s">
        <v>182</v>
      </c>
      <c r="L71" s="146" t="str">
        <f>IF(VLOOKUP($A71,Sheet1!$A$3:$AW$699,7,FALSE)="★","x","")</f>
        <v/>
      </c>
      <c r="M71" s="146" t="str">
        <f>IF(VLOOKUP($A71,Sheet1!$A$3:$AW$699,8,FALSE)="▲","x","")</f>
        <v/>
      </c>
      <c r="N71" s="146" t="str">
        <f>IF(VLOOKUP($A71,Sheet1!$A$3:$AW$699,9,FALSE)="●","x","")</f>
        <v/>
      </c>
      <c r="O71" s="146" t="str">
        <f>IF(VLOOKUP($A71,Sheet1!$A$3:$AW$699,10,FALSE)="■","x","")</f>
        <v/>
      </c>
      <c r="P71" s="9" t="str">
        <f>IF(VLOOKUP($A71,Sheet1!$A$3:$AW$699,2,FALSE)="","",VLOOKUP($A71,Sheet1!$A$3:$AW$699,2,FALSE))</f>
        <v>P2.081</v>
      </c>
    </row>
    <row r="72" spans="1:16" ht="61.2" x14ac:dyDescent="0.3">
      <c r="A72" s="9">
        <v>252</v>
      </c>
      <c r="B72" s="9" t="str">
        <f>IF(VLOOKUP($A72,Sheet1!$A$3:$AW$699,20,FALSE)="","",VLOOKUP($A72,Sheet1!$A$3:$AW$699,20,FALSE))</f>
        <v>STOFeedbackConfiguration</v>
      </c>
      <c r="C72" s="9" t="str">
        <f>IF(VLOOKUP($A72,Sheet1!$A$3:$AW$699,25,FALSE)="","",VLOOKUP($A72,Sheet1!$A$3:$AW$699,25,FALSE))</f>
        <v>All</v>
      </c>
      <c r="D72" s="142" t="str">
        <f>IF(VLOOKUP($A72,Sheet1!$A$3:$AW$699,15,FALSE)="","",VLOOKUP($A72,Sheet1!$A$3:$AW$699,15,FALSE))</f>
        <v>0x0012</v>
      </c>
      <c r="E72" s="142" t="str">
        <f>IF(VLOOKUP($A72,Sheet1!$A$3:$AW$699,16,FALSE)="","",VLOOKUP($A72,Sheet1!$A$3:$AW$699,16,FALSE))</f>
        <v>0x0022</v>
      </c>
      <c r="F72" s="142" t="str">
        <f>IF(VLOOKUP($A72,Sheet1!$A$3:$AW$699,17,FALSE)="","",VLOOKUP($A72,Sheet1!$A$3:$AW$699,17,FALSE))</f>
        <v>0x0012</v>
      </c>
      <c r="G72" s="142" t="str">
        <f>IF(VLOOKUP($A72,Sheet1!$A$3:$AW$699,18,FALSE)="","",VLOOKUP($A72,Sheet1!$A$3:$AW$699,18,FALSE))</f>
        <v/>
      </c>
      <c r="H72" s="142" t="str">
        <f>IF(VLOOKUP($A72,Sheet1!$A$3:$AW$699,19,FALSE)="","",VLOOKUP($A72,Sheet1!$A$3:$AW$699,19,FALSE))</f>
        <v/>
      </c>
      <c r="I72" s="9" t="str">
        <f>IF(VLOOKUP($A72,Sheet1!$A$3:$AW$699,5,FALSE)="","",VLOOKUP($A72,Sheet1!$A$3:$AW$699,5,FALSE))</f>
        <v>UINT</v>
      </c>
      <c r="J72" s="11" t="s">
        <v>255</v>
      </c>
      <c r="K72" s="9" t="s">
        <v>182</v>
      </c>
      <c r="L72" s="146" t="str">
        <f>IF(VLOOKUP($A72,Sheet1!$A$3:$AW$699,7,FALSE)="★","x","")</f>
        <v/>
      </c>
      <c r="M72" s="146" t="str">
        <f>IF(VLOOKUP($A72,Sheet1!$A$3:$AW$699,8,FALSE)="▲","x","")</f>
        <v/>
      </c>
      <c r="N72" s="146" t="str">
        <f>IF(VLOOKUP($A72,Sheet1!$A$3:$AW$699,9,FALSE)="●","x","")</f>
        <v/>
      </c>
      <c r="O72" s="146" t="str">
        <f>IF(VLOOKUP($A72,Sheet1!$A$3:$AW$699,10,FALSE)="■","x","")</f>
        <v/>
      </c>
      <c r="P72" s="9" t="str">
        <f>IF(VLOOKUP($A72,Sheet1!$A$3:$AW$699,2,FALSE)="","",VLOOKUP($A72,Sheet1!$A$3:$AW$699,2,FALSE))</f>
        <v>P2.093</v>
      </c>
    </row>
    <row r="73" spans="1:16" ht="102" x14ac:dyDescent="0.3">
      <c r="A73" s="9">
        <v>253</v>
      </c>
      <c r="B73" s="9" t="str">
        <f>IF(VLOOKUP($A73,Sheet1!$A$3:$AW$699,20,FALSE)="","",VLOOKUP($A73,Sheet1!$A$3:$AW$699,20,FALSE))</f>
        <v>SpecialFunctionConfiguration3</v>
      </c>
      <c r="C73" s="9" t="str">
        <f>IF(VLOOKUP($A73,Sheet1!$A$3:$AW$699,25,FALSE)="","",VLOOKUP($A73,Sheet1!$A$3:$AW$699,25,FALSE))</f>
        <v>PT/PR/S/Sz/IO</v>
      </c>
      <c r="D73" s="142" t="str">
        <f>IF(VLOOKUP($A73,Sheet1!$A$3:$AW$699,15,FALSE)="","",VLOOKUP($A73,Sheet1!$A$3:$AW$699,15,FALSE))</f>
        <v>0x0000</v>
      </c>
      <c r="E73" s="142" t="str">
        <f>IF(VLOOKUP($A73,Sheet1!$A$3:$AW$699,16,FALSE)="","",VLOOKUP($A73,Sheet1!$A$3:$AW$699,16,FALSE))</f>
        <v>0x0030</v>
      </c>
      <c r="F73" s="142" t="str">
        <f>IF(VLOOKUP($A73,Sheet1!$A$3:$AW$699,17,FALSE)="","",VLOOKUP($A73,Sheet1!$A$3:$AW$699,17,FALSE))</f>
        <v>0x0010</v>
      </c>
      <c r="G73" s="142" t="str">
        <f>IF(VLOOKUP($A73,Sheet1!$A$3:$AW$699,18,FALSE)="","",VLOOKUP($A73,Sheet1!$A$3:$AW$699,18,FALSE))</f>
        <v/>
      </c>
      <c r="H73" s="142" t="str">
        <f>IF(VLOOKUP($A73,Sheet1!$A$3:$AW$699,19,FALSE)="","",VLOOKUP($A73,Sheet1!$A$3:$AW$699,19,FALSE))</f>
        <v/>
      </c>
      <c r="I73" s="9" t="str">
        <f>IF(VLOOKUP($A73,Sheet1!$A$3:$AW$699,5,FALSE)="","",VLOOKUP($A73,Sheet1!$A$3:$AW$699,5,FALSE))</f>
        <v>UINT</v>
      </c>
      <c r="J73" s="11" t="s">
        <v>256</v>
      </c>
      <c r="K73" s="9" t="s">
        <v>182</v>
      </c>
      <c r="L73" s="146" t="str">
        <f>IF(VLOOKUP($A73,Sheet1!$A$3:$AW$699,7,FALSE)="★","x","")</f>
        <v/>
      </c>
      <c r="M73" s="146" t="str">
        <f>IF(VLOOKUP($A73,Sheet1!$A$3:$AW$699,8,FALSE)="▲","x","")</f>
        <v>x</v>
      </c>
      <c r="N73" s="146" t="str">
        <f>IF(VLOOKUP($A73,Sheet1!$A$3:$AW$699,9,FALSE)="●","x","")</f>
        <v/>
      </c>
      <c r="O73" s="146" t="str">
        <f>IF(VLOOKUP($A73,Sheet1!$A$3:$AW$699,10,FALSE)="■","x","")</f>
        <v/>
      </c>
      <c r="P73" s="9" t="str">
        <f>IF(VLOOKUP($A73,Sheet1!$A$3:$AW$699,2,FALSE)="","",VLOOKUP($A73,Sheet1!$A$3:$AW$699,2,FALSE))</f>
        <v>P2.094</v>
      </c>
    </row>
    <row r="74" spans="1:16" ht="30.6" x14ac:dyDescent="0.3">
      <c r="A74" s="9">
        <v>263</v>
      </c>
      <c r="B74" s="9" t="str">
        <f>IF(VLOOKUP($A74,Sheet1!$A$3:$AW$699,20,FALSE)="","",VLOOKUP($A74,Sheet1!$A$3:$AW$699,20,FALSE))</f>
        <v>PItoPTorqueThreshold</v>
      </c>
      <c r="C74" s="9" t="str">
        <f>IF(VLOOKUP($A74,Sheet1!$A$3:$AW$699,25,FALSE)="","",VLOOKUP($A74,Sheet1!$A$3:$AW$699,25,FALSE))</f>
        <v>PT/PR/S/Sz/IO</v>
      </c>
      <c r="D74" s="142">
        <f>IF(VLOOKUP($A74,Sheet1!$A$3:$AW$699,15,FALSE)="","",VLOOKUP($A74,Sheet1!$A$3:$AW$699,15,FALSE))</f>
        <v>1</v>
      </c>
      <c r="E74" s="142">
        <f>IF(VLOOKUP($A74,Sheet1!$A$3:$AW$699,16,FALSE)="","",VLOOKUP($A74,Sheet1!$A$3:$AW$699,16,FALSE))</f>
        <v>800</v>
      </c>
      <c r="F74" s="142">
        <f>IF(VLOOKUP($A74,Sheet1!$A$3:$AW$699,17,FALSE)="","",VLOOKUP($A74,Sheet1!$A$3:$AW$699,17,FALSE))</f>
        <v>800</v>
      </c>
      <c r="G74" s="142" t="str">
        <f>IF(VLOOKUP($A74,Sheet1!$A$3:$AW$699,18,FALSE)="","",VLOOKUP($A74,Sheet1!$A$3:$AW$699,18,FALSE))</f>
        <v/>
      </c>
      <c r="H74" s="142" t="str">
        <f>IF(VLOOKUP($A74,Sheet1!$A$3:$AW$699,19,FALSE)="","",VLOOKUP($A74,Sheet1!$A$3:$AW$699,19,FALSE))</f>
        <v>%</v>
      </c>
      <c r="I74" s="9" t="str">
        <f>IF(VLOOKUP($A74,Sheet1!$A$3:$AW$699,5,FALSE)="","",VLOOKUP($A74,Sheet1!$A$3:$AW$699,5,FALSE))</f>
        <v>INT</v>
      </c>
      <c r="J74" s="11" t="s">
        <v>257</v>
      </c>
      <c r="K74" s="9" t="s">
        <v>182</v>
      </c>
      <c r="L74" s="146" t="str">
        <f>IF(VLOOKUP($A74,Sheet1!$A$3:$AW$699,7,FALSE)="★","x","")</f>
        <v/>
      </c>
      <c r="M74" s="146" t="str">
        <f>IF(VLOOKUP($A74,Sheet1!$A$3:$AW$699,8,FALSE)="▲","x","")</f>
        <v/>
      </c>
      <c r="N74" s="146" t="str">
        <f>IF(VLOOKUP($A74,Sheet1!$A$3:$AW$699,9,FALSE)="●","x","")</f>
        <v/>
      </c>
      <c r="O74" s="146" t="str">
        <f>IF(VLOOKUP($A74,Sheet1!$A$3:$AW$699,10,FALSE)="■","x","")</f>
        <v/>
      </c>
      <c r="P74" s="9" t="str">
        <f>IF(VLOOKUP($A74,Sheet1!$A$3:$AW$699,2,FALSE)="","",VLOOKUP($A74,Sheet1!$A$3:$AW$699,2,FALSE))</f>
        <v>P2.104</v>
      </c>
    </row>
    <row r="75" spans="1:16" ht="122.4" x14ac:dyDescent="0.3">
      <c r="A75" s="9">
        <v>266</v>
      </c>
      <c r="B75" s="9" t="str">
        <f>IF(VLOOKUP($A75,Sheet1!$A$3:$AW$699,20,FALSE)="","",VLOOKUP($A75,Sheet1!$A$3:$AW$699,20,FALSE))</f>
        <v>SpecialFunctionConfiguration4</v>
      </c>
      <c r="C75" s="9" t="str">
        <f>IF(VLOOKUP($A75,Sheet1!$A$3:$AW$699,25,FALSE)="","",VLOOKUP($A75,Sheet1!$A$3:$AW$699,25,FALSE))</f>
        <v>PT/PR/S/Sz/IO</v>
      </c>
      <c r="D75" s="142" t="str">
        <f>IF(VLOOKUP($A75,Sheet1!$A$3:$AW$699,15,FALSE)="","",VLOOKUP($A75,Sheet1!$A$3:$AW$699,15,FALSE))</f>
        <v>0x0000</v>
      </c>
      <c r="E75" s="142" t="str">
        <f>IF(VLOOKUP($A75,Sheet1!$A$3:$AW$699,16,FALSE)="","",VLOOKUP($A75,Sheet1!$A$3:$AW$699,16,FALSE))</f>
        <v>0x000F</v>
      </c>
      <c r="F75" s="142" t="str">
        <f>IF(VLOOKUP($A75,Sheet1!$A$3:$AW$699,17,FALSE)="","",VLOOKUP($A75,Sheet1!$A$3:$AW$699,17,FALSE))</f>
        <v>0x000C</v>
      </c>
      <c r="G75" s="142" t="str">
        <f>IF(VLOOKUP($A75,Sheet1!$A$3:$AW$699,18,FALSE)="","",VLOOKUP($A75,Sheet1!$A$3:$AW$699,18,FALSE))</f>
        <v/>
      </c>
      <c r="H75" s="142" t="str">
        <f>IF(VLOOKUP($A75,Sheet1!$A$3:$AW$699,19,FALSE)="","",VLOOKUP($A75,Sheet1!$A$3:$AW$699,19,FALSE))</f>
        <v/>
      </c>
      <c r="I75" s="9" t="str">
        <f>IF(VLOOKUP($A75,Sheet1!$A$3:$AW$699,5,FALSE)="","",VLOOKUP($A75,Sheet1!$A$3:$AW$699,5,FALSE))</f>
        <v>UINT</v>
      </c>
      <c r="J75" s="11" t="s">
        <v>258</v>
      </c>
      <c r="K75" s="9" t="s">
        <v>182</v>
      </c>
      <c r="L75" s="146" t="str">
        <f>IF(VLOOKUP($A75,Sheet1!$A$3:$AW$699,7,FALSE)="★","x","")</f>
        <v/>
      </c>
      <c r="M75" s="146" t="str">
        <f>IF(VLOOKUP($A75,Sheet1!$A$3:$AW$699,8,FALSE)="▲","x","")</f>
        <v>x</v>
      </c>
      <c r="N75" s="146" t="str">
        <f>IF(VLOOKUP($A75,Sheet1!$A$3:$AW$699,9,FALSE)="●","x","")</f>
        <v/>
      </c>
      <c r="O75" s="146" t="str">
        <f>IF(VLOOKUP($A75,Sheet1!$A$3:$AW$699,10,FALSE)="■","x","")</f>
        <v/>
      </c>
      <c r="P75" s="9" t="str">
        <f>IF(VLOOKUP($A75,Sheet1!$A$3:$AW$699,2,FALSE)="","",VLOOKUP($A75,Sheet1!$A$3:$AW$699,2,FALSE))</f>
        <v>P2.112</v>
      </c>
    </row>
    <row r="76" spans="1:16" ht="132.6" x14ac:dyDescent="0.3">
      <c r="A76" s="9">
        <v>279</v>
      </c>
      <c r="B76" s="9" t="str">
        <f>IF(VLOOKUP($A76,Sheet1!$A$3:$AW$699,20,FALSE)="","",VLOOKUP($A76,Sheet1!$A$3:$AW$699,20,FALSE))</f>
        <v>JogOperation</v>
      </c>
      <c r="C76" s="9" t="str">
        <f>IF(VLOOKUP($A76,Sheet1!$A$3:$AW$699,25,FALSE)="","",VLOOKUP($A76,Sheet1!$A$3:$AW$699,25,FALSE))</f>
        <v>All</v>
      </c>
      <c r="D76" s="142" t="str">
        <f>IF(VLOOKUP($A76,Sheet1!$A$3:$AW$699,15,FALSE)="","",VLOOKUP($A76,Sheet1!$A$3:$AW$699,15,FALSE))</f>
        <v>0
0</v>
      </c>
      <c r="E76" s="142" t="str">
        <f>IF(VLOOKUP($A76,Sheet1!$A$3:$AW$699,16,FALSE)="","",VLOOKUP($A76,Sheet1!$A$3:$AW$699,16,FALSE))</f>
        <v>5000
50000</v>
      </c>
      <c r="F76" s="142" t="str">
        <f>IF(VLOOKUP($A76,Sheet1!$A$3:$AW$699,17,FALSE)="","",VLOOKUP($A76,Sheet1!$A$3:$AW$699,17,FALSE))</f>
        <v>20
20</v>
      </c>
      <c r="G76" s="142" t="str">
        <f>IF(VLOOKUP($A76,Sheet1!$A$3:$AW$699,18,FALSE)="","",VLOOKUP($A76,Sheet1!$A$3:$AW$699,18,FALSE))</f>
        <v xml:space="preserve">1
</v>
      </c>
      <c r="H76" s="142" t="str">
        <f>IF(VLOOKUP($A76,Sheet1!$A$3:$AW$699,19,FALSE)="","",VLOOKUP($A76,Sheet1!$A$3:$AW$699,19,FALSE))</f>
        <v>RPM
10um/s</v>
      </c>
      <c r="I76" s="9" t="str">
        <f>IF(VLOOKUP($A76,Sheet1!$A$3:$AW$699,5,FALSE)="","",VLOOKUP($A76,Sheet1!$A$3:$AW$699,5,FALSE))</f>
        <v>INT</v>
      </c>
      <c r="J76" s="11" t="s">
        <v>259</v>
      </c>
      <c r="K76" s="9" t="s">
        <v>182</v>
      </c>
      <c r="L76" s="146" t="str">
        <f>IF(VLOOKUP($A76,Sheet1!$A$3:$AW$699,7,FALSE)="★","x","")</f>
        <v/>
      </c>
      <c r="M76" s="146" t="str">
        <f>IF(VLOOKUP($A76,Sheet1!$A$3:$AW$699,8,FALSE)="▲","x","")</f>
        <v/>
      </c>
      <c r="N76" s="146" t="str">
        <f>IF(VLOOKUP($A76,Sheet1!$A$3:$AW$699,9,FALSE)="●","x","")</f>
        <v/>
      </c>
      <c r="O76" s="146" t="str">
        <f>IF(VLOOKUP($A76,Sheet1!$A$3:$AW$699,10,FALSE)="■","x","")</f>
        <v/>
      </c>
      <c r="P76" s="9" t="str">
        <f>IF(VLOOKUP($A76,Sheet1!$A$3:$AW$699,2,FALSE)="","",VLOOKUP($A76,Sheet1!$A$3:$AW$699,2,FALSE))</f>
        <v>P4.005</v>
      </c>
    </row>
    <row r="77" spans="1:16" ht="20.399999999999999" x14ac:dyDescent="0.3">
      <c r="A77" s="9">
        <v>284</v>
      </c>
      <c r="B77" s="9" t="str">
        <f>IF(VLOOKUP($A77,Sheet1!$A$3:$AW$699,20,FALSE)="","",VLOOKUP($A77,Sheet1!$A$3:$AW$699,20,FALSE))</f>
        <v>ExecuteHwCalibration</v>
      </c>
      <c r="C77" s="9" t="str">
        <f>IF(VLOOKUP($A77,Sheet1!$A$3:$AW$699,25,FALSE)="","",VLOOKUP($A77,Sheet1!$A$3:$AW$699,25,FALSE))</f>
        <v>All</v>
      </c>
      <c r="D77" s="142">
        <f>IF(VLOOKUP($A77,Sheet1!$A$3:$AW$699,15,FALSE)="","",VLOOKUP($A77,Sheet1!$A$3:$AW$699,15,FALSE))</f>
        <v>0</v>
      </c>
      <c r="E77" s="142">
        <f>IF(VLOOKUP($A77,Sheet1!$A$3:$AW$699,16,FALSE)="","",VLOOKUP($A77,Sheet1!$A$3:$AW$699,16,FALSE))</f>
        <v>14</v>
      </c>
      <c r="F77" s="142">
        <f>IF(VLOOKUP($A77,Sheet1!$A$3:$AW$699,17,FALSE)="","",VLOOKUP($A77,Sheet1!$A$3:$AW$699,17,FALSE))</f>
        <v>0</v>
      </c>
      <c r="G77" s="142" t="str">
        <f>IF(VLOOKUP($A77,Sheet1!$A$3:$AW$699,18,FALSE)="","",VLOOKUP($A77,Sheet1!$A$3:$AW$699,18,FALSE))</f>
        <v/>
      </c>
      <c r="H77" s="142" t="str">
        <f>IF(VLOOKUP($A77,Sheet1!$A$3:$AW$699,19,FALSE)="","",VLOOKUP($A77,Sheet1!$A$3:$AW$699,19,FALSE))</f>
        <v/>
      </c>
      <c r="I77" s="9" t="str">
        <f>IF(VLOOKUP($A77,Sheet1!$A$3:$AW$699,5,FALSE)="","",VLOOKUP($A77,Sheet1!$A$3:$AW$699,5,FALSE))</f>
        <v>INT</v>
      </c>
      <c r="J77" s="9" t="s">
        <v>260</v>
      </c>
      <c r="K77" s="9" t="s">
        <v>182</v>
      </c>
      <c r="L77" s="146" t="str">
        <f>IF(VLOOKUP($A77,Sheet1!$A$3:$AW$699,7,FALSE)="★","x","")</f>
        <v/>
      </c>
      <c r="M77" s="146" t="str">
        <f>IF(VLOOKUP($A77,Sheet1!$A$3:$AW$699,8,FALSE)="▲","x","")</f>
        <v/>
      </c>
      <c r="N77" s="146" t="str">
        <f>IF(VLOOKUP($A77,Sheet1!$A$3:$AW$699,9,FALSE)="●","x","")</f>
        <v/>
      </c>
      <c r="O77" s="146" t="str">
        <f>IF(VLOOKUP($A77,Sheet1!$A$3:$AW$699,10,FALSE)="■","x","")</f>
        <v>x</v>
      </c>
      <c r="P77" s="9" t="str">
        <f>IF(VLOOKUP($A77,Sheet1!$A$3:$AW$699,2,FALSE)="","",VLOOKUP($A77,Sheet1!$A$3:$AW$699,2,FALSE))</f>
        <v>P4.010</v>
      </c>
    </row>
    <row r="78" spans="1:16" ht="20.399999999999999" x14ac:dyDescent="0.3">
      <c r="A78" s="9">
        <v>285</v>
      </c>
      <c r="B78" s="9" t="str">
        <f>IF(VLOOKUP($A78,Sheet1!$A$3:$AW$699,20,FALSE)="","",VLOOKUP($A78,Sheet1!$A$3:$AW$699,20,FALSE))</f>
        <v>PresetAnalogToVelocityOffset</v>
      </c>
      <c r="C78" s="9" t="str">
        <f>IF(VLOOKUP($A78,Sheet1!$A$3:$AW$699,25,FALSE)="","",VLOOKUP($A78,Sheet1!$A$3:$AW$699,25,FALSE))</f>
        <v>All</v>
      </c>
      <c r="D78" s="142">
        <f>IF(VLOOKUP($A78,Sheet1!$A$3:$AW$699,15,FALSE)="","",VLOOKUP($A78,Sheet1!$A$3:$AW$699,15,FALSE))</f>
        <v>0</v>
      </c>
      <c r="E78" s="142">
        <f>IF(VLOOKUP($A78,Sheet1!$A$3:$AW$699,16,FALSE)="","",VLOOKUP($A78,Sheet1!$A$3:$AW$699,16,FALSE))</f>
        <v>32767</v>
      </c>
      <c r="F78" s="142">
        <f>IF(VLOOKUP($A78,Sheet1!$A$3:$AW$699,17,FALSE)="","",VLOOKUP($A78,Sheet1!$A$3:$AW$699,17,FALSE))</f>
        <v>16384</v>
      </c>
      <c r="G78" s="142" t="str">
        <f>IF(VLOOKUP($A78,Sheet1!$A$3:$AW$699,18,FALSE)="","",VLOOKUP($A78,Sheet1!$A$3:$AW$699,18,FALSE))</f>
        <v/>
      </c>
      <c r="H78" s="142" t="str">
        <f>IF(VLOOKUP($A78,Sheet1!$A$3:$AW$699,19,FALSE)="","",VLOOKUP($A78,Sheet1!$A$3:$AW$699,19,FALSE))</f>
        <v/>
      </c>
      <c r="I78" s="9" t="str">
        <f>IF(VLOOKUP($A78,Sheet1!$A$3:$AW$699,5,FALSE)="","",VLOOKUP($A78,Sheet1!$A$3:$AW$699,5,FALSE))</f>
        <v>INT</v>
      </c>
      <c r="J78" s="9" t="s">
        <v>261</v>
      </c>
      <c r="K78" s="9" t="s">
        <v>182</v>
      </c>
      <c r="L78" s="146" t="str">
        <f>IF(VLOOKUP($A78,Sheet1!$A$3:$AW$699,7,FALSE)="★","x","")</f>
        <v/>
      </c>
      <c r="M78" s="146" t="str">
        <f>IF(VLOOKUP($A78,Sheet1!$A$3:$AW$699,8,FALSE)="▲","x","")</f>
        <v/>
      </c>
      <c r="N78" s="146" t="str">
        <f>IF(VLOOKUP($A78,Sheet1!$A$3:$AW$699,9,FALSE)="●","x","")</f>
        <v/>
      </c>
      <c r="O78" s="146" t="str">
        <f>IF(VLOOKUP($A78,Sheet1!$A$3:$AW$699,10,FALSE)="■","x","")</f>
        <v/>
      </c>
      <c r="P78" s="9" t="str">
        <f>IF(VLOOKUP($A78,Sheet1!$A$3:$AW$699,2,FALSE)="","",VLOOKUP($A78,Sheet1!$A$3:$AW$699,2,FALSE))</f>
        <v>P4.011</v>
      </c>
    </row>
    <row r="79" spans="1:16" ht="20.399999999999999" x14ac:dyDescent="0.3">
      <c r="A79" s="9">
        <v>286</v>
      </c>
      <c r="B79" s="9" t="str">
        <f>IF(VLOOKUP($A79,Sheet1!$A$3:$AW$699,20,FALSE)="","",VLOOKUP($A79,Sheet1!$A$3:$AW$699,20,FALSE))</f>
        <v>PresetAnalogToTorqueOffset</v>
      </c>
      <c r="C79" s="9" t="str">
        <f>IF(VLOOKUP($A79,Sheet1!$A$3:$AW$699,25,FALSE)="","",VLOOKUP($A79,Sheet1!$A$3:$AW$699,25,FALSE))</f>
        <v>All</v>
      </c>
      <c r="D79" s="142">
        <f>IF(VLOOKUP($A79,Sheet1!$A$3:$AW$699,15,FALSE)="","",VLOOKUP($A79,Sheet1!$A$3:$AW$699,15,FALSE))</f>
        <v>0</v>
      </c>
      <c r="E79" s="142">
        <f>IF(VLOOKUP($A79,Sheet1!$A$3:$AW$699,16,FALSE)="","",VLOOKUP($A79,Sheet1!$A$3:$AW$699,16,FALSE))</f>
        <v>32767</v>
      </c>
      <c r="F79" s="142">
        <f>IF(VLOOKUP($A79,Sheet1!$A$3:$AW$699,17,FALSE)="","",VLOOKUP($A79,Sheet1!$A$3:$AW$699,17,FALSE))</f>
        <v>16384</v>
      </c>
      <c r="G79" s="142" t="str">
        <f>IF(VLOOKUP($A79,Sheet1!$A$3:$AW$699,18,FALSE)="","",VLOOKUP($A79,Sheet1!$A$3:$AW$699,18,FALSE))</f>
        <v/>
      </c>
      <c r="H79" s="142" t="str">
        <f>IF(VLOOKUP($A79,Sheet1!$A$3:$AW$699,19,FALSE)="","",VLOOKUP($A79,Sheet1!$A$3:$AW$699,19,FALSE))</f>
        <v/>
      </c>
      <c r="I79" s="9" t="str">
        <f>IF(VLOOKUP($A79,Sheet1!$A$3:$AW$699,5,FALSE)="","",VLOOKUP($A79,Sheet1!$A$3:$AW$699,5,FALSE))</f>
        <v>INT</v>
      </c>
      <c r="J79" s="9" t="s">
        <v>262</v>
      </c>
      <c r="K79" s="9" t="s">
        <v>182</v>
      </c>
      <c r="L79" s="146" t="str">
        <f>IF(VLOOKUP($A79,Sheet1!$A$3:$AW$699,7,FALSE)="★","x","")</f>
        <v/>
      </c>
      <c r="M79" s="146" t="str">
        <f>IF(VLOOKUP($A79,Sheet1!$A$3:$AW$699,8,FALSE)="▲","x","")</f>
        <v/>
      </c>
      <c r="N79" s="146" t="str">
        <f>IF(VLOOKUP($A79,Sheet1!$A$3:$AW$699,9,FALSE)="●","x","")</f>
        <v/>
      </c>
      <c r="O79" s="146" t="str">
        <f>IF(VLOOKUP($A79,Sheet1!$A$3:$AW$699,10,FALSE)="■","x","")</f>
        <v/>
      </c>
      <c r="P79" s="9" t="str">
        <f>IF(VLOOKUP($A79,Sheet1!$A$3:$AW$699,2,FALSE)="","",VLOOKUP($A79,Sheet1!$A$3:$AW$699,2,FALSE))</f>
        <v>P4.013</v>
      </c>
    </row>
    <row r="80" spans="1:16" ht="20.399999999999999" x14ac:dyDescent="0.3">
      <c r="A80" s="9">
        <v>287</v>
      </c>
      <c r="B80" s="9" t="str">
        <f>IF(VLOOKUP($A80,Sheet1!$A$3:$AW$699,20,FALSE)="","",VLOOKUP($A80,Sheet1!$A$3:$AW$699,20,FALSE))</f>
        <v>V1PhaseCurrentSensingOffset</v>
      </c>
      <c r="C80" s="9" t="str">
        <f>IF(VLOOKUP($A80,Sheet1!$A$3:$AW$699,25,FALSE)="","",VLOOKUP($A80,Sheet1!$A$3:$AW$699,25,FALSE))</f>
        <v>All</v>
      </c>
      <c r="D80" s="142">
        <f>IF(VLOOKUP($A80,Sheet1!$A$3:$AW$699,15,FALSE)="","",VLOOKUP($A80,Sheet1!$A$3:$AW$699,15,FALSE))</f>
        <v>0</v>
      </c>
      <c r="E80" s="142">
        <f>IF(VLOOKUP($A80,Sheet1!$A$3:$AW$699,16,FALSE)="","",VLOOKUP($A80,Sheet1!$A$3:$AW$699,16,FALSE))</f>
        <v>32767</v>
      </c>
      <c r="F80" s="142">
        <f>IF(VLOOKUP($A80,Sheet1!$A$3:$AW$699,17,FALSE)="","",VLOOKUP($A80,Sheet1!$A$3:$AW$699,17,FALSE))</f>
        <v>16384</v>
      </c>
      <c r="G80" s="142" t="str">
        <f>IF(VLOOKUP($A80,Sheet1!$A$3:$AW$699,18,FALSE)="","",VLOOKUP($A80,Sheet1!$A$3:$AW$699,18,FALSE))</f>
        <v/>
      </c>
      <c r="H80" s="142" t="str">
        <f>IF(VLOOKUP($A80,Sheet1!$A$3:$AW$699,19,FALSE)="","",VLOOKUP($A80,Sheet1!$A$3:$AW$699,19,FALSE))</f>
        <v/>
      </c>
      <c r="I80" s="9" t="str">
        <f>IF(VLOOKUP($A80,Sheet1!$A$3:$AW$699,5,FALSE)="","",VLOOKUP($A80,Sheet1!$A$3:$AW$699,5,FALSE))</f>
        <v>INT</v>
      </c>
      <c r="J80" s="9" t="s">
        <v>263</v>
      </c>
      <c r="K80" s="9" t="s">
        <v>182</v>
      </c>
      <c r="L80" s="146" t="str">
        <f>IF(VLOOKUP($A80,Sheet1!$A$3:$AW$699,7,FALSE)="★","x","")</f>
        <v/>
      </c>
      <c r="M80" s="146" t="str">
        <f>IF(VLOOKUP($A80,Sheet1!$A$3:$AW$699,8,FALSE)="▲","x","")</f>
        <v/>
      </c>
      <c r="N80" s="146" t="str">
        <f>IF(VLOOKUP($A80,Sheet1!$A$3:$AW$699,9,FALSE)="●","x","")</f>
        <v/>
      </c>
      <c r="O80" s="146" t="str">
        <f>IF(VLOOKUP($A80,Sheet1!$A$3:$AW$699,10,FALSE)="■","x","")</f>
        <v/>
      </c>
      <c r="P80" s="9" t="str">
        <f>IF(VLOOKUP($A80,Sheet1!$A$3:$AW$699,2,FALSE)="","",VLOOKUP($A80,Sheet1!$A$3:$AW$699,2,FALSE))</f>
        <v>P4.015</v>
      </c>
    </row>
    <row r="81" spans="1:16" ht="20.399999999999999" x14ac:dyDescent="0.3">
      <c r="A81" s="9">
        <v>288</v>
      </c>
      <c r="B81" s="9" t="str">
        <f>IF(VLOOKUP($A81,Sheet1!$A$3:$AW$699,20,FALSE)="","",VLOOKUP($A81,Sheet1!$A$3:$AW$699,20,FALSE))</f>
        <v>W1PhaseCurrentSensingOffset</v>
      </c>
      <c r="C81" s="9" t="str">
        <f>IF(VLOOKUP($A81,Sheet1!$A$3:$AW$699,25,FALSE)="","",VLOOKUP($A81,Sheet1!$A$3:$AW$699,25,FALSE))</f>
        <v>All</v>
      </c>
      <c r="D81" s="142">
        <f>IF(VLOOKUP($A81,Sheet1!$A$3:$AW$699,15,FALSE)="","",VLOOKUP($A81,Sheet1!$A$3:$AW$699,15,FALSE))</f>
        <v>0</v>
      </c>
      <c r="E81" s="142">
        <f>IF(VLOOKUP($A81,Sheet1!$A$3:$AW$699,16,FALSE)="","",VLOOKUP($A81,Sheet1!$A$3:$AW$699,16,FALSE))</f>
        <v>32767</v>
      </c>
      <c r="F81" s="142">
        <f>IF(VLOOKUP($A81,Sheet1!$A$3:$AW$699,17,FALSE)="","",VLOOKUP($A81,Sheet1!$A$3:$AW$699,17,FALSE))</f>
        <v>16384</v>
      </c>
      <c r="G81" s="142" t="str">
        <f>IF(VLOOKUP($A81,Sheet1!$A$3:$AW$699,18,FALSE)="","",VLOOKUP($A81,Sheet1!$A$3:$AW$699,18,FALSE))</f>
        <v/>
      </c>
      <c r="H81" s="142" t="str">
        <f>IF(VLOOKUP($A81,Sheet1!$A$3:$AW$699,19,FALSE)="","",VLOOKUP($A81,Sheet1!$A$3:$AW$699,19,FALSE))</f>
        <v/>
      </c>
      <c r="I81" s="9" t="str">
        <f>IF(VLOOKUP($A81,Sheet1!$A$3:$AW$699,5,FALSE)="","",VLOOKUP($A81,Sheet1!$A$3:$AW$699,5,FALSE))</f>
        <v>INT</v>
      </c>
      <c r="J81" s="9" t="s">
        <v>264</v>
      </c>
      <c r="K81" s="9" t="s">
        <v>182</v>
      </c>
      <c r="L81" s="146" t="str">
        <f>IF(VLOOKUP($A81,Sheet1!$A$3:$AW$699,7,FALSE)="★","x","")</f>
        <v/>
      </c>
      <c r="M81" s="146" t="str">
        <f>IF(VLOOKUP($A81,Sheet1!$A$3:$AW$699,8,FALSE)="▲","x","")</f>
        <v/>
      </c>
      <c r="N81" s="146" t="str">
        <f>IF(VLOOKUP($A81,Sheet1!$A$3:$AW$699,9,FALSE)="●","x","")</f>
        <v/>
      </c>
      <c r="O81" s="146" t="str">
        <f>IF(VLOOKUP($A81,Sheet1!$A$3:$AW$699,10,FALSE)="■","x","")</f>
        <v/>
      </c>
      <c r="P81" s="9" t="str">
        <f>IF(VLOOKUP($A81,Sheet1!$A$3:$AW$699,2,FALSE)="","",VLOOKUP($A81,Sheet1!$A$3:$AW$699,2,FALSE))</f>
        <v>P4.017</v>
      </c>
    </row>
    <row r="82" spans="1:16" ht="20.399999999999999" x14ac:dyDescent="0.3">
      <c r="A82" s="9">
        <v>289</v>
      </c>
      <c r="B82" s="9" t="str">
        <f>IF(VLOOKUP($A82,Sheet1!$A$3:$AW$699,20,FALSE)="","",VLOOKUP($A82,Sheet1!$A$3:$AW$699,20,FALSE))</f>
        <v>IGBTNTCOffset</v>
      </c>
      <c r="C82" s="9" t="str">
        <f>IF(VLOOKUP($A82,Sheet1!$A$3:$AW$699,25,FALSE)="","",VLOOKUP($A82,Sheet1!$A$3:$AW$699,25,FALSE))</f>
        <v>All</v>
      </c>
      <c r="D82" s="142">
        <f>IF(VLOOKUP($A82,Sheet1!$A$3:$AW$699,15,FALSE)="","",VLOOKUP($A82,Sheet1!$A$3:$AW$699,15,FALSE))</f>
        <v>1</v>
      </c>
      <c r="E82" s="142">
        <f>IF(VLOOKUP($A82,Sheet1!$A$3:$AW$699,16,FALSE)="","",VLOOKUP($A82,Sheet1!$A$3:$AW$699,16,FALSE))</f>
        <v>4</v>
      </c>
      <c r="F82" s="142">
        <f>IF(VLOOKUP($A82,Sheet1!$A$3:$AW$699,17,FALSE)="","",VLOOKUP($A82,Sheet1!$A$3:$AW$699,17,FALSE))</f>
        <v>2</v>
      </c>
      <c r="G82" s="142" t="str">
        <f>IF(VLOOKUP($A82,Sheet1!$A$3:$AW$699,18,FALSE)="","",VLOOKUP($A82,Sheet1!$A$3:$AW$699,18,FALSE))</f>
        <v/>
      </c>
      <c r="H82" s="142" t="str">
        <f>IF(VLOOKUP($A82,Sheet1!$A$3:$AW$699,19,FALSE)="","",VLOOKUP($A82,Sheet1!$A$3:$AW$699,19,FALSE))</f>
        <v/>
      </c>
      <c r="I82" s="9" t="str">
        <f>IF(VLOOKUP($A82,Sheet1!$A$3:$AW$699,5,FALSE)="","",VLOOKUP($A82,Sheet1!$A$3:$AW$699,5,FALSE))</f>
        <v>INT</v>
      </c>
      <c r="J82" s="9" t="s">
        <v>265</v>
      </c>
      <c r="K82" s="9" t="s">
        <v>182</v>
      </c>
      <c r="L82" s="146" t="str">
        <f>IF(VLOOKUP($A82,Sheet1!$A$3:$AW$699,7,FALSE)="★","x","")</f>
        <v/>
      </c>
      <c r="M82" s="146" t="str">
        <f>IF(VLOOKUP($A82,Sheet1!$A$3:$AW$699,8,FALSE)="▲","x","")</f>
        <v/>
      </c>
      <c r="N82" s="146" t="str">
        <f>IF(VLOOKUP($A82,Sheet1!$A$3:$AW$699,9,FALSE)="●","x","")</f>
        <v/>
      </c>
      <c r="O82" s="146" t="str">
        <f>IF(VLOOKUP($A82,Sheet1!$A$3:$AW$699,10,FALSE)="■","x","")</f>
        <v/>
      </c>
      <c r="P82" s="9" t="str">
        <f>IF(VLOOKUP($A82,Sheet1!$A$3:$AW$699,2,FALSE)="","",VLOOKUP($A82,Sheet1!$A$3:$AW$699,2,FALSE))</f>
        <v>P4.019</v>
      </c>
    </row>
    <row r="83" spans="1:16" ht="20.399999999999999" x14ac:dyDescent="0.3">
      <c r="A83" s="9">
        <v>290</v>
      </c>
      <c r="B83" s="9" t="str">
        <f>IF(VLOOKUP($A83,Sheet1!$A$3:$AW$699,20,FALSE)="","",VLOOKUP($A83,Sheet1!$A$3:$AW$699,20,FALSE))</f>
        <v>AnalogOutput1Offset</v>
      </c>
      <c r="C83" s="9" t="str">
        <f>IF(VLOOKUP($A83,Sheet1!$A$3:$AW$699,25,FALSE)="","",VLOOKUP($A83,Sheet1!$A$3:$AW$699,25,FALSE))</f>
        <v>All</v>
      </c>
      <c r="D83" s="142">
        <f>IF(VLOOKUP($A83,Sheet1!$A$3:$AW$699,15,FALSE)="","",VLOOKUP($A83,Sheet1!$A$3:$AW$699,15,FALSE))</f>
        <v>-800</v>
      </c>
      <c r="E83" s="142">
        <f>IF(VLOOKUP($A83,Sheet1!$A$3:$AW$699,16,FALSE)="","",VLOOKUP($A83,Sheet1!$A$3:$AW$699,16,FALSE))</f>
        <v>800</v>
      </c>
      <c r="F83" s="142">
        <f>IF(VLOOKUP($A83,Sheet1!$A$3:$AW$699,17,FALSE)="","",VLOOKUP($A83,Sheet1!$A$3:$AW$699,17,FALSE))</f>
        <v>0</v>
      </c>
      <c r="G83" s="142" t="str">
        <f>IF(VLOOKUP($A83,Sheet1!$A$3:$AW$699,18,FALSE)="","",VLOOKUP($A83,Sheet1!$A$3:$AW$699,18,FALSE))</f>
        <v/>
      </c>
      <c r="H83" s="142" t="str">
        <f>IF(VLOOKUP($A83,Sheet1!$A$3:$AW$699,19,FALSE)="","",VLOOKUP($A83,Sheet1!$A$3:$AW$699,19,FALSE))</f>
        <v>mV</v>
      </c>
      <c r="I83" s="9" t="str">
        <f>IF(VLOOKUP($A83,Sheet1!$A$3:$AW$699,5,FALSE)="","",VLOOKUP($A83,Sheet1!$A$3:$AW$699,5,FALSE))</f>
        <v>INT</v>
      </c>
      <c r="J83" s="9" t="s">
        <v>266</v>
      </c>
      <c r="K83" s="9" t="s">
        <v>182</v>
      </c>
      <c r="L83" s="146" t="str">
        <f>IF(VLOOKUP($A83,Sheet1!$A$3:$AW$699,7,FALSE)="★","x","")</f>
        <v/>
      </c>
      <c r="M83" s="146" t="str">
        <f>IF(VLOOKUP($A83,Sheet1!$A$3:$AW$699,8,FALSE)="▲","x","")</f>
        <v/>
      </c>
      <c r="N83" s="146" t="str">
        <f>IF(VLOOKUP($A83,Sheet1!$A$3:$AW$699,9,FALSE)="●","x","")</f>
        <v/>
      </c>
      <c r="O83" s="146" t="str">
        <f>IF(VLOOKUP($A83,Sheet1!$A$3:$AW$699,10,FALSE)="■","x","")</f>
        <v/>
      </c>
      <c r="P83" s="9" t="str">
        <f>IF(VLOOKUP($A83,Sheet1!$A$3:$AW$699,2,FALSE)="","",VLOOKUP($A83,Sheet1!$A$3:$AW$699,2,FALSE))</f>
        <v>P4.020</v>
      </c>
    </row>
    <row r="84" spans="1:16" ht="20.399999999999999" x14ac:dyDescent="0.3">
      <c r="A84" s="9">
        <v>291</v>
      </c>
      <c r="B84" s="9" t="str">
        <f>IF(VLOOKUP($A84,Sheet1!$A$3:$AW$699,20,FALSE)="","",VLOOKUP($A84,Sheet1!$A$3:$AW$699,20,FALSE))</f>
        <v>AnalogOutput2Offset</v>
      </c>
      <c r="C84" s="9" t="str">
        <f>IF(VLOOKUP($A84,Sheet1!$A$3:$AW$699,25,FALSE)="","",VLOOKUP($A84,Sheet1!$A$3:$AW$699,25,FALSE))</f>
        <v>All</v>
      </c>
      <c r="D84" s="142">
        <f>IF(VLOOKUP($A84,Sheet1!$A$3:$AW$699,15,FALSE)="","",VLOOKUP($A84,Sheet1!$A$3:$AW$699,15,FALSE))</f>
        <v>-800</v>
      </c>
      <c r="E84" s="142">
        <f>IF(VLOOKUP($A84,Sheet1!$A$3:$AW$699,16,FALSE)="","",VLOOKUP($A84,Sheet1!$A$3:$AW$699,16,FALSE))</f>
        <v>800</v>
      </c>
      <c r="F84" s="142">
        <f>IF(VLOOKUP($A84,Sheet1!$A$3:$AW$699,17,FALSE)="","",VLOOKUP($A84,Sheet1!$A$3:$AW$699,17,FALSE))</f>
        <v>0</v>
      </c>
      <c r="G84" s="142" t="str">
        <f>IF(VLOOKUP($A84,Sheet1!$A$3:$AW$699,18,FALSE)="","",VLOOKUP($A84,Sheet1!$A$3:$AW$699,18,FALSE))</f>
        <v/>
      </c>
      <c r="H84" s="142" t="str">
        <f>IF(VLOOKUP($A84,Sheet1!$A$3:$AW$699,19,FALSE)="","",VLOOKUP($A84,Sheet1!$A$3:$AW$699,19,FALSE))</f>
        <v>mV</v>
      </c>
      <c r="I84" s="9" t="str">
        <f>IF(VLOOKUP($A84,Sheet1!$A$3:$AW$699,5,FALSE)="","",VLOOKUP($A84,Sheet1!$A$3:$AW$699,5,FALSE))</f>
        <v>INT</v>
      </c>
      <c r="J84" s="9" t="s">
        <v>267</v>
      </c>
      <c r="K84" s="9" t="s">
        <v>182</v>
      </c>
      <c r="L84" s="146" t="str">
        <f>IF(VLOOKUP($A84,Sheet1!$A$3:$AW$699,7,FALSE)="★","x","")</f>
        <v/>
      </c>
      <c r="M84" s="146" t="str">
        <f>IF(VLOOKUP($A84,Sheet1!$A$3:$AW$699,8,FALSE)="▲","x","")</f>
        <v/>
      </c>
      <c r="N84" s="146" t="str">
        <f>IF(VLOOKUP($A84,Sheet1!$A$3:$AW$699,9,FALSE)="●","x","")</f>
        <v/>
      </c>
      <c r="O84" s="146" t="str">
        <f>IF(VLOOKUP($A84,Sheet1!$A$3:$AW$699,10,FALSE)="■","x","")</f>
        <v/>
      </c>
      <c r="P84" s="9" t="str">
        <f>IF(VLOOKUP($A84,Sheet1!$A$3:$AW$699,2,FALSE)="","",VLOOKUP($A84,Sheet1!$A$3:$AW$699,2,FALSE))</f>
        <v>P4.021</v>
      </c>
    </row>
    <row r="85" spans="1:16" ht="20.399999999999999" x14ac:dyDescent="0.3">
      <c r="A85" s="9">
        <v>292</v>
      </c>
      <c r="B85" s="9" t="str">
        <f>IF(VLOOKUP($A85,Sheet1!$A$3:$AW$699,20,FALSE)="","",VLOOKUP($A85,Sheet1!$A$3:$AW$699,20,FALSE))</f>
        <v>UserAnalogToVelocityOffset</v>
      </c>
      <c r="C85" s="9" t="str">
        <f>IF(VLOOKUP($A85,Sheet1!$A$3:$AW$699,25,FALSE)="","",VLOOKUP($A85,Sheet1!$A$3:$AW$699,25,FALSE))</f>
        <v>S</v>
      </c>
      <c r="D85" s="142">
        <f>IF(VLOOKUP($A85,Sheet1!$A$3:$AW$699,15,FALSE)="","",VLOOKUP($A85,Sheet1!$A$3:$AW$699,15,FALSE))</f>
        <v>-5000</v>
      </c>
      <c r="E85" s="142">
        <f>IF(VLOOKUP($A85,Sheet1!$A$3:$AW$699,16,FALSE)="","",VLOOKUP($A85,Sheet1!$A$3:$AW$699,16,FALSE))</f>
        <v>5000</v>
      </c>
      <c r="F85" s="142">
        <f>IF(VLOOKUP($A85,Sheet1!$A$3:$AW$699,17,FALSE)="","",VLOOKUP($A85,Sheet1!$A$3:$AW$699,17,FALSE))</f>
        <v>0</v>
      </c>
      <c r="G85" s="142" t="str">
        <f>IF(VLOOKUP($A85,Sheet1!$A$3:$AW$699,18,FALSE)="","",VLOOKUP($A85,Sheet1!$A$3:$AW$699,18,FALSE))</f>
        <v/>
      </c>
      <c r="H85" s="142" t="str">
        <f>IF(VLOOKUP($A85,Sheet1!$A$3:$AW$699,19,FALSE)="","",VLOOKUP($A85,Sheet1!$A$3:$AW$699,19,FALSE))</f>
        <v>mV</v>
      </c>
      <c r="I85" s="9" t="str">
        <f>IF(VLOOKUP($A85,Sheet1!$A$3:$AW$699,5,FALSE)="","",VLOOKUP($A85,Sheet1!$A$3:$AW$699,5,FALSE))</f>
        <v>INT</v>
      </c>
      <c r="J85" s="9" t="s">
        <v>268</v>
      </c>
      <c r="K85" s="9" t="s">
        <v>182</v>
      </c>
      <c r="L85" s="146" t="str">
        <f>IF(VLOOKUP($A85,Sheet1!$A$3:$AW$699,7,FALSE)="★","x","")</f>
        <v/>
      </c>
      <c r="M85" s="146" t="str">
        <f>IF(VLOOKUP($A85,Sheet1!$A$3:$AW$699,8,FALSE)="▲","x","")</f>
        <v/>
      </c>
      <c r="N85" s="146" t="str">
        <f>IF(VLOOKUP($A85,Sheet1!$A$3:$AW$699,9,FALSE)="●","x","")</f>
        <v/>
      </c>
      <c r="O85" s="146" t="str">
        <f>IF(VLOOKUP($A85,Sheet1!$A$3:$AW$699,10,FALSE)="■","x","")</f>
        <v/>
      </c>
      <c r="P85" s="9" t="str">
        <f>IF(VLOOKUP($A85,Sheet1!$A$3:$AW$699,2,FALSE)="","",VLOOKUP($A85,Sheet1!$A$3:$AW$699,2,FALSE))</f>
        <v>P4.022</v>
      </c>
    </row>
    <row r="86" spans="1:16" ht="20.399999999999999" x14ac:dyDescent="0.3">
      <c r="A86" s="9">
        <v>293</v>
      </c>
      <c r="B86" s="9" t="str">
        <f>IF(VLOOKUP($A86,Sheet1!$A$3:$AW$699,20,FALSE)="","",VLOOKUP($A86,Sheet1!$A$3:$AW$699,20,FALSE))</f>
        <v>UserAnalogToTorqueOffset</v>
      </c>
      <c r="C86" s="9" t="str">
        <f>IF(VLOOKUP($A86,Sheet1!$A$3:$AW$699,25,FALSE)="","",VLOOKUP($A86,Sheet1!$A$3:$AW$699,25,FALSE))</f>
        <v>T</v>
      </c>
      <c r="D86" s="142">
        <f>IF(VLOOKUP($A86,Sheet1!$A$3:$AW$699,15,FALSE)="","",VLOOKUP($A86,Sheet1!$A$3:$AW$699,15,FALSE))</f>
        <v>-5000</v>
      </c>
      <c r="E86" s="142">
        <f>IF(VLOOKUP($A86,Sheet1!$A$3:$AW$699,16,FALSE)="","",VLOOKUP($A86,Sheet1!$A$3:$AW$699,16,FALSE))</f>
        <v>5000</v>
      </c>
      <c r="F86" s="142">
        <f>IF(VLOOKUP($A86,Sheet1!$A$3:$AW$699,17,FALSE)="","",VLOOKUP($A86,Sheet1!$A$3:$AW$699,17,FALSE))</f>
        <v>0</v>
      </c>
      <c r="G86" s="142" t="str">
        <f>IF(VLOOKUP($A86,Sheet1!$A$3:$AW$699,18,FALSE)="","",VLOOKUP($A86,Sheet1!$A$3:$AW$699,18,FALSE))</f>
        <v/>
      </c>
      <c r="H86" s="142" t="str">
        <f>IF(VLOOKUP($A86,Sheet1!$A$3:$AW$699,19,FALSE)="","",VLOOKUP($A86,Sheet1!$A$3:$AW$699,19,FALSE))</f>
        <v>mV</v>
      </c>
      <c r="I86" s="9" t="str">
        <f>IF(VLOOKUP($A86,Sheet1!$A$3:$AW$699,5,FALSE)="","",VLOOKUP($A86,Sheet1!$A$3:$AW$699,5,FALSE))</f>
        <v>INT</v>
      </c>
      <c r="J86" s="9" t="s">
        <v>269</v>
      </c>
      <c r="K86" s="9" t="s">
        <v>182</v>
      </c>
      <c r="L86" s="146" t="str">
        <f>IF(VLOOKUP($A86,Sheet1!$A$3:$AW$699,7,FALSE)="★","x","")</f>
        <v/>
      </c>
      <c r="M86" s="146" t="str">
        <f>IF(VLOOKUP($A86,Sheet1!$A$3:$AW$699,8,FALSE)="▲","x","")</f>
        <v/>
      </c>
      <c r="N86" s="146" t="str">
        <f>IF(VLOOKUP($A86,Sheet1!$A$3:$AW$699,9,FALSE)="●","x","")</f>
        <v/>
      </c>
      <c r="O86" s="146" t="str">
        <f>IF(VLOOKUP($A86,Sheet1!$A$3:$AW$699,10,FALSE)="■","x","")</f>
        <v/>
      </c>
      <c r="P86" s="9" t="str">
        <f>IF(VLOOKUP($A86,Sheet1!$A$3:$AW$699,2,FALSE)="","",VLOOKUP($A86,Sheet1!$A$3:$AW$699,2,FALSE))</f>
        <v>P4.023</v>
      </c>
    </row>
    <row r="87" spans="1:16" x14ac:dyDescent="0.3">
      <c r="A87" s="9">
        <v>295</v>
      </c>
      <c r="B87" s="9" t="str">
        <f>IF(VLOOKUP($A87,Sheet1!$A$3:$AW$699,20,FALSE)="","",VLOOKUP($A87,Sheet1!$A$3:$AW$699,20,FALSE))</f>
        <v>DSPFwSubVer</v>
      </c>
      <c r="C87" s="9" t="str">
        <f>IF(VLOOKUP($A87,Sheet1!$A$3:$AW$699,25,FALSE)="","",VLOOKUP($A87,Sheet1!$A$3:$AW$699,25,FALSE))</f>
        <v>All</v>
      </c>
      <c r="D87" s="142">
        <f>IF(VLOOKUP($A87,Sheet1!$A$3:$AW$699,15,FALSE)="","",VLOOKUP($A87,Sheet1!$A$3:$AW$699,15,FALSE))</f>
        <v>-2147483648</v>
      </c>
      <c r="E87" s="142">
        <f>IF(VLOOKUP($A87,Sheet1!$A$3:$AW$699,16,FALSE)="","",VLOOKUP($A87,Sheet1!$A$3:$AW$699,16,FALSE))</f>
        <v>2147483647</v>
      </c>
      <c r="F87" s="142">
        <f>IF(VLOOKUP($A87,Sheet1!$A$3:$AW$699,17,FALSE)="","",VLOOKUP($A87,Sheet1!$A$3:$AW$699,17,FALSE))</f>
        <v>0</v>
      </c>
      <c r="G87" s="142" t="str">
        <f>IF(VLOOKUP($A87,Sheet1!$A$3:$AW$699,18,FALSE)="","",VLOOKUP($A87,Sheet1!$A$3:$AW$699,18,FALSE))</f>
        <v/>
      </c>
      <c r="H87" s="142" t="str">
        <f>IF(VLOOKUP($A87,Sheet1!$A$3:$AW$699,19,FALSE)="","",VLOOKUP($A87,Sheet1!$A$3:$AW$699,19,FALSE))</f>
        <v/>
      </c>
      <c r="I87" s="9" t="str">
        <f>IF(VLOOKUP($A87,Sheet1!$A$3:$AW$699,5,FALSE)="","",VLOOKUP($A87,Sheet1!$A$3:$AW$699,5,FALSE))</f>
        <v>DINT</v>
      </c>
      <c r="J87" s="9" t="s">
        <v>270</v>
      </c>
      <c r="K87" s="9" t="s">
        <v>182</v>
      </c>
      <c r="L87" s="146" t="str">
        <f>IF(VLOOKUP($A87,Sheet1!$A$3:$AW$699,7,FALSE)="★","x","")</f>
        <v>x</v>
      </c>
      <c r="M87" s="146" t="str">
        <f>IF(VLOOKUP($A87,Sheet1!$A$3:$AW$699,8,FALSE)="▲","x","")</f>
        <v/>
      </c>
      <c r="N87" s="146" t="str">
        <f>IF(VLOOKUP($A87,Sheet1!$A$3:$AW$699,9,FALSE)="●","x","")</f>
        <v/>
      </c>
      <c r="O87" s="146" t="str">
        <f>IF(VLOOKUP($A87,Sheet1!$A$3:$AW$699,10,FALSE)="■","x","")</f>
        <v>x</v>
      </c>
      <c r="P87" s="9" t="str">
        <f>IF(VLOOKUP($A87,Sheet1!$A$3:$AW$699,2,FALSE)="","",VLOOKUP($A87,Sheet1!$A$3:$AW$699,2,FALSE))</f>
        <v>P5.000</v>
      </c>
    </row>
    <row r="88" spans="1:16" ht="91.8" x14ac:dyDescent="0.3">
      <c r="A88" s="9">
        <v>597</v>
      </c>
      <c r="B88" s="9" t="str">
        <f>IF(VLOOKUP($A88,Sheet1!$A$3:$AW$699,20,FALSE)="","",VLOOKUP($A88,Sheet1!$A$3:$AW$699,20,FALSE))</f>
        <v>MotorAutoIdentify</v>
      </c>
      <c r="C88" s="9" t="str">
        <f>IF(VLOOKUP($A88,Sheet1!$A$3:$AW$699,25,FALSE)="","",VLOOKUP($A88,Sheet1!$A$3:$AW$699,25,FALSE))</f>
        <v>All</v>
      </c>
      <c r="D88" s="142">
        <f>IF(VLOOKUP($A88,Sheet1!$A$3:$AW$699,15,FALSE)="","",VLOOKUP($A88,Sheet1!$A$3:$AW$699,15,FALSE))</f>
        <v>0</v>
      </c>
      <c r="E88" s="142">
        <f>IF(VLOOKUP($A88,Sheet1!$A$3:$AW$699,16,FALSE)="","",VLOOKUP($A88,Sheet1!$A$3:$AW$699,16,FALSE))</f>
        <v>8</v>
      </c>
      <c r="F88" s="142">
        <f>IF(VLOOKUP($A88,Sheet1!$A$3:$AW$699,17,FALSE)="","",VLOOKUP($A88,Sheet1!$A$3:$AW$699,17,FALSE))</f>
        <v>0</v>
      </c>
      <c r="G88" s="142" t="str">
        <f>IF(VLOOKUP($A88,Sheet1!$A$3:$AW$699,18,FALSE)="","",VLOOKUP($A88,Sheet1!$A$3:$AW$699,18,FALSE))</f>
        <v/>
      </c>
      <c r="H88" s="142" t="str">
        <f>IF(VLOOKUP($A88,Sheet1!$A$3:$AW$699,19,FALSE)="","",VLOOKUP($A88,Sheet1!$A$3:$AW$699,19,FALSE))</f>
        <v/>
      </c>
      <c r="I88" s="9" t="str">
        <f>IF(VLOOKUP($A88,Sheet1!$A$3:$AW$699,5,FALSE)="","",VLOOKUP($A88,Sheet1!$A$3:$AW$699,5,FALSE))</f>
        <v>INT</v>
      </c>
      <c r="J88" s="9" t="s">
        <v>271</v>
      </c>
      <c r="K88" s="9" t="s">
        <v>252</v>
      </c>
      <c r="L88" s="146" t="str">
        <f>IF(VLOOKUP($A88,Sheet1!$A$3:$AW$699,7,FALSE)="★","x","")</f>
        <v/>
      </c>
      <c r="M88" s="146" t="str">
        <f>IF(VLOOKUP($A88,Sheet1!$A$3:$AW$699,8,FALSE)="▲","x","")</f>
        <v>x</v>
      </c>
      <c r="N88" s="146" t="str">
        <f>IF(VLOOKUP($A88,Sheet1!$A$3:$AW$699,9,FALSE)="●","x","")</f>
        <v/>
      </c>
      <c r="O88" s="146" t="str">
        <f>IF(VLOOKUP($A88,Sheet1!$A$3:$AW$699,10,FALSE)="■","x","")</f>
        <v>x</v>
      </c>
      <c r="P88" s="9" t="str">
        <f>IF(VLOOKUP($A88,Sheet1!$A$3:$AW$699,2,FALSE)="","",VLOOKUP($A88,Sheet1!$A$3:$AW$699,2,FALSE))</f>
        <v>PM.001</v>
      </c>
    </row>
    <row r="89" spans="1:16" ht="40.799999999999997" x14ac:dyDescent="0.3">
      <c r="A89" s="9">
        <v>598</v>
      </c>
      <c r="B89" s="9" t="str">
        <f>IF(VLOOKUP($A89,Sheet1!$A$3:$AW$699,20,FALSE)="","",VLOOKUP($A89,Sheet1!$A$3:$AW$699,20,FALSE))</f>
        <v>MotorParameterConfirmation</v>
      </c>
      <c r="C89" s="9" t="str">
        <f>IF(VLOOKUP($A89,Sheet1!$A$3:$AW$699,25,FALSE)="","",VLOOKUP($A89,Sheet1!$A$3:$AW$699,25,FALSE))</f>
        <v>All</v>
      </c>
      <c r="D89" s="142">
        <f>IF(VLOOKUP($A89,Sheet1!$A$3:$AW$699,15,FALSE)="","",VLOOKUP($A89,Sheet1!$A$3:$AW$699,15,FALSE))</f>
        <v>0</v>
      </c>
      <c r="E89" s="142">
        <f>IF(VLOOKUP($A89,Sheet1!$A$3:$AW$699,16,FALSE)="","",VLOOKUP($A89,Sheet1!$A$3:$AW$699,16,FALSE))</f>
        <v>1</v>
      </c>
      <c r="F89" s="142">
        <f>IF(VLOOKUP($A89,Sheet1!$A$3:$AW$699,17,FALSE)="","",VLOOKUP($A89,Sheet1!$A$3:$AW$699,17,FALSE))</f>
        <v>0</v>
      </c>
      <c r="G89" s="142" t="str">
        <f>IF(VLOOKUP($A89,Sheet1!$A$3:$AW$699,18,FALSE)="","",VLOOKUP($A89,Sheet1!$A$3:$AW$699,18,FALSE))</f>
        <v/>
      </c>
      <c r="H89" s="142" t="str">
        <f>IF(VLOOKUP($A89,Sheet1!$A$3:$AW$699,19,FALSE)="","",VLOOKUP($A89,Sheet1!$A$3:$AW$699,19,FALSE))</f>
        <v/>
      </c>
      <c r="I89" s="9" t="str">
        <f>IF(VLOOKUP($A89,Sheet1!$A$3:$AW$699,5,FALSE)="","",VLOOKUP($A89,Sheet1!$A$3:$AW$699,5,FALSE))</f>
        <v>INT</v>
      </c>
      <c r="J89" s="9" t="s">
        <v>272</v>
      </c>
      <c r="K89" s="9" t="s">
        <v>182</v>
      </c>
      <c r="L89" s="146" t="str">
        <f>IF(VLOOKUP($A89,Sheet1!$A$3:$AW$699,7,FALSE)="★","x","")</f>
        <v>x</v>
      </c>
      <c r="M89" s="146" t="str">
        <f>IF(VLOOKUP($A89,Sheet1!$A$3:$AW$699,8,FALSE)="▲","x","")</f>
        <v>x</v>
      </c>
      <c r="N89" s="146" t="str">
        <f>IF(VLOOKUP($A89,Sheet1!$A$3:$AW$699,9,FALSE)="●","x","")</f>
        <v/>
      </c>
      <c r="O89" s="146" t="str">
        <f>IF(VLOOKUP($A89,Sheet1!$A$3:$AW$699,10,FALSE)="■","x","")</f>
        <v/>
      </c>
      <c r="P89" s="9" t="str">
        <f>IF(VLOOKUP($A89,Sheet1!$A$3:$AW$699,2,FALSE)="","",VLOOKUP($A89,Sheet1!$A$3:$AW$699,2,FALSE))</f>
        <v>PM.002</v>
      </c>
    </row>
    <row r="90" spans="1:16" x14ac:dyDescent="0.3">
      <c r="A90" s="9">
        <v>624</v>
      </c>
      <c r="B90" s="9" t="str">
        <f>IF(VLOOKUP($A90,Sheet1!$A$3:$AW$699,20,FALSE)="","",VLOOKUP($A90,Sheet1!$A$3:$AW$699,20,FALSE))</f>
        <v>Reserved623</v>
      </c>
      <c r="C90" s="9" t="str">
        <f>IF(VLOOKUP($A90,Sheet1!$A$3:$AW$699,25,FALSE)="","",VLOOKUP($A90,Sheet1!$A$3:$AW$699,25,FALSE))</f>
        <v>All</v>
      </c>
      <c r="D90" s="142">
        <f>IF(VLOOKUP($A90,Sheet1!$A$3:$AW$699,15,FALSE)="","",VLOOKUP($A90,Sheet1!$A$3:$AW$699,15,FALSE))</f>
        <v>0</v>
      </c>
      <c r="E90" s="142" t="str">
        <f>IF(VLOOKUP($A90,Sheet1!$A$3:$AW$699,16,FALSE)="","",VLOOKUP($A90,Sheet1!$A$3:$AW$699,16,FALSE))</f>
        <v>0xFFFF</v>
      </c>
      <c r="F90" s="142">
        <f>IF(VLOOKUP($A90,Sheet1!$A$3:$AW$699,17,FALSE)="","",VLOOKUP($A90,Sheet1!$A$3:$AW$699,17,FALSE))</f>
        <v>0</v>
      </c>
      <c r="G90" s="142" t="str">
        <f>IF(VLOOKUP($A90,Sheet1!$A$3:$AW$699,18,FALSE)="","",VLOOKUP($A90,Sheet1!$A$3:$AW$699,18,FALSE))</f>
        <v/>
      </c>
      <c r="H90" s="142" t="str">
        <f>IF(VLOOKUP($A90,Sheet1!$A$3:$AW$699,19,FALSE)="","",VLOOKUP($A90,Sheet1!$A$3:$AW$699,19,FALSE))</f>
        <v/>
      </c>
      <c r="I90" s="9" t="str">
        <f>IF(VLOOKUP($A90,Sheet1!$A$3:$AW$699,5,FALSE)="","",VLOOKUP($A90,Sheet1!$A$3:$AW$699,5,FALSE))</f>
        <v>INT</v>
      </c>
      <c r="J90" s="9" t="s">
        <v>273</v>
      </c>
      <c r="K90" s="9" t="s">
        <v>182</v>
      </c>
      <c r="L90" s="146" t="str">
        <f>IF(VLOOKUP($A90,Sheet1!$A$3:$AW$699,7,FALSE)="★","x","")</f>
        <v>x</v>
      </c>
      <c r="M90" s="146" t="str">
        <f>IF(VLOOKUP($A90,Sheet1!$A$3:$AW$699,8,FALSE)="▲","x","")</f>
        <v/>
      </c>
      <c r="N90" s="146" t="str">
        <f>IF(VLOOKUP($A90,Sheet1!$A$3:$AW$699,9,FALSE)="●","x","")</f>
        <v/>
      </c>
      <c r="O90" s="146" t="str">
        <f>IF(VLOOKUP($A90,Sheet1!$A$3:$AW$699,10,FALSE)="■","x","")</f>
        <v/>
      </c>
      <c r="P90" s="9" t="str">
        <f>IF(VLOOKUP($A90,Sheet1!$A$3:$AW$699,2,FALSE)="","",VLOOKUP($A90,Sheet1!$A$3:$AW$699,2,FALSE))</f>
        <v>PM.090</v>
      </c>
    </row>
    <row r="91" spans="1:16" x14ac:dyDescent="0.3">
      <c r="A91" s="9">
        <v>625</v>
      </c>
      <c r="B91" s="9" t="str">
        <f>IF(VLOOKUP($A91,Sheet1!$A$3:$AW$699,20,FALSE)="","",VLOOKUP($A91,Sheet1!$A$3:$AW$699,20,FALSE))</f>
        <v>Reserved624</v>
      </c>
      <c r="C91" s="9" t="str">
        <f>IF(VLOOKUP($A91,Sheet1!$A$3:$AW$699,25,FALSE)="","",VLOOKUP($A91,Sheet1!$A$3:$AW$699,25,FALSE))</f>
        <v>All</v>
      </c>
      <c r="D91" s="142">
        <f>IF(VLOOKUP($A91,Sheet1!$A$3:$AW$699,15,FALSE)="","",VLOOKUP($A91,Sheet1!$A$3:$AW$699,15,FALSE))</f>
        <v>0</v>
      </c>
      <c r="E91" s="142" t="str">
        <f>IF(VLOOKUP($A91,Sheet1!$A$3:$AW$699,16,FALSE)="","",VLOOKUP($A91,Sheet1!$A$3:$AW$699,16,FALSE))</f>
        <v>0xFFFF</v>
      </c>
      <c r="F91" s="142">
        <f>IF(VLOOKUP($A91,Sheet1!$A$3:$AW$699,17,FALSE)="","",VLOOKUP($A91,Sheet1!$A$3:$AW$699,17,FALSE))</f>
        <v>0</v>
      </c>
      <c r="G91" s="142" t="str">
        <f>IF(VLOOKUP($A91,Sheet1!$A$3:$AW$699,18,FALSE)="","",VLOOKUP($A91,Sheet1!$A$3:$AW$699,18,FALSE))</f>
        <v/>
      </c>
      <c r="H91" s="142" t="str">
        <f>IF(VLOOKUP($A91,Sheet1!$A$3:$AW$699,19,FALSE)="","",VLOOKUP($A91,Sheet1!$A$3:$AW$699,19,FALSE))</f>
        <v/>
      </c>
      <c r="I91" s="9" t="str">
        <f>IF(VLOOKUP($A91,Sheet1!$A$3:$AW$699,5,FALSE)="","",VLOOKUP($A91,Sheet1!$A$3:$AW$699,5,FALSE))</f>
        <v>INT</v>
      </c>
      <c r="J91" s="9" t="s">
        <v>273</v>
      </c>
      <c r="K91" s="9" t="s">
        <v>182</v>
      </c>
      <c r="L91" s="146" t="str">
        <f>IF(VLOOKUP($A91,Sheet1!$A$3:$AW$699,7,FALSE)="★","x","")</f>
        <v>x</v>
      </c>
      <c r="M91" s="146" t="str">
        <f>IF(VLOOKUP($A91,Sheet1!$A$3:$AW$699,8,FALSE)="▲","x","")</f>
        <v/>
      </c>
      <c r="N91" s="146" t="str">
        <f>IF(VLOOKUP($A91,Sheet1!$A$3:$AW$699,9,FALSE)="●","x","")</f>
        <v/>
      </c>
      <c r="O91" s="146" t="str">
        <f>IF(VLOOKUP($A91,Sheet1!$A$3:$AW$699,10,FALSE)="■","x","")</f>
        <v/>
      </c>
      <c r="P91" s="9" t="str">
        <f>IF(VLOOKUP($A91,Sheet1!$A$3:$AW$699,2,FALSE)="","",VLOOKUP($A91,Sheet1!$A$3:$AW$699,2,FALSE))</f>
        <v>PM.091</v>
      </c>
    </row>
    <row r="92" spans="1:16" x14ac:dyDescent="0.3">
      <c r="A92" s="9">
        <v>626</v>
      </c>
      <c r="B92" s="9" t="str">
        <f>IF(VLOOKUP($A92,Sheet1!$A$3:$AW$699,20,FALSE)="","",VLOOKUP($A92,Sheet1!$A$3:$AW$699,20,FALSE))</f>
        <v>Reserved625</v>
      </c>
      <c r="C92" s="9" t="str">
        <f>IF(VLOOKUP($A92,Sheet1!$A$3:$AW$699,25,FALSE)="","",VLOOKUP($A92,Sheet1!$A$3:$AW$699,25,FALSE))</f>
        <v>All</v>
      </c>
      <c r="D92" s="142">
        <f>IF(VLOOKUP($A92,Sheet1!$A$3:$AW$699,15,FALSE)="","",VLOOKUP($A92,Sheet1!$A$3:$AW$699,15,FALSE))</f>
        <v>0</v>
      </c>
      <c r="E92" s="142" t="str">
        <f>IF(VLOOKUP($A92,Sheet1!$A$3:$AW$699,16,FALSE)="","",VLOOKUP($A92,Sheet1!$A$3:$AW$699,16,FALSE))</f>
        <v>0xFFFF</v>
      </c>
      <c r="F92" s="142">
        <f>IF(VLOOKUP($A92,Sheet1!$A$3:$AW$699,17,FALSE)="","",VLOOKUP($A92,Sheet1!$A$3:$AW$699,17,FALSE))</f>
        <v>0</v>
      </c>
      <c r="G92" s="142" t="str">
        <f>IF(VLOOKUP($A92,Sheet1!$A$3:$AW$699,18,FALSE)="","",VLOOKUP($A92,Sheet1!$A$3:$AW$699,18,FALSE))</f>
        <v/>
      </c>
      <c r="H92" s="142" t="str">
        <f>IF(VLOOKUP($A92,Sheet1!$A$3:$AW$699,19,FALSE)="","",VLOOKUP($A92,Sheet1!$A$3:$AW$699,19,FALSE))</f>
        <v/>
      </c>
      <c r="I92" s="9" t="str">
        <f>IF(VLOOKUP($A92,Sheet1!$A$3:$AW$699,5,FALSE)="","",VLOOKUP($A92,Sheet1!$A$3:$AW$699,5,FALSE))</f>
        <v>INT</v>
      </c>
      <c r="J92" s="9" t="s">
        <v>273</v>
      </c>
      <c r="K92" s="9" t="s">
        <v>182</v>
      </c>
      <c r="L92" s="146" t="str">
        <f>IF(VLOOKUP($A92,Sheet1!$A$3:$AW$699,7,FALSE)="★","x","")</f>
        <v>x</v>
      </c>
      <c r="M92" s="146" t="str">
        <f>IF(VLOOKUP($A92,Sheet1!$A$3:$AW$699,8,FALSE)="▲","x","")</f>
        <v/>
      </c>
      <c r="N92" s="146" t="str">
        <f>IF(VLOOKUP($A92,Sheet1!$A$3:$AW$699,9,FALSE)="●","x","")</f>
        <v/>
      </c>
      <c r="O92" s="146" t="str">
        <f>IF(VLOOKUP($A92,Sheet1!$A$3:$AW$699,10,FALSE)="■","x","")</f>
        <v/>
      </c>
      <c r="P92" s="9" t="str">
        <f>IF(VLOOKUP($A92,Sheet1!$A$3:$AW$699,2,FALSE)="","",VLOOKUP($A92,Sheet1!$A$3:$AW$699,2,FALSE))</f>
        <v>PM.092</v>
      </c>
    </row>
    <row r="93" spans="1:16" x14ac:dyDescent="0.3">
      <c r="A93" s="9">
        <v>627</v>
      </c>
      <c r="B93" s="9" t="str">
        <f>IF(VLOOKUP($A93,Sheet1!$A$3:$AW$699,20,FALSE)="","",VLOOKUP($A93,Sheet1!$A$3:$AW$699,20,FALSE))</f>
        <v>Reserved626</v>
      </c>
      <c r="C93" s="9" t="str">
        <f>IF(VLOOKUP($A93,Sheet1!$A$3:$AW$699,25,FALSE)="","",VLOOKUP($A93,Sheet1!$A$3:$AW$699,25,FALSE))</f>
        <v>All</v>
      </c>
      <c r="D93" s="142">
        <f>IF(VLOOKUP($A93,Sheet1!$A$3:$AW$699,15,FALSE)="","",VLOOKUP($A93,Sheet1!$A$3:$AW$699,15,FALSE))</f>
        <v>0</v>
      </c>
      <c r="E93" s="142" t="str">
        <f>IF(VLOOKUP($A93,Sheet1!$A$3:$AW$699,16,FALSE)="","",VLOOKUP($A93,Sheet1!$A$3:$AW$699,16,FALSE))</f>
        <v>0xFFFF</v>
      </c>
      <c r="F93" s="142">
        <f>IF(VLOOKUP($A93,Sheet1!$A$3:$AW$699,17,FALSE)="","",VLOOKUP($A93,Sheet1!$A$3:$AW$699,17,FALSE))</f>
        <v>0</v>
      </c>
      <c r="G93" s="142" t="str">
        <f>IF(VLOOKUP($A93,Sheet1!$A$3:$AW$699,18,FALSE)="","",VLOOKUP($A93,Sheet1!$A$3:$AW$699,18,FALSE))</f>
        <v/>
      </c>
      <c r="H93" s="142" t="str">
        <f>IF(VLOOKUP($A93,Sheet1!$A$3:$AW$699,19,FALSE)="","",VLOOKUP($A93,Sheet1!$A$3:$AW$699,19,FALSE))</f>
        <v/>
      </c>
      <c r="I93" s="9" t="str">
        <f>IF(VLOOKUP($A93,Sheet1!$A$3:$AW$699,5,FALSE)="","",VLOOKUP($A93,Sheet1!$A$3:$AW$699,5,FALSE))</f>
        <v>INT</v>
      </c>
      <c r="J93" s="9" t="s">
        <v>273</v>
      </c>
      <c r="K93" s="9" t="s">
        <v>182</v>
      </c>
      <c r="L93" s="146" t="str">
        <f>IF(VLOOKUP($A93,Sheet1!$A$3:$AW$699,7,FALSE)="★","x","")</f>
        <v>x</v>
      </c>
      <c r="M93" s="146" t="str">
        <f>IF(VLOOKUP($A93,Sheet1!$A$3:$AW$699,8,FALSE)="▲","x","")</f>
        <v/>
      </c>
      <c r="N93" s="146" t="str">
        <f>IF(VLOOKUP($A93,Sheet1!$A$3:$AW$699,9,FALSE)="●","x","")</f>
        <v/>
      </c>
      <c r="O93" s="146" t="str">
        <f>IF(VLOOKUP($A93,Sheet1!$A$3:$AW$699,10,FALSE)="■","x","")</f>
        <v/>
      </c>
      <c r="P93" s="9" t="str">
        <f>IF(VLOOKUP($A93,Sheet1!$A$3:$AW$699,2,FALSE)="","",VLOOKUP($A93,Sheet1!$A$3:$AW$699,2,FALSE))</f>
        <v>PM.093</v>
      </c>
    </row>
    <row r="94" spans="1:16" ht="91.8" x14ac:dyDescent="0.3">
      <c r="A94" s="9">
        <v>675</v>
      </c>
      <c r="B94" s="9" t="str">
        <f>IF(VLOOKUP($A94,Sheet1!$A$3:$AW$699,20,FALSE)="","",VLOOKUP($A94,Sheet1!$A$3:$AW$699,20,FALSE))</f>
        <v>MotorStopMode</v>
      </c>
      <c r="C94" s="9" t="str">
        <f>IF(VLOOKUP($A94,Sheet1!$A$3:$AW$699,25,FALSE)="","",VLOOKUP($A94,Sheet1!$A$3:$AW$699,25,FALSE))</f>
        <v>All</v>
      </c>
      <c r="D94" s="142">
        <f>IF(VLOOKUP($A94,Sheet1!$A$3:$AW$699,15,FALSE)="","",VLOOKUP($A94,Sheet1!$A$3:$AW$699,15,FALSE))</f>
        <v>0</v>
      </c>
      <c r="E94" s="142" t="str">
        <f>IF(VLOOKUP($A94,Sheet1!$A$3:$AW$699,16,FALSE)="","",VLOOKUP($A94,Sheet1!$A$3:$AW$699,16,FALSE))</f>
        <v>0x0030</v>
      </c>
      <c r="F94" s="142" t="str">
        <f>IF(VLOOKUP($A94,Sheet1!$A$3:$AW$699,17,FALSE)="","",VLOOKUP($A94,Sheet1!$A$3:$AW$699,17,FALSE))</f>
        <v>0x0010</v>
      </c>
      <c r="G94" s="142" t="str">
        <f>IF(VLOOKUP($A94,Sheet1!$A$3:$AW$699,18,FALSE)="","",VLOOKUP($A94,Sheet1!$A$3:$AW$699,18,FALSE))</f>
        <v/>
      </c>
      <c r="H94" s="142" t="str">
        <f>IF(VLOOKUP($A94,Sheet1!$A$3:$AW$699,19,FALSE)="","",VLOOKUP($A94,Sheet1!$A$3:$AW$699,19,FALSE))</f>
        <v/>
      </c>
      <c r="I94" s="9" t="str">
        <f>IF(VLOOKUP($A94,Sheet1!$A$3:$AW$699,5,FALSE)="","",VLOOKUP($A94,Sheet1!$A$3:$AW$699,5,FALSE))</f>
        <v>UINT</v>
      </c>
      <c r="J94" s="9" t="s">
        <v>274</v>
      </c>
      <c r="K94" s="9" t="s">
        <v>206</v>
      </c>
      <c r="L94" s="146" t="str">
        <f>IF(VLOOKUP($A94,Sheet1!$A$3:$AW$699,7,FALSE)="★","x","")</f>
        <v/>
      </c>
      <c r="M94" s="146" t="str">
        <f>IF(VLOOKUP($A94,Sheet1!$A$3:$AW$699,8,FALSE)="▲","x","")</f>
        <v>x</v>
      </c>
      <c r="N94" s="146" t="str">
        <f>IF(VLOOKUP($A94,Sheet1!$A$3:$AW$699,9,FALSE)="●","x","")</f>
        <v/>
      </c>
      <c r="O94" s="146" t="str">
        <f>IF(VLOOKUP($A94,Sheet1!$A$3:$AW$699,10,FALSE)="■","x","")</f>
        <v/>
      </c>
      <c r="P94" s="9" t="str">
        <f>IF(VLOOKUP($A94,Sheet1!$A$3:$AW$699,2,FALSE)="","",VLOOKUP($A94,Sheet1!$A$3:$AW$699,2,FALSE))</f>
        <v>P1.032</v>
      </c>
    </row>
    <row r="95" spans="1:16" ht="20.399999999999999" x14ac:dyDescent="0.3">
      <c r="A95" s="9">
        <v>678</v>
      </c>
      <c r="B95" s="9" t="str">
        <f>IF(VLOOKUP($A95,Sheet1!$A$3:$AW$699,20,FALSE)="","",VLOOKUP($A95,Sheet1!$A$3:$AW$699,20,FALSE))</f>
        <v>HomingCollisionTorqueLimitOffset</v>
      </c>
      <c r="C95" s="9" t="str">
        <f>IF(VLOOKUP($A95,Sheet1!$A$3:$AW$699,25,FALSE)="","",VLOOKUP($A95,Sheet1!$A$3:$AW$699,25,FALSE))</f>
        <v>All</v>
      </c>
      <c r="D95" s="142">
        <f>IF(VLOOKUP($A95,Sheet1!$A$3:$AW$699,15,FALSE)="","",VLOOKUP($A95,Sheet1!$A$3:$AW$699,15,FALSE))</f>
        <v>-300</v>
      </c>
      <c r="E95" s="142">
        <f>IF(VLOOKUP($A95,Sheet1!$A$3:$AW$699,16,FALSE)="","",VLOOKUP($A95,Sheet1!$A$3:$AW$699,16,FALSE))</f>
        <v>300</v>
      </c>
      <c r="F95" s="142">
        <f>IF(VLOOKUP($A95,Sheet1!$A$3:$AW$699,17,FALSE)="","",VLOOKUP($A95,Sheet1!$A$3:$AW$699,17,FALSE))</f>
        <v>0</v>
      </c>
      <c r="G95" s="142" t="str">
        <f>IF(VLOOKUP($A95,Sheet1!$A$3:$AW$699,18,FALSE)="","",VLOOKUP($A95,Sheet1!$A$3:$AW$699,18,FALSE))</f>
        <v/>
      </c>
      <c r="H95" s="142" t="str">
        <f>IF(VLOOKUP($A95,Sheet1!$A$3:$AW$699,19,FALSE)="","",VLOOKUP($A95,Sheet1!$A$3:$AW$699,19,FALSE))</f>
        <v>%</v>
      </c>
      <c r="I95" s="9" t="str">
        <f>IF(VLOOKUP($A95,Sheet1!$A$3:$AW$699,5,FALSE)="","",VLOOKUP($A95,Sheet1!$A$3:$AW$699,5,FALSE))</f>
        <v>INT</v>
      </c>
      <c r="J95" s="11" t="s">
        <v>275</v>
      </c>
      <c r="K95" s="9" t="s">
        <v>182</v>
      </c>
      <c r="L95" s="146" t="str">
        <f>IF(VLOOKUP($A95,Sheet1!$A$3:$AW$699,7,FALSE)="★","x","")</f>
        <v/>
      </c>
      <c r="M95" s="146" t="str">
        <f>IF(VLOOKUP($A95,Sheet1!$A$3:$AW$699,8,FALSE)="▲","x","")</f>
        <v/>
      </c>
      <c r="N95" s="146" t="str">
        <f>IF(VLOOKUP($A95,Sheet1!$A$3:$AW$699,9,FALSE)="●","x","")</f>
        <v/>
      </c>
      <c r="O95" s="146" t="str">
        <f>IF(VLOOKUP($A95,Sheet1!$A$3:$AW$699,10,FALSE)="■","x","")</f>
        <v/>
      </c>
      <c r="P95" s="9" t="str">
        <f>IF(VLOOKUP($A95,Sheet1!$A$3:$AW$699,2,FALSE)="","",VLOOKUP($A95,Sheet1!$A$3:$AW$699,2,FALSE))</f>
        <v>P1.060</v>
      </c>
    </row>
    <row r="96" spans="1:16" ht="30.6" x14ac:dyDescent="0.3">
      <c r="A96" s="9">
        <v>679</v>
      </c>
      <c r="B96" s="9" t="str">
        <f>IF(VLOOKUP($A96,Sheet1!$A$3:$AW$699,20,FALSE)="","",VLOOKUP($A96,Sheet1!$A$3:$AW$699,20,FALSE))</f>
        <v>AnalogToVelocityScale2</v>
      </c>
      <c r="C96" s="9" t="str">
        <f>IF(VLOOKUP($A96,Sheet1!$A$3:$AW$699,25,FALSE)="","",VLOOKUP($A96,Sheet1!$A$3:$AW$699,25,FALSE))</f>
        <v>S</v>
      </c>
      <c r="D96" s="142" t="str">
        <f>IF(VLOOKUP($A96,Sheet1!$A$3:$AW$699,15,FALSE)="","",VLOOKUP($A96,Sheet1!$A$3:$AW$699,15,FALSE))</f>
        <v>0
0</v>
      </c>
      <c r="E96" s="142" t="str">
        <f>IF(VLOOKUP($A96,Sheet1!$A$3:$AW$699,16,FALSE)="","",VLOOKUP($A96,Sheet1!$A$3:$AW$699,16,FALSE))</f>
        <v>28500
15998</v>
      </c>
      <c r="F96" s="142" t="str">
        <f>IF(VLOOKUP($A96,Sheet1!$A$3:$AW$699,17,FALSE)="","",VLOOKUP($A96,Sheet1!$A$3:$AW$699,17,FALSE))</f>
        <v>8000
15998</v>
      </c>
      <c r="G96" s="142" t="str">
        <f>IF(VLOOKUP($A96,Sheet1!$A$3:$AW$699,18,FALSE)="","",VLOOKUP($A96,Sheet1!$A$3:$AW$699,18,FALSE))</f>
        <v/>
      </c>
      <c r="H96" s="142" t="str">
        <f>IF(VLOOKUP($A96,Sheet1!$A$3:$AW$699,19,FALSE)="","",VLOOKUP($A96,Sheet1!$A$3:$AW$699,19,FALSE))</f>
        <v>RPM
mm/s</v>
      </c>
      <c r="I96" s="9" t="str">
        <f>IF(VLOOKUP($A96,Sheet1!$A$3:$AW$699,5,FALSE)="","",VLOOKUP($A96,Sheet1!$A$3:$AW$699,5,FALSE))</f>
        <v>DINT</v>
      </c>
      <c r="J96" s="11" t="s">
        <v>276</v>
      </c>
      <c r="K96" s="9" t="s">
        <v>182</v>
      </c>
      <c r="L96" s="146" t="str">
        <f>IF(VLOOKUP($A96,Sheet1!$A$3:$AW$699,7,FALSE)="★","x","")</f>
        <v/>
      </c>
      <c r="M96" s="146" t="str">
        <f>IF(VLOOKUP($A96,Sheet1!$A$3:$AW$699,8,FALSE)="▲","x","")</f>
        <v/>
      </c>
      <c r="N96" s="146" t="str">
        <f>IF(VLOOKUP($A96,Sheet1!$A$3:$AW$699,9,FALSE)="●","x","")</f>
        <v/>
      </c>
      <c r="O96" s="146" t="str">
        <f>IF(VLOOKUP($A96,Sheet1!$A$3:$AW$699,10,FALSE)="■","x","")</f>
        <v/>
      </c>
      <c r="P96" s="9" t="str">
        <f>IF(VLOOKUP($A96,Sheet1!$A$3:$AW$699,2,FALSE)="","",VLOOKUP($A96,Sheet1!$A$3:$AW$699,2,FALSE))</f>
        <v>P1.081</v>
      </c>
    </row>
    <row r="97" spans="1:16" ht="20.399999999999999" x14ac:dyDescent="0.3">
      <c r="A97" s="9">
        <v>680</v>
      </c>
      <c r="B97" s="9" t="str">
        <f>IF(VLOOKUP($A97,Sheet1!$A$3:$AW$699,20,FALSE)="","",VLOOKUP($A97,Sheet1!$A$3:$AW$699,20,FALSE))</f>
        <v>FilterSwitchingTimeOfAnalogToVelocityScale1and2</v>
      </c>
      <c r="C97" s="9" t="str">
        <f>IF(VLOOKUP($A97,Sheet1!$A$3:$AW$699,25,FALSE)="","",VLOOKUP($A97,Sheet1!$A$3:$AW$699,25,FALSE))</f>
        <v>S</v>
      </c>
      <c r="D97" s="142">
        <f>IF(VLOOKUP($A97,Sheet1!$A$3:$AW$699,15,FALSE)="","",VLOOKUP($A97,Sheet1!$A$3:$AW$699,15,FALSE))</f>
        <v>0</v>
      </c>
      <c r="E97" s="142">
        <f>IF(VLOOKUP($A97,Sheet1!$A$3:$AW$699,16,FALSE)="","",VLOOKUP($A97,Sheet1!$A$3:$AW$699,16,FALSE))</f>
        <v>1000</v>
      </c>
      <c r="F97" s="142">
        <f>IF(VLOOKUP($A97,Sheet1!$A$3:$AW$699,17,FALSE)="","",VLOOKUP($A97,Sheet1!$A$3:$AW$699,17,FALSE))</f>
        <v>0</v>
      </c>
      <c r="G97" s="142" t="str">
        <f>IF(VLOOKUP($A97,Sheet1!$A$3:$AW$699,18,FALSE)="","",VLOOKUP($A97,Sheet1!$A$3:$AW$699,18,FALSE))</f>
        <v/>
      </c>
      <c r="H97" s="142" t="str">
        <f>IF(VLOOKUP($A97,Sheet1!$A$3:$AW$699,19,FALSE)="","",VLOOKUP($A97,Sheet1!$A$3:$AW$699,19,FALSE))</f>
        <v>ms</v>
      </c>
      <c r="I97" s="9" t="str">
        <f>IF(VLOOKUP($A97,Sheet1!$A$3:$AW$699,5,FALSE)="","",VLOOKUP($A97,Sheet1!$A$3:$AW$699,5,FALSE))</f>
        <v>INT</v>
      </c>
      <c r="J97" s="11" t="s">
        <v>277</v>
      </c>
      <c r="K97" s="9" t="s">
        <v>182</v>
      </c>
      <c r="L97" s="146" t="str">
        <f>IF(VLOOKUP($A97,Sheet1!$A$3:$AW$699,7,FALSE)="★","x","")</f>
        <v/>
      </c>
      <c r="M97" s="146" t="str">
        <f>IF(VLOOKUP($A97,Sheet1!$A$3:$AW$699,8,FALSE)="▲","x","")</f>
        <v/>
      </c>
      <c r="N97" s="146" t="str">
        <f>IF(VLOOKUP($A97,Sheet1!$A$3:$AW$699,9,FALSE)="●","x","")</f>
        <v/>
      </c>
      <c r="O97" s="146" t="str">
        <f>IF(VLOOKUP($A97,Sheet1!$A$3:$AW$699,10,FALSE)="■","x","")</f>
        <v/>
      </c>
      <c r="P97" s="9" t="str">
        <f>IF(VLOOKUP($A97,Sheet1!$A$3:$AW$699,2,FALSE)="","",VLOOKUP($A97,Sheet1!$A$3:$AW$699,2,FALSE))</f>
        <v>P1.082</v>
      </c>
    </row>
    <row r="98" spans="1:16" ht="20.399999999999999" x14ac:dyDescent="0.3">
      <c r="A98" s="9">
        <v>681</v>
      </c>
      <c r="B98" s="9" t="str">
        <f>IF(VLOOKUP($A98,Sheet1!$A$3:$AW$699,20,FALSE)="","",VLOOKUP($A98,Sheet1!$A$3:$AW$699,20,FALSE))</f>
        <v>SpecialFunctionConfiguration5</v>
      </c>
      <c r="C98" s="9" t="str">
        <f>IF(VLOOKUP($A98,Sheet1!$A$3:$AW$699,25,FALSE)="","",VLOOKUP($A98,Sheet1!$A$3:$AW$699,25,FALSE))</f>
        <v>All</v>
      </c>
      <c r="D98" s="142">
        <f>IF(VLOOKUP($A98,Sheet1!$A$3:$AW$699,15,FALSE)="","",VLOOKUP($A98,Sheet1!$A$3:$AW$699,15,FALSE))</f>
        <v>0</v>
      </c>
      <c r="E98" s="142" t="str">
        <f>IF(VLOOKUP($A98,Sheet1!$A$3:$AW$699,16,FALSE)="","",VLOOKUP($A98,Sheet1!$A$3:$AW$699,16,FALSE))</f>
        <v>0x111F</v>
      </c>
      <c r="F98" s="142">
        <f>IF(VLOOKUP($A98,Sheet1!$A$3:$AW$699,17,FALSE)="","",VLOOKUP($A98,Sheet1!$A$3:$AW$699,17,FALSE))</f>
        <v>0</v>
      </c>
      <c r="G98" s="142" t="str">
        <f>IF(VLOOKUP($A98,Sheet1!$A$3:$AW$699,18,FALSE)="","",VLOOKUP($A98,Sheet1!$A$3:$AW$699,18,FALSE))</f>
        <v/>
      </c>
      <c r="H98" s="142" t="str">
        <f>IF(VLOOKUP($A98,Sheet1!$A$3:$AW$699,19,FALSE)="","",VLOOKUP($A98,Sheet1!$A$3:$AW$699,19,FALSE))</f>
        <v/>
      </c>
      <c r="I98" s="9" t="str">
        <f>IF(VLOOKUP($A98,Sheet1!$A$3:$AW$699,5,FALSE)="","",VLOOKUP($A98,Sheet1!$A$3:$AW$699,5,FALSE))</f>
        <v>UINT</v>
      </c>
      <c r="J98" s="11" t="s">
        <v>278</v>
      </c>
      <c r="K98" s="9" t="s">
        <v>182</v>
      </c>
      <c r="L98" s="146" t="str">
        <f>IF(VLOOKUP($A98,Sheet1!$A$3:$AW$699,7,FALSE)="★","x","")</f>
        <v>x</v>
      </c>
      <c r="M98" s="146" t="str">
        <f>IF(VLOOKUP($A98,Sheet1!$A$3:$AW$699,8,FALSE)="▲","x","")</f>
        <v/>
      </c>
      <c r="N98" s="146" t="str">
        <f>IF(VLOOKUP($A98,Sheet1!$A$3:$AW$699,9,FALSE)="●","x","")</f>
        <v/>
      </c>
      <c r="O98" s="146" t="str">
        <f>IF(VLOOKUP($A98,Sheet1!$A$3:$AW$699,10,FALSE)="■","x","")</f>
        <v/>
      </c>
      <c r="P98" s="9" t="str">
        <f>IF(VLOOKUP($A98,Sheet1!$A$3:$AW$699,2,FALSE)="","",VLOOKUP($A98,Sheet1!$A$3:$AW$699,2,FALSE))</f>
        <v>P2.084</v>
      </c>
    </row>
    <row r="99" spans="1:16" ht="20.399999999999999" x14ac:dyDescent="0.3">
      <c r="A99" s="9">
        <v>682</v>
      </c>
      <c r="B99" s="9" t="str">
        <f>IF(VLOOKUP($A99,Sheet1!$A$3:$AW$699,20,FALSE)="","",VLOOKUP($A99,Sheet1!$A$3:$AW$699,20,FALSE))</f>
        <v>SpecialFunctionConfiguration6</v>
      </c>
      <c r="C99" s="9" t="str">
        <f>IF(VLOOKUP($A99,Sheet1!$A$3:$AW$699,25,FALSE)="","",VLOOKUP($A99,Sheet1!$A$3:$AW$699,25,FALSE))</f>
        <v>All</v>
      </c>
      <c r="D99" s="142">
        <f>IF(VLOOKUP($A99,Sheet1!$A$3:$AW$699,15,FALSE)="","",VLOOKUP($A99,Sheet1!$A$3:$AW$699,15,FALSE))</f>
        <v>0</v>
      </c>
      <c r="E99" s="142" t="str">
        <f>IF(VLOOKUP($A99,Sheet1!$A$3:$AW$699,16,FALSE)="","",VLOOKUP($A99,Sheet1!$A$3:$AW$699,16,FALSE))</f>
        <v>0x003F</v>
      </c>
      <c r="F99" s="142">
        <f>IF(VLOOKUP($A99,Sheet1!$A$3:$AW$699,17,FALSE)="","",VLOOKUP($A99,Sheet1!$A$3:$AW$699,17,FALSE))</f>
        <v>0</v>
      </c>
      <c r="G99" s="142" t="str">
        <f>IF(VLOOKUP($A99,Sheet1!$A$3:$AW$699,18,FALSE)="","",VLOOKUP($A99,Sheet1!$A$3:$AW$699,18,FALSE))</f>
        <v/>
      </c>
      <c r="H99" s="142" t="str">
        <f>IF(VLOOKUP($A99,Sheet1!$A$3:$AW$699,19,FALSE)="","",VLOOKUP($A99,Sheet1!$A$3:$AW$699,19,FALSE))</f>
        <v/>
      </c>
      <c r="I99" s="9" t="str">
        <f>IF(VLOOKUP($A99,Sheet1!$A$3:$AW$699,5,FALSE)="","",VLOOKUP($A99,Sheet1!$A$3:$AW$699,5,FALSE))</f>
        <v>UINT</v>
      </c>
      <c r="J99" s="11" t="s">
        <v>279</v>
      </c>
      <c r="K99" s="9" t="s">
        <v>182</v>
      </c>
      <c r="L99" s="146" t="str">
        <f>IF(VLOOKUP($A99,Sheet1!$A$3:$AW$699,7,FALSE)="★","x","")</f>
        <v>x</v>
      </c>
      <c r="M99" s="146" t="str">
        <f>IF(VLOOKUP($A99,Sheet1!$A$3:$AW$699,8,FALSE)="▲","x","")</f>
        <v>x</v>
      </c>
      <c r="N99" s="146" t="str">
        <f>IF(VLOOKUP($A99,Sheet1!$A$3:$AW$699,9,FALSE)="●","x","")</f>
        <v/>
      </c>
      <c r="O99" s="146" t="str">
        <f>IF(VLOOKUP($A99,Sheet1!$A$3:$AW$699,10,FALSE)="■","x","")</f>
        <v/>
      </c>
      <c r="P99" s="9" t="str">
        <f>IF(VLOOKUP($A99,Sheet1!$A$3:$AW$699,2,FALSE)="","",VLOOKUP($A99,Sheet1!$A$3:$AW$699,2,FALSE))</f>
        <v>P2.088</v>
      </c>
    </row>
    <row r="100" spans="1:16" ht="40.799999999999997" x14ac:dyDescent="0.3">
      <c r="A100" s="9">
        <v>685</v>
      </c>
      <c r="B100" s="9" t="str">
        <f>IF(VLOOKUP($A100,Sheet1!$A$3:$AW$699,20,FALSE)="","",VLOOKUP($A100,Sheet1!$A$3:$AW$699,20,FALSE))</f>
        <v>ZPhaseSourceOfHoming</v>
      </c>
      <c r="C100" s="9" t="str">
        <f>IF(VLOOKUP($A100,Sheet1!$A$3:$AW$699,25,FALSE)="","",VLOOKUP($A100,Sheet1!$A$3:$AW$699,25,FALSE))</f>
        <v>PR</v>
      </c>
      <c r="D100" s="142" t="str">
        <f>IF(VLOOKUP($A100,Sheet1!$A$3:$AW$699,15,FALSE)="","",VLOOKUP($A100,Sheet1!$A$3:$AW$699,15,FALSE))</f>
        <v>0x0000</v>
      </c>
      <c r="E100" s="142" t="str">
        <f>IF(VLOOKUP($A100,Sheet1!$A$3:$AW$699,16,FALSE)="","",VLOOKUP($A100,Sheet1!$A$3:$AW$699,16,FALSE))</f>
        <v>0x0011</v>
      </c>
      <c r="F100" s="142" t="str">
        <f>IF(VLOOKUP($A100,Sheet1!$A$3:$AW$699,17,FALSE)="","",VLOOKUP($A100,Sheet1!$A$3:$AW$699,17,FALSE))</f>
        <v>0x0000</v>
      </c>
      <c r="G100" s="142" t="str">
        <f>IF(VLOOKUP($A100,Sheet1!$A$3:$AW$699,18,FALSE)="","",VLOOKUP($A100,Sheet1!$A$3:$AW$699,18,FALSE))</f>
        <v/>
      </c>
      <c r="H100" s="142" t="str">
        <f>IF(VLOOKUP($A100,Sheet1!$A$3:$AW$699,19,FALSE)="","",VLOOKUP($A100,Sheet1!$A$3:$AW$699,19,FALSE))</f>
        <v/>
      </c>
      <c r="I100" s="9" t="str">
        <f>IF(VLOOKUP($A100,Sheet1!$A$3:$AW$699,5,FALSE)="","",VLOOKUP($A100,Sheet1!$A$3:$AW$699,5,FALSE))</f>
        <v>UINT</v>
      </c>
      <c r="J100" s="9" t="s">
        <v>280</v>
      </c>
      <c r="K100" s="9" t="s">
        <v>182</v>
      </c>
      <c r="L100" s="146" t="str">
        <f>IF(VLOOKUP($A100,Sheet1!$A$3:$AW$699,7,FALSE)="★","x","")</f>
        <v/>
      </c>
      <c r="M100" s="146" t="str">
        <f>IF(VLOOKUP($A100,Sheet1!$A$3:$AW$699,8,FALSE)="▲","x","")</f>
        <v/>
      </c>
      <c r="N100" s="146" t="str">
        <f>IF(VLOOKUP($A100,Sheet1!$A$3:$AW$699,9,FALSE)="●","x","")</f>
        <v/>
      </c>
      <c r="O100" s="146" t="str">
        <f>IF(VLOOKUP($A100,Sheet1!$A$3:$AW$699,10,FALSE)="■","x","")</f>
        <v/>
      </c>
      <c r="P100" s="9" t="str">
        <f>IF(VLOOKUP($A100,Sheet1!$A$3:$AW$699,2,FALSE)="","",VLOOKUP($A100,Sheet1!$A$3:$AW$699,2,FALSE))</f>
        <v>P2.080</v>
      </c>
    </row>
    <row r="101" spans="1:16" ht="61.2" x14ac:dyDescent="0.3">
      <c r="A101" s="9">
        <v>686</v>
      </c>
      <c r="B101" s="9" t="str">
        <f>IF(VLOOKUP($A101,Sheet1!$A$3:$AW$699,20,FALSE)="","",VLOOKUP($A101,Sheet1!$A$3:$AW$699,20,FALSE))</f>
        <v>FullClosedLoopMonitoringConfiguration</v>
      </c>
      <c r="C101" s="9" t="str">
        <f>IF(VLOOKUP($A101,Sheet1!$A$3:$AW$699,25,FALSE)="","",VLOOKUP($A101,Sheet1!$A$3:$AW$699,25,FALSE))</f>
        <v>PR</v>
      </c>
      <c r="D101" s="142" t="str">
        <f>IF(VLOOKUP($A101,Sheet1!$A$3:$AW$699,15,FALSE)="","",VLOOKUP($A101,Sheet1!$A$3:$AW$699,15,FALSE))</f>
        <v>0x0000</v>
      </c>
      <c r="E101" s="142" t="str">
        <f>IF(VLOOKUP($A101,Sheet1!$A$3:$AW$699,16,FALSE)="","",VLOOKUP($A101,Sheet1!$A$3:$AW$699,16,FALSE))</f>
        <v>0x0022</v>
      </c>
      <c r="F101" s="142" t="str">
        <f>IF(VLOOKUP($A101,Sheet1!$A$3:$AW$699,17,FALSE)="","",VLOOKUP($A101,Sheet1!$A$3:$AW$699,17,FALSE))</f>
        <v>0x0000</v>
      </c>
      <c r="G101" s="142" t="str">
        <f>IF(VLOOKUP($A101,Sheet1!$A$3:$AW$699,18,FALSE)="","",VLOOKUP($A101,Sheet1!$A$3:$AW$699,18,FALSE))</f>
        <v/>
      </c>
      <c r="H101" s="142" t="str">
        <f>IF(VLOOKUP($A101,Sheet1!$A$3:$AW$699,19,FALSE)="","",VLOOKUP($A101,Sheet1!$A$3:$AW$699,19,FALSE))</f>
        <v/>
      </c>
      <c r="I101" s="9" t="str">
        <f>IF(VLOOKUP($A101,Sheet1!$A$3:$AW$699,5,FALSE)="","",VLOOKUP($A101,Sheet1!$A$3:$AW$699,5,FALSE))</f>
        <v>UINT</v>
      </c>
      <c r="J101" s="9" t="s">
        <v>281</v>
      </c>
      <c r="K101" s="9" t="s">
        <v>182</v>
      </c>
      <c r="L101" s="146" t="str">
        <f>IF(VLOOKUP($A101,Sheet1!$A$3:$AW$699,7,FALSE)="★","x","")</f>
        <v/>
      </c>
      <c r="M101" s="146" t="str">
        <f>IF(VLOOKUP($A101,Sheet1!$A$3:$AW$699,8,FALSE)="▲","x","")</f>
        <v/>
      </c>
      <c r="N101" s="146" t="str">
        <f>IF(VLOOKUP($A101,Sheet1!$A$3:$AW$699,9,FALSE)="●","x","")</f>
        <v/>
      </c>
      <c r="O101" s="146" t="str">
        <f>IF(VLOOKUP($A101,Sheet1!$A$3:$AW$699,10,FALSE)="■","x","")</f>
        <v/>
      </c>
      <c r="P101" s="9" t="str">
        <f>IF(VLOOKUP($A101,Sheet1!$A$3:$AW$699,2,FALSE)="","",VLOOKUP($A101,Sheet1!$A$3:$AW$699,2,FALSE))</f>
        <v>P3.013</v>
      </c>
    </row>
  </sheetData>
  <mergeCells count="2">
    <mergeCell ref="A1:B1"/>
    <mergeCell ref="A2:B2"/>
  </mergeCells>
  <hyperlinks>
    <hyperlink ref="J11" location="'Detailed Definitions'!B14" display="'Detailed Definitions'!B14" xr:uid="{B6FAFF96-5672-4CA6-81B8-86D6014AA08A}"/>
    <hyperlink ref="J67" location="'Detailed Definitions'!B18" display="'Detailed Definitions'!B18" xr:uid="{646F928D-D21A-4AE8-8E57-0906BBF19119}"/>
    <hyperlink ref="A2" r:id="rId1" display="Kinetix 5100 Servo Drive User Manual, publication 2198-UM004" xr:uid="{D0A4D9E0-891A-4AE7-B97C-5151C38A1C49}"/>
  </hyperlinks>
  <pageMargins left="0.7" right="0.7" top="0.75" bottom="0.75" header="0.3" footer="0.3"/>
  <pageSetup paperSize="17" scale="91" fitToHeight="0"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FB375-873A-4A90-AE00-AEDD6F50940E}">
  <sheetPr>
    <pageSetUpPr fitToPage="1"/>
  </sheetPr>
  <dimension ref="A1:P30"/>
  <sheetViews>
    <sheetView zoomScaleNormal="100" workbookViewId="0">
      <pane xSplit="2" ySplit="4" topLeftCell="C29" activePane="bottomRight" state="frozen"/>
      <selection pane="topRight" activeCell="F18" sqref="F18"/>
      <selection pane="bottomLeft" activeCell="F18" sqref="F18"/>
      <selection pane="bottomRight" activeCell="B5" sqref="B5"/>
    </sheetView>
  </sheetViews>
  <sheetFormatPr defaultColWidth="17.33203125" defaultRowHeight="14.4" x14ac:dyDescent="0.3"/>
  <cols>
    <col min="1" max="1" width="17.33203125" style="144"/>
    <col min="2" max="2" width="21.5546875" style="144" customWidth="1"/>
    <col min="3" max="3" width="17.33203125" style="144"/>
    <col min="4" max="8" width="17.33203125" style="143"/>
    <col min="9" max="11" width="17.33203125" style="144"/>
    <col min="12" max="15" width="17.33203125" style="15"/>
    <col min="16" max="16384" width="17.33203125" style="144"/>
  </cols>
  <sheetData>
    <row r="1" spans="1:16" ht="30" customHeight="1" x14ac:dyDescent="0.3">
      <c r="A1" s="224" t="s">
        <v>29</v>
      </c>
      <c r="B1" s="224"/>
      <c r="K1" s="145"/>
    </row>
    <row r="2" spans="1:16" ht="27.6" customHeight="1" x14ac:dyDescent="0.3">
      <c r="A2" s="225" t="s">
        <v>30</v>
      </c>
      <c r="B2" s="225"/>
      <c r="K2" s="145"/>
    </row>
    <row r="3" spans="1:16" x14ac:dyDescent="0.3">
      <c r="K3" s="145"/>
    </row>
    <row r="4" spans="1:16" s="15" customFormat="1" x14ac:dyDescent="0.3">
      <c r="A4" s="14" t="s">
        <v>31</v>
      </c>
      <c r="B4" s="14" t="s">
        <v>32</v>
      </c>
      <c r="C4" s="14" t="s">
        <v>33</v>
      </c>
      <c r="D4" s="14" t="s">
        <v>34</v>
      </c>
      <c r="E4" s="14" t="s">
        <v>35</v>
      </c>
      <c r="F4" s="14" t="s">
        <v>36</v>
      </c>
      <c r="G4" s="4" t="s">
        <v>37</v>
      </c>
      <c r="H4" s="14" t="s">
        <v>38</v>
      </c>
      <c r="I4" s="14" t="s">
        <v>39</v>
      </c>
      <c r="J4" s="4" t="s">
        <v>40</v>
      </c>
      <c r="K4" s="4" t="s">
        <v>41</v>
      </c>
      <c r="L4" s="14" t="s">
        <v>42</v>
      </c>
      <c r="M4" s="14" t="s">
        <v>43</v>
      </c>
      <c r="N4" s="14" t="s">
        <v>44</v>
      </c>
      <c r="O4" s="14" t="s">
        <v>45</v>
      </c>
      <c r="P4" s="14" t="s">
        <v>46</v>
      </c>
    </row>
    <row r="5" spans="1:16" ht="30" customHeight="1" x14ac:dyDescent="0.3">
      <c r="A5" s="9">
        <v>55</v>
      </c>
      <c r="B5" s="9" t="str">
        <f>IF(VLOOKUP($A5,Sheet1!$A$3:$AW$699,20,FALSE)="","",VLOOKUP($A5,Sheet1!$A$3:$AW$699,20,FALSE))</f>
        <v>ParameterMonitor1Value</v>
      </c>
      <c r="C5" s="9" t="str">
        <f>IF(VLOOKUP($A5,Sheet1!$A$3:$AW$699,25,FALSE)="","",VLOOKUP($A5,Sheet1!$A$3:$AW$699,25,FALSE))</f>
        <v>All</v>
      </c>
      <c r="D5" s="142">
        <f>IF(VLOOKUP($A5,Sheet1!$A$3:$AW$699,15,FALSE)="","",VLOOKUP($A5,Sheet1!$A$3:$AW$699,15,FALSE))</f>
        <v>0</v>
      </c>
      <c r="E5" s="142" t="str">
        <f>IF(VLOOKUP($A5,Sheet1!$A$3:$AW$699,16,FALSE)="","",VLOOKUP($A5,Sheet1!$A$3:$AW$699,16,FALSE))</f>
        <v>0xFFFFFFFF</v>
      </c>
      <c r="F5" s="142">
        <f>IF(VLOOKUP($A5,Sheet1!$A$3:$AW$699,17,FALSE)="","",VLOOKUP($A5,Sheet1!$A$3:$AW$699,17,FALSE))</f>
        <v>0</v>
      </c>
      <c r="G5" s="142" t="str">
        <f>IF(VLOOKUP($A5,Sheet1!$A$3:$AW$699,18,FALSE)="","",VLOOKUP($A5,Sheet1!$A$3:$AW$699,18,FALSE))</f>
        <v/>
      </c>
      <c r="H5" s="142" t="str">
        <f>IF(VLOOKUP($A5,Sheet1!$A$3:$AW$699,19,FALSE)="","",VLOOKUP($A5,Sheet1!$A$3:$AW$699,19,FALSE))</f>
        <v/>
      </c>
      <c r="I5" s="9" t="str">
        <f>IF(VLOOKUP($A5,Sheet1!$A$3:$AW$699,5,FALSE)="","",VLOOKUP($A5,Sheet1!$A$3:$AW$699,5,FALSE))</f>
        <v>UDINT</v>
      </c>
      <c r="J5" s="9" t="s">
        <v>282</v>
      </c>
      <c r="K5" s="9" t="s">
        <v>283</v>
      </c>
      <c r="L5" s="146" t="str">
        <f>IF(VLOOKUP($A5,Sheet1!$A$3:$AW$699,7,FALSE)="★","x","")</f>
        <v>x</v>
      </c>
      <c r="M5" s="146" t="str">
        <f>IF(VLOOKUP($A5,Sheet1!$A$3:$AW$699,8,FALSE)="▲","x","")</f>
        <v/>
      </c>
      <c r="N5" s="146" t="str">
        <f>IF(VLOOKUP($A5,Sheet1!$A$3:$AW$699,9,FALSE)="●","x","")</f>
        <v/>
      </c>
      <c r="O5" s="146" t="str">
        <f>IF(VLOOKUP($A5,Sheet1!$A$3:$AW$699,10,FALSE)="■","x","")</f>
        <v>x</v>
      </c>
      <c r="P5" s="9" t="str">
        <f>IF(VLOOKUP($A5,Sheet1!$A$3:$AW$699,2,FALSE)="","",VLOOKUP($A5,Sheet1!$A$3:$AW$699,2,FALSE))</f>
        <v>P0.025</v>
      </c>
    </row>
    <row r="6" spans="1:16" ht="30" customHeight="1" x14ac:dyDescent="0.3">
      <c r="A6" s="9">
        <v>56</v>
      </c>
      <c r="B6" s="9" t="str">
        <f>IF(VLOOKUP($A6,Sheet1!$A$3:$AW$699,20,FALSE)="","",VLOOKUP($A6,Sheet1!$A$3:$AW$699,20,FALSE))</f>
        <v>ParameterMonitor2Value</v>
      </c>
      <c r="C6" s="9" t="str">
        <f>IF(VLOOKUP($A6,Sheet1!$A$3:$AW$699,25,FALSE)="","",VLOOKUP($A6,Sheet1!$A$3:$AW$699,25,FALSE))</f>
        <v>All</v>
      </c>
      <c r="D6" s="142">
        <f>IF(VLOOKUP($A6,Sheet1!$A$3:$AW$699,15,FALSE)="","",VLOOKUP($A6,Sheet1!$A$3:$AW$699,15,FALSE))</f>
        <v>0</v>
      </c>
      <c r="E6" s="142" t="str">
        <f>IF(VLOOKUP($A6,Sheet1!$A$3:$AW$699,16,FALSE)="","",VLOOKUP($A6,Sheet1!$A$3:$AW$699,16,FALSE))</f>
        <v>0xFFFFFFFF</v>
      </c>
      <c r="F6" s="142">
        <f>IF(VLOOKUP($A6,Sheet1!$A$3:$AW$699,17,FALSE)="","",VLOOKUP($A6,Sheet1!$A$3:$AW$699,17,FALSE))</f>
        <v>0</v>
      </c>
      <c r="G6" s="142" t="str">
        <f>IF(VLOOKUP($A6,Sheet1!$A$3:$AW$699,18,FALSE)="","",VLOOKUP($A6,Sheet1!$A$3:$AW$699,18,FALSE))</f>
        <v/>
      </c>
      <c r="H6" s="142" t="str">
        <f>IF(VLOOKUP($A6,Sheet1!$A$3:$AW$699,19,FALSE)="","",VLOOKUP($A6,Sheet1!$A$3:$AW$699,19,FALSE))</f>
        <v/>
      </c>
      <c r="I6" s="9" t="str">
        <f>IF(VLOOKUP($A6,Sheet1!$A$3:$AW$699,5,FALSE)="","",VLOOKUP($A6,Sheet1!$A$3:$AW$699,5,FALSE))</f>
        <v>UDINT</v>
      </c>
      <c r="J6" s="9" t="s">
        <v>284</v>
      </c>
      <c r="K6" s="9" t="s">
        <v>283</v>
      </c>
      <c r="L6" s="146" t="str">
        <f>IF(VLOOKUP($A6,Sheet1!$A$3:$AW$699,7,FALSE)="★","x","")</f>
        <v>x</v>
      </c>
      <c r="M6" s="146" t="str">
        <f>IF(VLOOKUP($A6,Sheet1!$A$3:$AW$699,8,FALSE)="▲","x","")</f>
        <v/>
      </c>
      <c r="N6" s="146" t="str">
        <f>IF(VLOOKUP($A6,Sheet1!$A$3:$AW$699,9,FALSE)="●","x","")</f>
        <v/>
      </c>
      <c r="O6" s="146" t="str">
        <f>IF(VLOOKUP($A6,Sheet1!$A$3:$AW$699,10,FALSE)="■","x","")</f>
        <v>x</v>
      </c>
      <c r="P6" s="9" t="str">
        <f>IF(VLOOKUP($A6,Sheet1!$A$3:$AW$699,2,FALSE)="","",VLOOKUP($A6,Sheet1!$A$3:$AW$699,2,FALSE))</f>
        <v>P0.026</v>
      </c>
    </row>
    <row r="7" spans="1:16" ht="30" customHeight="1" x14ac:dyDescent="0.3">
      <c r="A7" s="9">
        <v>57</v>
      </c>
      <c r="B7" s="9" t="str">
        <f>IF(VLOOKUP($A7,Sheet1!$A$3:$AW$699,20,FALSE)="","",VLOOKUP($A7,Sheet1!$A$3:$AW$699,20,FALSE))</f>
        <v>ParameterMonitor3Value</v>
      </c>
      <c r="C7" s="9" t="str">
        <f>IF(VLOOKUP($A7,Sheet1!$A$3:$AW$699,25,FALSE)="","",VLOOKUP($A7,Sheet1!$A$3:$AW$699,25,FALSE))</f>
        <v>All</v>
      </c>
      <c r="D7" s="142">
        <f>IF(VLOOKUP($A7,Sheet1!$A$3:$AW$699,15,FALSE)="","",VLOOKUP($A7,Sheet1!$A$3:$AW$699,15,FALSE))</f>
        <v>0</v>
      </c>
      <c r="E7" s="142" t="str">
        <f>IF(VLOOKUP($A7,Sheet1!$A$3:$AW$699,16,FALSE)="","",VLOOKUP($A7,Sheet1!$A$3:$AW$699,16,FALSE))</f>
        <v>0xFFFFFFFF</v>
      </c>
      <c r="F7" s="142">
        <f>IF(VLOOKUP($A7,Sheet1!$A$3:$AW$699,17,FALSE)="","",VLOOKUP($A7,Sheet1!$A$3:$AW$699,17,FALSE))</f>
        <v>0</v>
      </c>
      <c r="G7" s="142" t="str">
        <f>IF(VLOOKUP($A7,Sheet1!$A$3:$AW$699,18,FALSE)="","",VLOOKUP($A7,Sheet1!$A$3:$AW$699,18,FALSE))</f>
        <v/>
      </c>
      <c r="H7" s="142" t="str">
        <f>IF(VLOOKUP($A7,Sheet1!$A$3:$AW$699,19,FALSE)="","",VLOOKUP($A7,Sheet1!$A$3:$AW$699,19,FALSE))</f>
        <v/>
      </c>
      <c r="I7" s="9" t="str">
        <f>IF(VLOOKUP($A7,Sheet1!$A$3:$AW$699,5,FALSE)="","",VLOOKUP($A7,Sheet1!$A$3:$AW$699,5,FALSE))</f>
        <v>UDINT</v>
      </c>
      <c r="J7" s="9" t="s">
        <v>285</v>
      </c>
      <c r="K7" s="9" t="s">
        <v>283</v>
      </c>
      <c r="L7" s="146" t="str">
        <f>IF(VLOOKUP($A7,Sheet1!$A$3:$AW$699,7,FALSE)="★","x","")</f>
        <v>x</v>
      </c>
      <c r="M7" s="146" t="str">
        <f>IF(VLOOKUP($A7,Sheet1!$A$3:$AW$699,8,FALSE)="▲","x","")</f>
        <v/>
      </c>
      <c r="N7" s="146" t="str">
        <f>IF(VLOOKUP($A7,Sheet1!$A$3:$AW$699,9,FALSE)="●","x","")</f>
        <v/>
      </c>
      <c r="O7" s="146" t="str">
        <f>IF(VLOOKUP($A7,Sheet1!$A$3:$AW$699,10,FALSE)="■","x","")</f>
        <v>x</v>
      </c>
      <c r="P7" s="9" t="str">
        <f>IF(VLOOKUP($A7,Sheet1!$A$3:$AW$699,2,FALSE)="","",VLOOKUP($A7,Sheet1!$A$3:$AW$699,2,FALSE))</f>
        <v>P0.027</v>
      </c>
    </row>
    <row r="8" spans="1:16" ht="30" customHeight="1" x14ac:dyDescent="0.3">
      <c r="A8" s="9">
        <v>58</v>
      </c>
      <c r="B8" s="9" t="str">
        <f>IF(VLOOKUP($A8,Sheet1!$A$3:$AW$699,20,FALSE)="","",VLOOKUP($A8,Sheet1!$A$3:$AW$699,20,FALSE))</f>
        <v>ParameterMonitor4Value</v>
      </c>
      <c r="C8" s="9" t="str">
        <f>IF(VLOOKUP($A8,Sheet1!$A$3:$AW$699,25,FALSE)="","",VLOOKUP($A8,Sheet1!$A$3:$AW$699,25,FALSE))</f>
        <v>All</v>
      </c>
      <c r="D8" s="142">
        <f>IF(VLOOKUP($A8,Sheet1!$A$3:$AW$699,15,FALSE)="","",VLOOKUP($A8,Sheet1!$A$3:$AW$699,15,FALSE))</f>
        <v>0</v>
      </c>
      <c r="E8" s="142" t="str">
        <f>IF(VLOOKUP($A8,Sheet1!$A$3:$AW$699,16,FALSE)="","",VLOOKUP($A8,Sheet1!$A$3:$AW$699,16,FALSE))</f>
        <v>0xFFFFFFFF</v>
      </c>
      <c r="F8" s="142">
        <f>IF(VLOOKUP($A8,Sheet1!$A$3:$AW$699,17,FALSE)="","",VLOOKUP($A8,Sheet1!$A$3:$AW$699,17,FALSE))</f>
        <v>0</v>
      </c>
      <c r="G8" s="142" t="str">
        <f>IF(VLOOKUP($A8,Sheet1!$A$3:$AW$699,18,FALSE)="","",VLOOKUP($A8,Sheet1!$A$3:$AW$699,18,FALSE))</f>
        <v/>
      </c>
      <c r="H8" s="142" t="str">
        <f>IF(VLOOKUP($A8,Sheet1!$A$3:$AW$699,19,FALSE)="","",VLOOKUP($A8,Sheet1!$A$3:$AW$699,19,FALSE))</f>
        <v/>
      </c>
      <c r="I8" s="9" t="str">
        <f>IF(VLOOKUP($A8,Sheet1!$A$3:$AW$699,5,FALSE)="","",VLOOKUP($A8,Sheet1!$A$3:$AW$699,5,FALSE))</f>
        <v>UDINT</v>
      </c>
      <c r="J8" s="9" t="s">
        <v>286</v>
      </c>
      <c r="K8" s="9" t="s">
        <v>283</v>
      </c>
      <c r="L8" s="146" t="str">
        <f>IF(VLOOKUP($A8,Sheet1!$A$3:$AW$699,7,FALSE)="★","x","")</f>
        <v>x</v>
      </c>
      <c r="M8" s="146" t="str">
        <f>IF(VLOOKUP($A8,Sheet1!$A$3:$AW$699,8,FALSE)="▲","x","")</f>
        <v/>
      </c>
      <c r="N8" s="146" t="str">
        <f>IF(VLOOKUP($A8,Sheet1!$A$3:$AW$699,9,FALSE)="●","x","")</f>
        <v/>
      </c>
      <c r="O8" s="146" t="str">
        <f>IF(VLOOKUP($A8,Sheet1!$A$3:$AW$699,10,FALSE)="■","x","")</f>
        <v>x</v>
      </c>
      <c r="P8" s="9" t="str">
        <f>IF(VLOOKUP($A8,Sheet1!$A$3:$AW$699,2,FALSE)="","",VLOOKUP($A8,Sheet1!$A$3:$AW$699,2,FALSE))</f>
        <v>P0.028</v>
      </c>
    </row>
    <row r="9" spans="1:16" ht="30" customHeight="1" x14ac:dyDescent="0.3">
      <c r="A9" s="9">
        <v>59</v>
      </c>
      <c r="B9" s="9" t="str">
        <f>IF(VLOOKUP($A9,Sheet1!$A$3:$AW$699,20,FALSE)="","",VLOOKUP($A9,Sheet1!$A$3:$AW$699,20,FALSE))</f>
        <v>ParameterMonitor5Value</v>
      </c>
      <c r="C9" s="9" t="str">
        <f>IF(VLOOKUP($A9,Sheet1!$A$3:$AW$699,25,FALSE)="","",VLOOKUP($A9,Sheet1!$A$3:$AW$699,25,FALSE))</f>
        <v>All</v>
      </c>
      <c r="D9" s="142">
        <f>IF(VLOOKUP($A9,Sheet1!$A$3:$AW$699,15,FALSE)="","",VLOOKUP($A9,Sheet1!$A$3:$AW$699,15,FALSE))</f>
        <v>0</v>
      </c>
      <c r="E9" s="142" t="str">
        <f>IF(VLOOKUP($A9,Sheet1!$A$3:$AW$699,16,FALSE)="","",VLOOKUP($A9,Sheet1!$A$3:$AW$699,16,FALSE))</f>
        <v>0xFFFFFFFF</v>
      </c>
      <c r="F9" s="142">
        <f>IF(VLOOKUP($A9,Sheet1!$A$3:$AW$699,17,FALSE)="","",VLOOKUP($A9,Sheet1!$A$3:$AW$699,17,FALSE))</f>
        <v>0</v>
      </c>
      <c r="G9" s="142" t="str">
        <f>IF(VLOOKUP($A9,Sheet1!$A$3:$AW$699,18,FALSE)="","",VLOOKUP($A9,Sheet1!$A$3:$AW$699,18,FALSE))</f>
        <v/>
      </c>
      <c r="H9" s="142" t="str">
        <f>IF(VLOOKUP($A9,Sheet1!$A$3:$AW$699,19,FALSE)="","",VLOOKUP($A9,Sheet1!$A$3:$AW$699,19,FALSE))</f>
        <v/>
      </c>
      <c r="I9" s="9" t="str">
        <f>IF(VLOOKUP($A9,Sheet1!$A$3:$AW$699,5,FALSE)="","",VLOOKUP($A9,Sheet1!$A$3:$AW$699,5,FALSE))</f>
        <v>UDINT</v>
      </c>
      <c r="J9" s="9" t="s">
        <v>287</v>
      </c>
      <c r="K9" s="9" t="s">
        <v>283</v>
      </c>
      <c r="L9" s="146" t="str">
        <f>IF(VLOOKUP($A9,Sheet1!$A$3:$AW$699,7,FALSE)="★","x","")</f>
        <v>x</v>
      </c>
      <c r="M9" s="146" t="str">
        <f>IF(VLOOKUP($A9,Sheet1!$A$3:$AW$699,8,FALSE)="▲","x","")</f>
        <v/>
      </c>
      <c r="N9" s="146" t="str">
        <f>IF(VLOOKUP($A9,Sheet1!$A$3:$AW$699,9,FALSE)="●","x","")</f>
        <v/>
      </c>
      <c r="O9" s="146" t="str">
        <f>IF(VLOOKUP($A9,Sheet1!$A$3:$AW$699,10,FALSE)="■","x","")</f>
        <v>x</v>
      </c>
      <c r="P9" s="9" t="str">
        <f>IF(VLOOKUP($A9,Sheet1!$A$3:$AW$699,2,FALSE)="","",VLOOKUP($A9,Sheet1!$A$3:$AW$699,2,FALSE))</f>
        <v>P0.029</v>
      </c>
    </row>
    <row r="10" spans="1:16" ht="30" customHeight="1" x14ac:dyDescent="0.3">
      <c r="A10" s="9">
        <v>60</v>
      </c>
      <c r="B10" s="9" t="str">
        <f>IF(VLOOKUP($A10,Sheet1!$A$3:$AW$699,20,FALSE)="","",VLOOKUP($A10,Sheet1!$A$3:$AW$699,20,FALSE))</f>
        <v>ParameterMonitor1Selection</v>
      </c>
      <c r="C10" s="9" t="str">
        <f>IF(VLOOKUP($A10,Sheet1!$A$3:$AW$699,25,FALSE)="","",VLOOKUP($A10,Sheet1!$A$3:$AW$699,25,FALSE))</f>
        <v>All</v>
      </c>
      <c r="D10" s="142">
        <f>IF(VLOOKUP($A10,Sheet1!$A$3:$AW$699,15,FALSE)="","",VLOOKUP($A10,Sheet1!$A$3:$AW$699,15,FALSE))</f>
        <v>1</v>
      </c>
      <c r="E10" s="142">
        <f>IF(VLOOKUP($A10,Sheet1!$A$3:$AW$699,16,FALSE)="","",VLOOKUP($A10,Sheet1!$A$3:$AW$699,16,FALSE))</f>
        <v>687</v>
      </c>
      <c r="F10" s="142">
        <f>IF(VLOOKUP($A10,Sheet1!$A$3:$AW$699,17,FALSE)="","",VLOOKUP($A10,Sheet1!$A$3:$AW$699,17,FALSE))</f>
        <v>1</v>
      </c>
      <c r="G10" s="142" t="str">
        <f>IF(VLOOKUP($A10,Sheet1!$A$3:$AW$699,18,FALSE)="","",VLOOKUP($A10,Sheet1!$A$3:$AW$699,18,FALSE))</f>
        <v/>
      </c>
      <c r="H10" s="142" t="str">
        <f>IF(VLOOKUP($A10,Sheet1!$A$3:$AW$699,19,FALSE)="","",VLOOKUP($A10,Sheet1!$A$3:$AW$699,19,FALSE))</f>
        <v/>
      </c>
      <c r="I10" s="9" t="str">
        <f>IF(VLOOKUP($A10,Sheet1!$A$3:$AW$699,5,FALSE)="","",VLOOKUP($A10,Sheet1!$A$3:$AW$699,5,FALSE))</f>
        <v>UINT</v>
      </c>
      <c r="J10" s="11" t="s">
        <v>288</v>
      </c>
      <c r="K10" s="9" t="s">
        <v>283</v>
      </c>
      <c r="L10" s="146" t="str">
        <f>IF(VLOOKUP($A10,Sheet1!$A$3:$AW$699,7,FALSE)="★","x","")</f>
        <v/>
      </c>
      <c r="M10" s="146" t="str">
        <f>IF(VLOOKUP($A10,Sheet1!$A$3:$AW$699,8,FALSE)="▲","x","")</f>
        <v/>
      </c>
      <c r="N10" s="146" t="str">
        <f>IF(VLOOKUP($A10,Sheet1!$A$3:$AW$699,9,FALSE)="●","x","")</f>
        <v/>
      </c>
      <c r="O10" s="146" t="str">
        <f>IF(VLOOKUP($A10,Sheet1!$A$3:$AW$699,10,FALSE)="■","x","")</f>
        <v/>
      </c>
      <c r="P10" s="9" t="str">
        <f>IF(VLOOKUP($A10,Sheet1!$A$3:$AW$699,2,FALSE)="","",VLOOKUP($A10,Sheet1!$A$3:$AW$699,2,FALSE))</f>
        <v>P0.035</v>
      </c>
    </row>
    <row r="11" spans="1:16" ht="30" customHeight="1" x14ac:dyDescent="0.3">
      <c r="A11" s="9">
        <v>61</v>
      </c>
      <c r="B11" s="9" t="str">
        <f>IF(VLOOKUP($A11,Sheet1!$A$3:$AW$699,20,FALSE)="","",VLOOKUP($A11,Sheet1!$A$3:$AW$699,20,FALSE))</f>
        <v>ParameterMonitor2Selection</v>
      </c>
      <c r="C11" s="9" t="str">
        <f>IF(VLOOKUP($A11,Sheet1!$A$3:$AW$699,25,FALSE)="","",VLOOKUP($A11,Sheet1!$A$3:$AW$699,25,FALSE))</f>
        <v>All</v>
      </c>
      <c r="D11" s="142">
        <f>IF(VLOOKUP($A11,Sheet1!$A$3:$AW$699,15,FALSE)="","",VLOOKUP($A11,Sheet1!$A$3:$AW$699,15,FALSE))</f>
        <v>1</v>
      </c>
      <c r="E11" s="142">
        <f>IF(VLOOKUP($A11,Sheet1!$A$3:$AW$699,16,FALSE)="","",VLOOKUP($A11,Sheet1!$A$3:$AW$699,16,FALSE))</f>
        <v>687</v>
      </c>
      <c r="F11" s="142">
        <f>IF(VLOOKUP($A11,Sheet1!$A$3:$AW$699,17,FALSE)="","",VLOOKUP($A11,Sheet1!$A$3:$AW$699,17,FALSE))</f>
        <v>1</v>
      </c>
      <c r="G11" s="142" t="str">
        <f>IF(VLOOKUP($A11,Sheet1!$A$3:$AW$699,18,FALSE)="","",VLOOKUP($A11,Sheet1!$A$3:$AW$699,18,FALSE))</f>
        <v/>
      </c>
      <c r="H11" s="142" t="str">
        <f>IF(VLOOKUP($A11,Sheet1!$A$3:$AW$699,19,FALSE)="","",VLOOKUP($A11,Sheet1!$A$3:$AW$699,19,FALSE))</f>
        <v/>
      </c>
      <c r="I11" s="9" t="str">
        <f>IF(VLOOKUP($A11,Sheet1!$A$3:$AW$699,5,FALSE)="","",VLOOKUP($A11,Sheet1!$A$3:$AW$699,5,FALSE))</f>
        <v>UINT</v>
      </c>
      <c r="J11" s="11" t="s">
        <v>289</v>
      </c>
      <c r="K11" s="9" t="s">
        <v>283</v>
      </c>
      <c r="L11" s="146" t="str">
        <f>IF(VLOOKUP($A11,Sheet1!$A$3:$AW$699,7,FALSE)="★","x","")</f>
        <v/>
      </c>
      <c r="M11" s="146" t="str">
        <f>IF(VLOOKUP($A11,Sheet1!$A$3:$AW$699,8,FALSE)="▲","x","")</f>
        <v/>
      </c>
      <c r="N11" s="146" t="str">
        <f>IF(VLOOKUP($A11,Sheet1!$A$3:$AW$699,9,FALSE)="●","x","")</f>
        <v/>
      </c>
      <c r="O11" s="146" t="str">
        <f>IF(VLOOKUP($A11,Sheet1!$A$3:$AW$699,10,FALSE)="■","x","")</f>
        <v/>
      </c>
      <c r="P11" s="9" t="str">
        <f>IF(VLOOKUP($A11,Sheet1!$A$3:$AW$699,2,FALSE)="","",VLOOKUP($A11,Sheet1!$A$3:$AW$699,2,FALSE))</f>
        <v>P0.036</v>
      </c>
    </row>
    <row r="12" spans="1:16" ht="30" customHeight="1" x14ac:dyDescent="0.3">
      <c r="A12" s="9">
        <v>62</v>
      </c>
      <c r="B12" s="9" t="str">
        <f>IF(VLOOKUP($A12,Sheet1!$A$3:$AW$699,20,FALSE)="","",VLOOKUP($A12,Sheet1!$A$3:$AW$699,20,FALSE))</f>
        <v>ParameterMonitor3Selection</v>
      </c>
      <c r="C12" s="9" t="str">
        <f>IF(VLOOKUP($A12,Sheet1!$A$3:$AW$699,25,FALSE)="","",VLOOKUP($A12,Sheet1!$A$3:$AW$699,25,FALSE))</f>
        <v>All</v>
      </c>
      <c r="D12" s="142">
        <f>IF(VLOOKUP($A12,Sheet1!$A$3:$AW$699,15,FALSE)="","",VLOOKUP($A12,Sheet1!$A$3:$AW$699,15,FALSE))</f>
        <v>1</v>
      </c>
      <c r="E12" s="142">
        <f>IF(VLOOKUP($A12,Sheet1!$A$3:$AW$699,16,FALSE)="","",VLOOKUP($A12,Sheet1!$A$3:$AW$699,16,FALSE))</f>
        <v>687</v>
      </c>
      <c r="F12" s="142">
        <f>IF(VLOOKUP($A12,Sheet1!$A$3:$AW$699,17,FALSE)="","",VLOOKUP($A12,Sheet1!$A$3:$AW$699,17,FALSE))</f>
        <v>1</v>
      </c>
      <c r="G12" s="142" t="str">
        <f>IF(VLOOKUP($A12,Sheet1!$A$3:$AW$699,18,FALSE)="","",VLOOKUP($A12,Sheet1!$A$3:$AW$699,18,FALSE))</f>
        <v/>
      </c>
      <c r="H12" s="142" t="str">
        <f>IF(VLOOKUP($A12,Sheet1!$A$3:$AW$699,19,FALSE)="","",VLOOKUP($A12,Sheet1!$A$3:$AW$699,19,FALSE))</f>
        <v/>
      </c>
      <c r="I12" s="9" t="str">
        <f>IF(VLOOKUP($A12,Sheet1!$A$3:$AW$699,5,FALSE)="","",VLOOKUP($A12,Sheet1!$A$3:$AW$699,5,FALSE))</f>
        <v>UINT</v>
      </c>
      <c r="J12" s="11" t="s">
        <v>290</v>
      </c>
      <c r="K12" s="9" t="s">
        <v>283</v>
      </c>
      <c r="L12" s="146" t="str">
        <f>IF(VLOOKUP($A12,Sheet1!$A$3:$AW$699,7,FALSE)="★","x","")</f>
        <v/>
      </c>
      <c r="M12" s="146" t="str">
        <f>IF(VLOOKUP($A12,Sheet1!$A$3:$AW$699,8,FALSE)="▲","x","")</f>
        <v/>
      </c>
      <c r="N12" s="146" t="str">
        <f>IF(VLOOKUP($A12,Sheet1!$A$3:$AW$699,9,FALSE)="●","x","")</f>
        <v/>
      </c>
      <c r="O12" s="146" t="str">
        <f>IF(VLOOKUP($A12,Sheet1!$A$3:$AW$699,10,FALSE)="■","x","")</f>
        <v/>
      </c>
      <c r="P12" s="9" t="str">
        <f>IF(VLOOKUP($A12,Sheet1!$A$3:$AW$699,2,FALSE)="","",VLOOKUP($A12,Sheet1!$A$3:$AW$699,2,FALSE))</f>
        <v>P0.037</v>
      </c>
    </row>
    <row r="13" spans="1:16" ht="30" customHeight="1" x14ac:dyDescent="0.3">
      <c r="A13" s="9">
        <v>63</v>
      </c>
      <c r="B13" s="9" t="str">
        <f>IF(VLOOKUP($A13,Sheet1!$A$3:$AW$699,20,FALSE)="","",VLOOKUP($A13,Sheet1!$A$3:$AW$699,20,FALSE))</f>
        <v>ParameterMonitor4Selection</v>
      </c>
      <c r="C13" s="9" t="str">
        <f>IF(VLOOKUP($A13,Sheet1!$A$3:$AW$699,25,FALSE)="","",VLOOKUP($A13,Sheet1!$A$3:$AW$699,25,FALSE))</f>
        <v>All</v>
      </c>
      <c r="D13" s="142">
        <f>IF(VLOOKUP($A13,Sheet1!$A$3:$AW$699,15,FALSE)="","",VLOOKUP($A13,Sheet1!$A$3:$AW$699,15,FALSE))</f>
        <v>1</v>
      </c>
      <c r="E13" s="142">
        <f>IF(VLOOKUP($A13,Sheet1!$A$3:$AW$699,16,FALSE)="","",VLOOKUP($A13,Sheet1!$A$3:$AW$699,16,FALSE))</f>
        <v>687</v>
      </c>
      <c r="F13" s="142">
        <f>IF(VLOOKUP($A13,Sheet1!$A$3:$AW$699,17,FALSE)="","",VLOOKUP($A13,Sheet1!$A$3:$AW$699,17,FALSE))</f>
        <v>1</v>
      </c>
      <c r="G13" s="142" t="str">
        <f>IF(VLOOKUP($A13,Sheet1!$A$3:$AW$699,18,FALSE)="","",VLOOKUP($A13,Sheet1!$A$3:$AW$699,18,FALSE))</f>
        <v/>
      </c>
      <c r="H13" s="142" t="str">
        <f>IF(VLOOKUP($A13,Sheet1!$A$3:$AW$699,19,FALSE)="","",VLOOKUP($A13,Sheet1!$A$3:$AW$699,19,FALSE))</f>
        <v/>
      </c>
      <c r="I13" s="9" t="str">
        <f>IF(VLOOKUP($A13,Sheet1!$A$3:$AW$699,5,FALSE)="","",VLOOKUP($A13,Sheet1!$A$3:$AW$699,5,FALSE))</f>
        <v>UINT</v>
      </c>
      <c r="J13" s="11" t="s">
        <v>291</v>
      </c>
      <c r="K13" s="9" t="s">
        <v>283</v>
      </c>
      <c r="L13" s="146" t="str">
        <f>IF(VLOOKUP($A13,Sheet1!$A$3:$AW$699,7,FALSE)="★","x","")</f>
        <v/>
      </c>
      <c r="M13" s="146" t="str">
        <f>IF(VLOOKUP($A13,Sheet1!$A$3:$AW$699,8,FALSE)="▲","x","")</f>
        <v/>
      </c>
      <c r="N13" s="146" t="str">
        <f>IF(VLOOKUP($A13,Sheet1!$A$3:$AW$699,9,FALSE)="●","x","")</f>
        <v/>
      </c>
      <c r="O13" s="146" t="str">
        <f>IF(VLOOKUP($A13,Sheet1!$A$3:$AW$699,10,FALSE)="■","x","")</f>
        <v/>
      </c>
      <c r="P13" s="9" t="str">
        <f>IF(VLOOKUP($A13,Sheet1!$A$3:$AW$699,2,FALSE)="","",VLOOKUP($A13,Sheet1!$A$3:$AW$699,2,FALSE))</f>
        <v>P0.038</v>
      </c>
    </row>
    <row r="14" spans="1:16" ht="30" customHeight="1" x14ac:dyDescent="0.3">
      <c r="A14" s="9">
        <v>64</v>
      </c>
      <c r="B14" s="9" t="str">
        <f>IF(VLOOKUP($A14,Sheet1!$A$3:$AW$699,20,FALSE)="","",VLOOKUP($A14,Sheet1!$A$3:$AW$699,20,FALSE))</f>
        <v>ParameterMonitor5Selection</v>
      </c>
      <c r="C14" s="9" t="str">
        <f>IF(VLOOKUP($A14,Sheet1!$A$3:$AW$699,25,FALSE)="","",VLOOKUP($A14,Sheet1!$A$3:$AW$699,25,FALSE))</f>
        <v>All</v>
      </c>
      <c r="D14" s="142">
        <f>IF(VLOOKUP($A14,Sheet1!$A$3:$AW$699,15,FALSE)="","",VLOOKUP($A14,Sheet1!$A$3:$AW$699,15,FALSE))</f>
        <v>1</v>
      </c>
      <c r="E14" s="142">
        <f>IF(VLOOKUP($A14,Sheet1!$A$3:$AW$699,16,FALSE)="","",VLOOKUP($A14,Sheet1!$A$3:$AW$699,16,FALSE))</f>
        <v>687</v>
      </c>
      <c r="F14" s="142">
        <f>IF(VLOOKUP($A14,Sheet1!$A$3:$AW$699,17,FALSE)="","",VLOOKUP($A14,Sheet1!$A$3:$AW$699,17,FALSE))</f>
        <v>1</v>
      </c>
      <c r="G14" s="142" t="str">
        <f>IF(VLOOKUP($A14,Sheet1!$A$3:$AW$699,18,FALSE)="","",VLOOKUP($A14,Sheet1!$A$3:$AW$699,18,FALSE))</f>
        <v/>
      </c>
      <c r="H14" s="142" t="str">
        <f>IF(VLOOKUP($A14,Sheet1!$A$3:$AW$699,19,FALSE)="","",VLOOKUP($A14,Sheet1!$A$3:$AW$699,19,FALSE))</f>
        <v/>
      </c>
      <c r="I14" s="9" t="str">
        <f>IF(VLOOKUP($A14,Sheet1!$A$3:$AW$699,5,FALSE)="","",VLOOKUP($A14,Sheet1!$A$3:$AW$699,5,FALSE))</f>
        <v>UINT</v>
      </c>
      <c r="J14" s="11" t="s">
        <v>292</v>
      </c>
      <c r="K14" s="9" t="s">
        <v>283</v>
      </c>
      <c r="L14" s="146" t="str">
        <f>IF(VLOOKUP($A14,Sheet1!$A$3:$AW$699,7,FALSE)="★","x","")</f>
        <v/>
      </c>
      <c r="M14" s="146" t="str">
        <f>IF(VLOOKUP($A14,Sheet1!$A$3:$AW$699,8,FALSE)="▲","x","")</f>
        <v/>
      </c>
      <c r="N14" s="146" t="str">
        <f>IF(VLOOKUP($A14,Sheet1!$A$3:$AW$699,9,FALSE)="●","x","")</f>
        <v/>
      </c>
      <c r="O14" s="146" t="str">
        <f>IF(VLOOKUP($A14,Sheet1!$A$3:$AW$699,10,FALSE)="■","x","")</f>
        <v/>
      </c>
      <c r="P14" s="9" t="str">
        <f>IF(VLOOKUP($A14,Sheet1!$A$3:$AW$699,2,FALSE)="","",VLOOKUP($A14,Sheet1!$A$3:$AW$699,2,FALSE))</f>
        <v>P0.039</v>
      </c>
    </row>
    <row r="15" spans="1:16" ht="30" customHeight="1" x14ac:dyDescent="0.3">
      <c r="A15" s="9">
        <v>102</v>
      </c>
      <c r="B15" s="9" t="str">
        <f>IF(VLOOKUP($A15,Sheet1!$A$3:$AW$699,20,FALSE)="","",VLOOKUP($A15,Sheet1!$A$3:$AW$699,20,FALSE))</f>
        <v>LEDMonitorSelection</v>
      </c>
      <c r="C15" s="9" t="str">
        <f>IF(VLOOKUP($A15,Sheet1!$A$3:$AW$699,25,FALSE)="","",VLOOKUP($A15,Sheet1!$A$3:$AW$699,25,FALSE))</f>
        <v>All</v>
      </c>
      <c r="D15" s="142">
        <f>IF(VLOOKUP($A15,Sheet1!$A$3:$AW$699,15,FALSE)="","",VLOOKUP($A15,Sheet1!$A$3:$AW$699,15,FALSE))</f>
        <v>-300</v>
      </c>
      <c r="E15" s="142">
        <f>IF(VLOOKUP($A15,Sheet1!$A$3:$AW$699,16,FALSE)="","",VLOOKUP($A15,Sheet1!$A$3:$AW$699,16,FALSE))</f>
        <v>127</v>
      </c>
      <c r="F15" s="142">
        <f>IF(VLOOKUP($A15,Sheet1!$A$3:$AW$699,17,FALSE)="","",VLOOKUP($A15,Sheet1!$A$3:$AW$699,17,FALSE))</f>
        <v>1</v>
      </c>
      <c r="G15" s="142" t="str">
        <f>IF(VLOOKUP($A15,Sheet1!$A$3:$AW$699,18,FALSE)="","",VLOOKUP($A15,Sheet1!$A$3:$AW$699,18,FALSE))</f>
        <v/>
      </c>
      <c r="H15" s="142" t="str">
        <f>IF(VLOOKUP($A15,Sheet1!$A$3:$AW$699,19,FALSE)="","",VLOOKUP($A15,Sheet1!$A$3:$AW$699,19,FALSE))</f>
        <v/>
      </c>
      <c r="I15" s="9" t="str">
        <f>IF(VLOOKUP($A15,Sheet1!$A$3:$AW$699,5,FALSE)="","",VLOOKUP($A15,Sheet1!$A$3:$AW$699,5,FALSE))</f>
        <v>INT</v>
      </c>
      <c r="J15" s="9" t="s">
        <v>293</v>
      </c>
      <c r="K15" s="9" t="s">
        <v>283</v>
      </c>
      <c r="L15" s="146" t="str">
        <f>IF(VLOOKUP($A15,Sheet1!$A$3:$AW$699,7,FALSE)="★","x","")</f>
        <v/>
      </c>
      <c r="M15" s="146" t="str">
        <f>IF(VLOOKUP($A15,Sheet1!$A$3:$AW$699,8,FALSE)="▲","x","")</f>
        <v/>
      </c>
      <c r="N15" s="146" t="str">
        <f>IF(VLOOKUP($A15,Sheet1!$A$3:$AW$699,9,FALSE)="●","x","")</f>
        <v/>
      </c>
      <c r="O15" s="146" t="str">
        <f>IF(VLOOKUP($A15,Sheet1!$A$3:$AW$699,10,FALSE)="■","x","")</f>
        <v/>
      </c>
      <c r="P15" s="9" t="str">
        <f>IF(VLOOKUP($A15,Sheet1!$A$3:$AW$699,2,FALSE)="","",VLOOKUP($A15,Sheet1!$A$3:$AW$699,2,FALSE))</f>
        <v>P0.002</v>
      </c>
    </row>
    <row r="16" spans="1:16" ht="30" customHeight="1" x14ac:dyDescent="0.3">
      <c r="A16" s="9">
        <v>107</v>
      </c>
      <c r="B16" s="9" t="str">
        <f>IF(VLOOKUP($A16,Sheet1!$A$3:$AW$699,20,FALSE)="","",VLOOKUP($A16,Sheet1!$A$3:$AW$699,20,FALSE))</f>
        <v>ServoOutputStatus</v>
      </c>
      <c r="C16" s="9" t="str">
        <f>IF(VLOOKUP($A16,Sheet1!$A$3:$AW$699,25,FALSE)="","",VLOOKUP($A16,Sheet1!$A$3:$AW$699,25,FALSE))</f>
        <v>All</v>
      </c>
      <c r="D16" s="142" t="str">
        <f>IF(VLOOKUP($A16,Sheet1!$A$3:$AW$699,15,FALSE)="","",VLOOKUP($A16,Sheet1!$A$3:$AW$699,15,FALSE))</f>
        <v>0x0000</v>
      </c>
      <c r="E16" s="142" t="str">
        <f>IF(VLOOKUP($A16,Sheet1!$A$3:$AW$699,16,FALSE)="","",VLOOKUP($A16,Sheet1!$A$3:$AW$699,16,FALSE))</f>
        <v>0x0FFF</v>
      </c>
      <c r="F16" s="142" t="str">
        <f>IF(VLOOKUP($A16,Sheet1!$A$3:$AW$699,17,FALSE)="","",VLOOKUP($A16,Sheet1!$A$3:$AW$699,17,FALSE))</f>
        <v>0x0000</v>
      </c>
      <c r="G16" s="142" t="str">
        <f>IF(VLOOKUP($A16,Sheet1!$A$3:$AW$699,18,FALSE)="","",VLOOKUP($A16,Sheet1!$A$3:$AW$699,18,FALSE))</f>
        <v/>
      </c>
      <c r="H16" s="142" t="str">
        <f>IF(VLOOKUP($A16,Sheet1!$A$3:$AW$699,19,FALSE)="","",VLOOKUP($A16,Sheet1!$A$3:$AW$699,19,FALSE))</f>
        <v/>
      </c>
      <c r="I16" s="9" t="str">
        <f>IF(VLOOKUP($A16,Sheet1!$A$3:$AW$699,5,FALSE)="","",VLOOKUP($A16,Sheet1!$A$3:$AW$699,5,FALSE))</f>
        <v>UINT</v>
      </c>
      <c r="J16" s="9" t="s">
        <v>294</v>
      </c>
      <c r="K16" s="9" t="s">
        <v>283</v>
      </c>
      <c r="L16" s="146" t="str">
        <f>IF(VLOOKUP($A16,Sheet1!$A$3:$AW$699,7,FALSE)="★","x","")</f>
        <v>x</v>
      </c>
      <c r="M16" s="146" t="str">
        <f>IF(VLOOKUP($A16,Sheet1!$A$3:$AW$699,8,FALSE)="▲","x","")</f>
        <v/>
      </c>
      <c r="N16" s="146" t="str">
        <f>IF(VLOOKUP($A16,Sheet1!$A$3:$AW$699,9,FALSE)="●","x","")</f>
        <v/>
      </c>
      <c r="O16" s="146" t="str">
        <f>IF(VLOOKUP($A16,Sheet1!$A$3:$AW$699,10,FALSE)="■","x","")</f>
        <v>x</v>
      </c>
      <c r="P16" s="9" t="str">
        <f>IF(VLOOKUP($A16,Sheet1!$A$3:$AW$699,2,FALSE)="","",VLOOKUP($A16,Sheet1!$A$3:$AW$699,2,FALSE))</f>
        <v>P0.046</v>
      </c>
    </row>
    <row r="17" spans="1:16" ht="30" customHeight="1" x14ac:dyDescent="0.3">
      <c r="A17" s="9">
        <v>110</v>
      </c>
      <c r="B17" s="9" t="str">
        <f>IF(VLOOKUP($A17,Sheet1!$A$3:$AW$699,20,FALSE)="","",VLOOKUP($A17,Sheet1!$A$3:$AW$699,20,FALSE))</f>
        <v>MultiTurnAbsPosition</v>
      </c>
      <c r="C17" s="9" t="str">
        <f>IF(VLOOKUP($A17,Sheet1!$A$3:$AW$699,25,FALSE)="","",VLOOKUP($A17,Sheet1!$A$3:$AW$699,25,FALSE))</f>
        <v>All</v>
      </c>
      <c r="D17" s="142">
        <f>IF(VLOOKUP($A17,Sheet1!$A$3:$AW$699,15,FALSE)="","",VLOOKUP($A17,Sheet1!$A$3:$AW$699,15,FALSE))</f>
        <v>-32768</v>
      </c>
      <c r="E17" s="142">
        <f>IF(VLOOKUP($A17,Sheet1!$A$3:$AW$699,16,FALSE)="","",VLOOKUP($A17,Sheet1!$A$3:$AW$699,16,FALSE))</f>
        <v>32767</v>
      </c>
      <c r="F17" s="142">
        <f>IF(VLOOKUP($A17,Sheet1!$A$3:$AW$699,17,FALSE)="","",VLOOKUP($A17,Sheet1!$A$3:$AW$699,17,FALSE))</f>
        <v>0</v>
      </c>
      <c r="G17" s="142" t="str">
        <f>IF(VLOOKUP($A17,Sheet1!$A$3:$AW$699,18,FALSE)="","",VLOOKUP($A17,Sheet1!$A$3:$AW$699,18,FALSE))</f>
        <v/>
      </c>
      <c r="H17" s="142" t="str">
        <f>IF(VLOOKUP($A17,Sheet1!$A$3:$AW$699,19,FALSE)="","",VLOOKUP($A17,Sheet1!$A$3:$AW$699,19,FALSE))</f>
        <v>Rev</v>
      </c>
      <c r="I17" s="9" t="str">
        <f>IF(VLOOKUP($A17,Sheet1!$A$3:$AW$699,5,FALSE)="","",VLOOKUP($A17,Sheet1!$A$3:$AW$699,5,FALSE))</f>
        <v>DINT</v>
      </c>
      <c r="J17" s="9" t="s">
        <v>295</v>
      </c>
      <c r="K17" s="9" t="s">
        <v>283</v>
      </c>
      <c r="L17" s="146" t="str">
        <f>IF(VLOOKUP($A17,Sheet1!$A$3:$AW$699,7,FALSE)="★","x","")</f>
        <v>x</v>
      </c>
      <c r="M17" s="146" t="str">
        <f>IF(VLOOKUP($A17,Sheet1!$A$3:$AW$699,8,FALSE)="▲","x","")</f>
        <v/>
      </c>
      <c r="N17" s="146" t="str">
        <f>IF(VLOOKUP($A17,Sheet1!$A$3:$AW$699,9,FALSE)="●","x","")</f>
        <v/>
      </c>
      <c r="O17" s="146" t="str">
        <f>IF(VLOOKUP($A17,Sheet1!$A$3:$AW$699,10,FALSE)="■","x","")</f>
        <v>x</v>
      </c>
      <c r="P17" s="9" t="str">
        <f>IF(VLOOKUP($A17,Sheet1!$A$3:$AW$699,2,FALSE)="","",VLOOKUP($A17,Sheet1!$A$3:$AW$699,2,FALSE))</f>
        <v>P0.051</v>
      </c>
    </row>
    <row r="18" spans="1:16" ht="30" customHeight="1" x14ac:dyDescent="0.3">
      <c r="A18" s="9">
        <v>111</v>
      </c>
      <c r="B18" s="9" t="str">
        <f>IF(VLOOKUP($A18,Sheet1!$A$3:$AW$699,20,FALSE)="","",VLOOKUP($A18,Sheet1!$A$3:$AW$699,20,FALSE))</f>
        <v>SingleTurnAbsPosition</v>
      </c>
      <c r="C18" s="9" t="str">
        <f>IF(VLOOKUP($A18,Sheet1!$A$3:$AW$699,25,FALSE)="","",VLOOKUP($A18,Sheet1!$A$3:$AW$699,25,FALSE))</f>
        <v>All</v>
      </c>
      <c r="D18" s="142">
        <f>IF(VLOOKUP($A18,Sheet1!$A$3:$AW$699,15,FALSE)="","",VLOOKUP($A18,Sheet1!$A$3:$AW$699,15,FALSE))</f>
        <v>-2147483648</v>
      </c>
      <c r="E18" s="142">
        <f>IF(VLOOKUP($A18,Sheet1!$A$3:$AW$699,16,FALSE)="","",VLOOKUP($A18,Sheet1!$A$3:$AW$699,16,FALSE))</f>
        <v>2147483647</v>
      </c>
      <c r="F18" s="142">
        <f>IF(VLOOKUP($A18,Sheet1!$A$3:$AW$699,17,FALSE)="","",VLOOKUP($A18,Sheet1!$A$3:$AW$699,17,FALSE))</f>
        <v>0</v>
      </c>
      <c r="G18" s="142" t="str">
        <f>IF(VLOOKUP($A18,Sheet1!$A$3:$AW$699,18,FALSE)="","",VLOOKUP($A18,Sheet1!$A$3:$AW$699,18,FALSE))</f>
        <v/>
      </c>
      <c r="H18" s="142" t="str">
        <f>IF(VLOOKUP($A18,Sheet1!$A$3:$AW$699,19,FALSE)="","",VLOOKUP($A18,Sheet1!$A$3:$AW$699,19,FALSE))</f>
        <v>Counts</v>
      </c>
      <c r="I18" s="9" t="str">
        <f>IF(VLOOKUP($A18,Sheet1!$A$3:$AW$699,5,FALSE)="","",VLOOKUP($A18,Sheet1!$A$3:$AW$699,5,FALSE))</f>
        <v>DINT</v>
      </c>
      <c r="J18" s="9" t="s">
        <v>296</v>
      </c>
      <c r="K18" s="9" t="s">
        <v>283</v>
      </c>
      <c r="L18" s="146" t="str">
        <f>IF(VLOOKUP($A18,Sheet1!$A$3:$AW$699,7,FALSE)="★","x","")</f>
        <v>x</v>
      </c>
      <c r="M18" s="146" t="str">
        <f>IF(VLOOKUP($A18,Sheet1!$A$3:$AW$699,8,FALSE)="▲","x","")</f>
        <v/>
      </c>
      <c r="N18" s="146" t="str">
        <f>IF(VLOOKUP($A18,Sheet1!$A$3:$AW$699,9,FALSE)="●","x","")</f>
        <v/>
      </c>
      <c r="O18" s="146" t="str">
        <f>IF(VLOOKUP($A18,Sheet1!$A$3:$AW$699,10,FALSE)="■","x","")</f>
        <v>x</v>
      </c>
      <c r="P18" s="9" t="str">
        <f>IF(VLOOKUP($A18,Sheet1!$A$3:$AW$699,2,FALSE)="","",VLOOKUP($A18,Sheet1!$A$3:$AW$699,2,FALSE))</f>
        <v>P0.052</v>
      </c>
    </row>
    <row r="19" spans="1:16" ht="30" customHeight="1" x14ac:dyDescent="0.3">
      <c r="A19" s="9">
        <v>658</v>
      </c>
      <c r="B19" s="9" t="str">
        <f>IF(VLOOKUP($A19,Sheet1!$A$3:$AW$699,20,FALSE)="","",VLOOKUP($A19,Sheet1!$A$3:$AW$699,20,FALSE))</f>
        <v>EncoderTemperature</v>
      </c>
      <c r="C19" s="9" t="str">
        <f>IF(VLOOKUP($A19,Sheet1!$A$3:$AW$699,25,FALSE)="","",VLOOKUP($A19,Sheet1!$A$3:$AW$699,25,FALSE))</f>
        <v>All</v>
      </c>
      <c r="D19" s="142">
        <f>IF(VLOOKUP($A19,Sheet1!$A$3:$AW$699,15,FALSE)="","",VLOOKUP($A19,Sheet1!$A$3:$AW$699,15,FALSE))</f>
        <v>0</v>
      </c>
      <c r="E19" s="142" t="str">
        <f>IF(VLOOKUP($A19,Sheet1!$A$3:$AW$699,16,FALSE)="","",VLOOKUP($A19,Sheet1!$A$3:$AW$699,16,FALSE))</f>
        <v>0xFFFFFFFF</v>
      </c>
      <c r="F19" s="142">
        <f>IF(VLOOKUP($A19,Sheet1!$A$3:$AW$699,17,FALSE)="","",VLOOKUP($A19,Sheet1!$A$3:$AW$699,17,FALSE))</f>
        <v>0</v>
      </c>
      <c r="G19" s="142" t="str">
        <f>IF(VLOOKUP($A19,Sheet1!$A$3:$AW$699,18,FALSE)="","",VLOOKUP($A19,Sheet1!$A$3:$AW$699,18,FALSE))</f>
        <v/>
      </c>
      <c r="H19" s="142" t="str">
        <f>IF(VLOOKUP($A19,Sheet1!$A$3:$AW$699,19,FALSE)="","",VLOOKUP($A19,Sheet1!$A$3:$AW$699,19,FALSE))</f>
        <v>oC</v>
      </c>
      <c r="I19" s="9" t="str">
        <f>IF(VLOOKUP($A19,Sheet1!$A$3:$AW$699,5,FALSE)="","",VLOOKUP($A19,Sheet1!$A$3:$AW$699,5,FALSE))</f>
        <v>UDINT</v>
      </c>
      <c r="J19" s="9" t="s">
        <v>297</v>
      </c>
      <c r="K19" s="9" t="s">
        <v>283</v>
      </c>
      <c r="L19" s="146" t="str">
        <f>IF(VLOOKUP($A19,Sheet1!$A$3:$AW$699,7,FALSE)="★","x","")</f>
        <v>x</v>
      </c>
      <c r="M19" s="146" t="str">
        <f>IF(VLOOKUP($A19,Sheet1!$A$3:$AW$699,8,FALSE)="▲","x","")</f>
        <v/>
      </c>
      <c r="N19" s="146" t="str">
        <f>IF(VLOOKUP($A19,Sheet1!$A$3:$AW$699,9,FALSE)="●","x","")</f>
        <v/>
      </c>
      <c r="O19" s="146" t="str">
        <f>IF(VLOOKUP($A19,Sheet1!$A$3:$AW$699,10,FALSE)="■","x","")</f>
        <v>x</v>
      </c>
      <c r="P19" s="9" t="str">
        <f>IF(VLOOKUP($A19,Sheet1!$A$3:$AW$699,2,FALSE)="","",VLOOKUP($A19,Sheet1!$A$3:$AW$699,2,FALSE))</f>
        <v>PN.043</v>
      </c>
    </row>
    <row r="20" spans="1:16" ht="30" customHeight="1" x14ac:dyDescent="0.3">
      <c r="A20" s="9">
        <v>663</v>
      </c>
      <c r="B20" s="9" t="str">
        <f>IF(VLOOKUP($A20,Sheet1!$A$3:$AW$699,20,FALSE)="","",VLOOKUP($A20,Sheet1!$A$3:$AW$699,20,FALSE))</f>
        <v>SystemVariableMonitor1Value</v>
      </c>
      <c r="C20" s="9" t="str">
        <f>IF(VLOOKUP($A20,Sheet1!$A$3:$AW$699,25,FALSE)="","",VLOOKUP($A20,Sheet1!$A$3:$AW$699,25,FALSE))</f>
        <v>All</v>
      </c>
      <c r="D20" s="142">
        <f>IF(VLOOKUP($A20,Sheet1!$A$3:$AW$699,15,FALSE)="","",VLOOKUP($A20,Sheet1!$A$3:$AW$699,15,FALSE))</f>
        <v>-2147483648</v>
      </c>
      <c r="E20" s="142">
        <f>IF(VLOOKUP($A20,Sheet1!$A$3:$AW$699,16,FALSE)="","",VLOOKUP($A20,Sheet1!$A$3:$AW$699,16,FALSE))</f>
        <v>2147483647</v>
      </c>
      <c r="F20" s="142">
        <f>IF(VLOOKUP($A20,Sheet1!$A$3:$AW$699,17,FALSE)="","",VLOOKUP($A20,Sheet1!$A$3:$AW$699,17,FALSE))</f>
        <v>0</v>
      </c>
      <c r="G20" s="142" t="str">
        <f>IF(VLOOKUP($A20,Sheet1!$A$3:$AW$699,18,FALSE)="","",VLOOKUP($A20,Sheet1!$A$3:$AW$699,18,FALSE))</f>
        <v/>
      </c>
      <c r="H20" s="142" t="str">
        <f>IF(VLOOKUP($A20,Sheet1!$A$3:$AW$699,19,FALSE)="","",VLOOKUP($A20,Sheet1!$A$3:$AW$699,19,FALSE))</f>
        <v/>
      </c>
      <c r="I20" s="9" t="str">
        <f>IF(VLOOKUP($A20,Sheet1!$A$3:$AW$699,5,FALSE)="","",VLOOKUP($A20,Sheet1!$A$3:$AW$699,5,FALSE))</f>
        <v>DINT</v>
      </c>
      <c r="J20" s="11" t="s">
        <v>298</v>
      </c>
      <c r="K20" s="9" t="s">
        <v>283</v>
      </c>
      <c r="L20" s="146" t="str">
        <f>IF(VLOOKUP($A20,Sheet1!$A$3:$AW$699,7,FALSE)="★","x","")</f>
        <v>x</v>
      </c>
      <c r="M20" s="146" t="str">
        <f>IF(VLOOKUP($A20,Sheet1!$A$3:$AW$699,8,FALSE)="▲","x","")</f>
        <v/>
      </c>
      <c r="N20" s="146" t="str">
        <f>IF(VLOOKUP($A20,Sheet1!$A$3:$AW$699,9,FALSE)="●","x","")</f>
        <v/>
      </c>
      <c r="O20" s="146" t="str">
        <f>IF(VLOOKUP($A20,Sheet1!$A$3:$AW$699,10,FALSE)="■","x","")</f>
        <v>x</v>
      </c>
      <c r="P20" s="9" t="str">
        <f>IF(VLOOKUP($A20,Sheet1!$A$3:$AW$699,2,FALSE)="","",VLOOKUP($A20,Sheet1!$A$3:$AW$699,2,FALSE))</f>
        <v>P0.009</v>
      </c>
    </row>
    <row r="21" spans="1:16" ht="30" customHeight="1" x14ac:dyDescent="0.3">
      <c r="A21" s="9">
        <v>664</v>
      </c>
      <c r="B21" s="9" t="str">
        <f>IF(VLOOKUP($A21,Sheet1!$A$3:$AW$699,20,FALSE)="","",VLOOKUP($A21,Sheet1!$A$3:$AW$699,20,FALSE))</f>
        <v>SystemVariableMonitor2Value</v>
      </c>
      <c r="C21" s="9" t="str">
        <f>IF(VLOOKUP($A21,Sheet1!$A$3:$AW$699,25,FALSE)="","",VLOOKUP($A21,Sheet1!$A$3:$AW$699,25,FALSE))</f>
        <v>All</v>
      </c>
      <c r="D21" s="142">
        <f>IF(VLOOKUP($A21,Sheet1!$A$3:$AW$699,15,FALSE)="","",VLOOKUP($A21,Sheet1!$A$3:$AW$699,15,FALSE))</f>
        <v>-2147483648</v>
      </c>
      <c r="E21" s="142">
        <f>IF(VLOOKUP($A21,Sheet1!$A$3:$AW$699,16,FALSE)="","",VLOOKUP($A21,Sheet1!$A$3:$AW$699,16,FALSE))</f>
        <v>2147483647</v>
      </c>
      <c r="F21" s="142">
        <f>IF(VLOOKUP($A21,Sheet1!$A$3:$AW$699,17,FALSE)="","",VLOOKUP($A21,Sheet1!$A$3:$AW$699,17,FALSE))</f>
        <v>0</v>
      </c>
      <c r="G21" s="142" t="str">
        <f>IF(VLOOKUP($A21,Sheet1!$A$3:$AW$699,18,FALSE)="","",VLOOKUP($A21,Sheet1!$A$3:$AW$699,18,FALSE))</f>
        <v/>
      </c>
      <c r="H21" s="142" t="str">
        <f>IF(VLOOKUP($A21,Sheet1!$A$3:$AW$699,19,FALSE)="","",VLOOKUP($A21,Sheet1!$A$3:$AW$699,19,FALSE))</f>
        <v/>
      </c>
      <c r="I21" s="9" t="str">
        <f>IF(VLOOKUP($A21,Sheet1!$A$3:$AW$699,5,FALSE)="","",VLOOKUP($A21,Sheet1!$A$3:$AW$699,5,FALSE))</f>
        <v>DINT</v>
      </c>
      <c r="J21" s="11" t="s">
        <v>299</v>
      </c>
      <c r="K21" s="9" t="s">
        <v>283</v>
      </c>
      <c r="L21" s="146" t="str">
        <f>IF(VLOOKUP($A21,Sheet1!$A$3:$AW$699,7,FALSE)="★","x","")</f>
        <v>x</v>
      </c>
      <c r="M21" s="146" t="str">
        <f>IF(VLOOKUP($A21,Sheet1!$A$3:$AW$699,8,FALSE)="▲","x","")</f>
        <v/>
      </c>
      <c r="N21" s="146" t="str">
        <f>IF(VLOOKUP($A21,Sheet1!$A$3:$AW$699,9,FALSE)="●","x","")</f>
        <v/>
      </c>
      <c r="O21" s="146" t="str">
        <f>IF(VLOOKUP($A21,Sheet1!$A$3:$AW$699,10,FALSE)="■","x","")</f>
        <v>x</v>
      </c>
      <c r="P21" s="9" t="str">
        <f>IF(VLOOKUP($A21,Sheet1!$A$3:$AW$699,2,FALSE)="","",VLOOKUP($A21,Sheet1!$A$3:$AW$699,2,FALSE))</f>
        <v>P0.010</v>
      </c>
    </row>
    <row r="22" spans="1:16" ht="30" customHeight="1" x14ac:dyDescent="0.3">
      <c r="A22" s="9">
        <v>665</v>
      </c>
      <c r="B22" s="9" t="str">
        <f>IF(VLOOKUP($A22,Sheet1!$A$3:$AW$699,20,FALSE)="","",VLOOKUP($A22,Sheet1!$A$3:$AW$699,20,FALSE))</f>
        <v>SystemVariableMonitor3Value</v>
      </c>
      <c r="C22" s="9" t="str">
        <f>IF(VLOOKUP($A22,Sheet1!$A$3:$AW$699,25,FALSE)="","",VLOOKUP($A22,Sheet1!$A$3:$AW$699,25,FALSE))</f>
        <v>All</v>
      </c>
      <c r="D22" s="142">
        <f>IF(VLOOKUP($A22,Sheet1!$A$3:$AW$699,15,FALSE)="","",VLOOKUP($A22,Sheet1!$A$3:$AW$699,15,FALSE))</f>
        <v>-2147483648</v>
      </c>
      <c r="E22" s="142">
        <f>IF(VLOOKUP($A22,Sheet1!$A$3:$AW$699,16,FALSE)="","",VLOOKUP($A22,Sheet1!$A$3:$AW$699,16,FALSE))</f>
        <v>2147483647</v>
      </c>
      <c r="F22" s="142">
        <f>IF(VLOOKUP($A22,Sheet1!$A$3:$AW$699,17,FALSE)="","",VLOOKUP($A22,Sheet1!$A$3:$AW$699,17,FALSE))</f>
        <v>0</v>
      </c>
      <c r="G22" s="142" t="str">
        <f>IF(VLOOKUP($A22,Sheet1!$A$3:$AW$699,18,FALSE)="","",VLOOKUP($A22,Sheet1!$A$3:$AW$699,18,FALSE))</f>
        <v/>
      </c>
      <c r="H22" s="142" t="str">
        <f>IF(VLOOKUP($A22,Sheet1!$A$3:$AW$699,19,FALSE)="","",VLOOKUP($A22,Sheet1!$A$3:$AW$699,19,FALSE))</f>
        <v/>
      </c>
      <c r="I22" s="9" t="str">
        <f>IF(VLOOKUP($A22,Sheet1!$A$3:$AW$699,5,FALSE)="","",VLOOKUP($A22,Sheet1!$A$3:$AW$699,5,FALSE))</f>
        <v>DINT</v>
      </c>
      <c r="J22" s="11" t="s">
        <v>300</v>
      </c>
      <c r="K22" s="9" t="s">
        <v>283</v>
      </c>
      <c r="L22" s="146" t="str">
        <f>IF(VLOOKUP($A22,Sheet1!$A$3:$AW$699,7,FALSE)="★","x","")</f>
        <v>x</v>
      </c>
      <c r="M22" s="146" t="str">
        <f>IF(VLOOKUP($A22,Sheet1!$A$3:$AW$699,8,FALSE)="▲","x","")</f>
        <v/>
      </c>
      <c r="N22" s="146" t="str">
        <f>IF(VLOOKUP($A22,Sheet1!$A$3:$AW$699,9,FALSE)="●","x","")</f>
        <v/>
      </c>
      <c r="O22" s="146" t="str">
        <f>IF(VLOOKUP($A22,Sheet1!$A$3:$AW$699,10,FALSE)="■","x","")</f>
        <v>x</v>
      </c>
      <c r="P22" s="9" t="str">
        <f>IF(VLOOKUP($A22,Sheet1!$A$3:$AW$699,2,FALSE)="","",VLOOKUP($A22,Sheet1!$A$3:$AW$699,2,FALSE))</f>
        <v>P0.011</v>
      </c>
    </row>
    <row r="23" spans="1:16" ht="30" customHeight="1" x14ac:dyDescent="0.3">
      <c r="A23" s="9">
        <v>666</v>
      </c>
      <c r="B23" s="9" t="str">
        <f>IF(VLOOKUP($A23,Sheet1!$A$3:$AW$699,20,FALSE)="","",VLOOKUP($A23,Sheet1!$A$3:$AW$699,20,FALSE))</f>
        <v>SystemVariableMonitor4Value</v>
      </c>
      <c r="C23" s="9" t="str">
        <f>IF(VLOOKUP($A23,Sheet1!$A$3:$AW$699,25,FALSE)="","",VLOOKUP($A23,Sheet1!$A$3:$AW$699,25,FALSE))</f>
        <v>All</v>
      </c>
      <c r="D23" s="142">
        <f>IF(VLOOKUP($A23,Sheet1!$A$3:$AW$699,15,FALSE)="","",VLOOKUP($A23,Sheet1!$A$3:$AW$699,15,FALSE))</f>
        <v>-2147483648</v>
      </c>
      <c r="E23" s="142">
        <f>IF(VLOOKUP($A23,Sheet1!$A$3:$AW$699,16,FALSE)="","",VLOOKUP($A23,Sheet1!$A$3:$AW$699,16,FALSE))</f>
        <v>2147483647</v>
      </c>
      <c r="F23" s="142">
        <f>IF(VLOOKUP($A23,Sheet1!$A$3:$AW$699,17,FALSE)="","",VLOOKUP($A23,Sheet1!$A$3:$AW$699,17,FALSE))</f>
        <v>0</v>
      </c>
      <c r="G23" s="142" t="str">
        <f>IF(VLOOKUP($A23,Sheet1!$A$3:$AW$699,18,FALSE)="","",VLOOKUP($A23,Sheet1!$A$3:$AW$699,18,FALSE))</f>
        <v/>
      </c>
      <c r="H23" s="142" t="str">
        <f>IF(VLOOKUP($A23,Sheet1!$A$3:$AW$699,19,FALSE)="","",VLOOKUP($A23,Sheet1!$A$3:$AW$699,19,FALSE))</f>
        <v/>
      </c>
      <c r="I23" s="9" t="str">
        <f>IF(VLOOKUP($A23,Sheet1!$A$3:$AW$699,5,FALSE)="","",VLOOKUP($A23,Sheet1!$A$3:$AW$699,5,FALSE))</f>
        <v>DINT</v>
      </c>
      <c r="J23" s="11" t="s">
        <v>301</v>
      </c>
      <c r="K23" s="9" t="s">
        <v>283</v>
      </c>
      <c r="L23" s="146" t="str">
        <f>IF(VLOOKUP($A23,Sheet1!$A$3:$AW$699,7,FALSE)="★","x","")</f>
        <v>x</v>
      </c>
      <c r="M23" s="146" t="str">
        <f>IF(VLOOKUP($A23,Sheet1!$A$3:$AW$699,8,FALSE)="▲","x","")</f>
        <v/>
      </c>
      <c r="N23" s="146" t="str">
        <f>IF(VLOOKUP($A23,Sheet1!$A$3:$AW$699,9,FALSE)="●","x","")</f>
        <v/>
      </c>
      <c r="O23" s="146" t="str">
        <f>IF(VLOOKUP($A23,Sheet1!$A$3:$AW$699,10,FALSE)="■","x","")</f>
        <v>x</v>
      </c>
      <c r="P23" s="9" t="str">
        <f>IF(VLOOKUP($A23,Sheet1!$A$3:$AW$699,2,FALSE)="","",VLOOKUP($A23,Sheet1!$A$3:$AW$699,2,FALSE))</f>
        <v>P0.012</v>
      </c>
    </row>
    <row r="24" spans="1:16" ht="30" customHeight="1" x14ac:dyDescent="0.3">
      <c r="A24" s="9">
        <v>667</v>
      </c>
      <c r="B24" s="9" t="str">
        <f>IF(VLOOKUP($A24,Sheet1!$A$3:$AW$699,20,FALSE)="","",VLOOKUP($A24,Sheet1!$A$3:$AW$699,20,FALSE))</f>
        <v>SystemVariableMonitor5Value</v>
      </c>
      <c r="C24" s="9" t="str">
        <f>IF(VLOOKUP($A24,Sheet1!$A$3:$AW$699,25,FALSE)="","",VLOOKUP($A24,Sheet1!$A$3:$AW$699,25,FALSE))</f>
        <v>All</v>
      </c>
      <c r="D24" s="142">
        <f>IF(VLOOKUP($A24,Sheet1!$A$3:$AW$699,15,FALSE)="","",VLOOKUP($A24,Sheet1!$A$3:$AW$699,15,FALSE))</f>
        <v>-2147483648</v>
      </c>
      <c r="E24" s="142">
        <f>IF(VLOOKUP($A24,Sheet1!$A$3:$AW$699,16,FALSE)="","",VLOOKUP($A24,Sheet1!$A$3:$AW$699,16,FALSE))</f>
        <v>2147483647</v>
      </c>
      <c r="F24" s="142">
        <f>IF(VLOOKUP($A24,Sheet1!$A$3:$AW$699,17,FALSE)="","",VLOOKUP($A24,Sheet1!$A$3:$AW$699,17,FALSE))</f>
        <v>0</v>
      </c>
      <c r="G24" s="142" t="str">
        <f>IF(VLOOKUP($A24,Sheet1!$A$3:$AW$699,18,FALSE)="","",VLOOKUP($A24,Sheet1!$A$3:$AW$699,18,FALSE))</f>
        <v/>
      </c>
      <c r="H24" s="142" t="str">
        <f>IF(VLOOKUP($A24,Sheet1!$A$3:$AW$699,19,FALSE)="","",VLOOKUP($A24,Sheet1!$A$3:$AW$699,19,FALSE))</f>
        <v/>
      </c>
      <c r="I24" s="9" t="str">
        <f>IF(VLOOKUP($A24,Sheet1!$A$3:$AW$699,5,FALSE)="","",VLOOKUP($A24,Sheet1!$A$3:$AW$699,5,FALSE))</f>
        <v>DINT</v>
      </c>
      <c r="J24" s="11" t="s">
        <v>302</v>
      </c>
      <c r="K24" s="9" t="s">
        <v>283</v>
      </c>
      <c r="L24" s="146" t="str">
        <f>IF(VLOOKUP($A24,Sheet1!$A$3:$AW$699,7,FALSE)="★","x","")</f>
        <v>x</v>
      </c>
      <c r="M24" s="146" t="str">
        <f>IF(VLOOKUP($A24,Sheet1!$A$3:$AW$699,8,FALSE)="▲","x","")</f>
        <v/>
      </c>
      <c r="N24" s="146" t="str">
        <f>IF(VLOOKUP($A24,Sheet1!$A$3:$AW$699,9,FALSE)="●","x","")</f>
        <v/>
      </c>
      <c r="O24" s="146" t="str">
        <f>IF(VLOOKUP($A24,Sheet1!$A$3:$AW$699,10,FALSE)="■","x","")</f>
        <v>x</v>
      </c>
      <c r="P24" s="9" t="str">
        <f>IF(VLOOKUP($A24,Sheet1!$A$3:$AW$699,2,FALSE)="","",VLOOKUP($A24,Sheet1!$A$3:$AW$699,2,FALSE))</f>
        <v>P0.013</v>
      </c>
    </row>
    <row r="25" spans="1:16" ht="30" customHeight="1" x14ac:dyDescent="0.3">
      <c r="A25" s="9">
        <v>668</v>
      </c>
      <c r="B25" s="9" t="str">
        <f>IF(VLOOKUP($A25,Sheet1!$A$3:$AW$699,20,FALSE)="","",VLOOKUP($A25,Sheet1!$A$3:$AW$699,20,FALSE))</f>
        <v>SystemVariableMonitor1Selection</v>
      </c>
      <c r="C25" s="9" t="str">
        <f>IF(VLOOKUP($A25,Sheet1!$A$3:$AW$699,25,FALSE)="","",VLOOKUP($A25,Sheet1!$A$3:$AW$699,25,FALSE))</f>
        <v>All</v>
      </c>
      <c r="D25" s="142">
        <f>IF(VLOOKUP($A25,Sheet1!$A$3:$AW$699,15,FALSE)="","",VLOOKUP($A25,Sheet1!$A$3:$AW$699,15,FALSE))</f>
        <v>-300</v>
      </c>
      <c r="E25" s="142">
        <f>IF(VLOOKUP($A25,Sheet1!$A$3:$AW$699,16,FALSE)="","",VLOOKUP($A25,Sheet1!$A$3:$AW$699,16,FALSE))</f>
        <v>127</v>
      </c>
      <c r="F25" s="142">
        <f>IF(VLOOKUP($A25,Sheet1!$A$3:$AW$699,17,FALSE)="","",VLOOKUP($A25,Sheet1!$A$3:$AW$699,17,FALSE))</f>
        <v>0</v>
      </c>
      <c r="G25" s="142" t="str">
        <f>IF(VLOOKUP($A25,Sheet1!$A$3:$AW$699,18,FALSE)="","",VLOOKUP($A25,Sheet1!$A$3:$AW$699,18,FALSE))</f>
        <v/>
      </c>
      <c r="H25" s="142" t="str">
        <f>IF(VLOOKUP($A25,Sheet1!$A$3:$AW$699,19,FALSE)="","",VLOOKUP($A25,Sheet1!$A$3:$AW$699,19,FALSE))</f>
        <v/>
      </c>
      <c r="I25" s="9" t="str">
        <f>IF(VLOOKUP($A25,Sheet1!$A$3:$AW$699,5,FALSE)="","",VLOOKUP($A25,Sheet1!$A$3:$AW$699,5,FALSE))</f>
        <v>INT</v>
      </c>
      <c r="J25" s="11" t="s">
        <v>303</v>
      </c>
      <c r="K25" s="9" t="s">
        <v>283</v>
      </c>
      <c r="L25" s="146" t="str">
        <f>IF(VLOOKUP($A25,Sheet1!$A$3:$AW$699,7,FALSE)="★","x","")</f>
        <v/>
      </c>
      <c r="M25" s="146" t="str">
        <f>IF(VLOOKUP($A25,Sheet1!$A$3:$AW$699,8,FALSE)="▲","x","")</f>
        <v/>
      </c>
      <c r="N25" s="146" t="str">
        <f>IF(VLOOKUP($A25,Sheet1!$A$3:$AW$699,9,FALSE)="●","x","")</f>
        <v/>
      </c>
      <c r="O25" s="146" t="str">
        <f>IF(VLOOKUP($A25,Sheet1!$A$3:$AW$699,10,FALSE)="■","x","")</f>
        <v/>
      </c>
      <c r="P25" s="9" t="str">
        <f>IF(VLOOKUP($A25,Sheet1!$A$3:$AW$699,2,FALSE)="","",VLOOKUP($A25,Sheet1!$A$3:$AW$699,2,FALSE))</f>
        <v>P0.017</v>
      </c>
    </row>
    <row r="26" spans="1:16" ht="30" customHeight="1" x14ac:dyDescent="0.3">
      <c r="A26" s="9">
        <v>669</v>
      </c>
      <c r="B26" s="9" t="str">
        <f>IF(VLOOKUP($A26,Sheet1!$A$3:$AW$699,20,FALSE)="","",VLOOKUP($A26,Sheet1!$A$3:$AW$699,20,FALSE))</f>
        <v>SystemVariableMonitor2Selection</v>
      </c>
      <c r="C26" s="9" t="str">
        <f>IF(VLOOKUP($A26,Sheet1!$A$3:$AW$699,25,FALSE)="","",VLOOKUP($A26,Sheet1!$A$3:$AW$699,25,FALSE))</f>
        <v>All</v>
      </c>
      <c r="D26" s="142">
        <f>IF(VLOOKUP($A26,Sheet1!$A$3:$AW$699,15,FALSE)="","",VLOOKUP($A26,Sheet1!$A$3:$AW$699,15,FALSE))</f>
        <v>-300</v>
      </c>
      <c r="E26" s="142">
        <f>IF(VLOOKUP($A26,Sheet1!$A$3:$AW$699,16,FALSE)="","",VLOOKUP($A26,Sheet1!$A$3:$AW$699,16,FALSE))</f>
        <v>127</v>
      </c>
      <c r="F26" s="142">
        <f>IF(VLOOKUP($A26,Sheet1!$A$3:$AW$699,17,FALSE)="","",VLOOKUP($A26,Sheet1!$A$3:$AW$699,17,FALSE))</f>
        <v>0</v>
      </c>
      <c r="G26" s="142" t="str">
        <f>IF(VLOOKUP($A26,Sheet1!$A$3:$AW$699,18,FALSE)="","",VLOOKUP($A26,Sheet1!$A$3:$AW$699,18,FALSE))</f>
        <v/>
      </c>
      <c r="H26" s="142" t="str">
        <f>IF(VLOOKUP($A26,Sheet1!$A$3:$AW$699,19,FALSE)="","",VLOOKUP($A26,Sheet1!$A$3:$AW$699,19,FALSE))</f>
        <v/>
      </c>
      <c r="I26" s="9" t="str">
        <f>IF(VLOOKUP($A26,Sheet1!$A$3:$AW$699,5,FALSE)="","",VLOOKUP($A26,Sheet1!$A$3:$AW$699,5,FALSE))</f>
        <v>INT</v>
      </c>
      <c r="J26" s="11" t="s">
        <v>304</v>
      </c>
      <c r="K26" s="9" t="s">
        <v>283</v>
      </c>
      <c r="L26" s="146" t="str">
        <f>IF(VLOOKUP($A26,Sheet1!$A$3:$AW$699,7,FALSE)="★","x","")</f>
        <v/>
      </c>
      <c r="M26" s="146" t="str">
        <f>IF(VLOOKUP($A26,Sheet1!$A$3:$AW$699,8,FALSE)="▲","x","")</f>
        <v/>
      </c>
      <c r="N26" s="146" t="str">
        <f>IF(VLOOKUP($A26,Sheet1!$A$3:$AW$699,9,FALSE)="●","x","")</f>
        <v/>
      </c>
      <c r="O26" s="146" t="str">
        <f>IF(VLOOKUP($A26,Sheet1!$A$3:$AW$699,10,FALSE)="■","x","")</f>
        <v/>
      </c>
      <c r="P26" s="9" t="str">
        <f>IF(VLOOKUP($A26,Sheet1!$A$3:$AW$699,2,FALSE)="","",VLOOKUP($A26,Sheet1!$A$3:$AW$699,2,FALSE))</f>
        <v>P0.018</v>
      </c>
    </row>
    <row r="27" spans="1:16" ht="30" customHeight="1" x14ac:dyDescent="0.3">
      <c r="A27" s="9">
        <v>670</v>
      </c>
      <c r="B27" s="9" t="str">
        <f>IF(VLOOKUP($A27,Sheet1!$A$3:$AW$699,20,FALSE)="","",VLOOKUP($A27,Sheet1!$A$3:$AW$699,20,FALSE))</f>
        <v>SystemVariableMonitor3Selection</v>
      </c>
      <c r="C27" s="9" t="str">
        <f>IF(VLOOKUP($A27,Sheet1!$A$3:$AW$699,25,FALSE)="","",VLOOKUP($A27,Sheet1!$A$3:$AW$699,25,FALSE))</f>
        <v>All</v>
      </c>
      <c r="D27" s="142">
        <f>IF(VLOOKUP($A27,Sheet1!$A$3:$AW$699,15,FALSE)="","",VLOOKUP($A27,Sheet1!$A$3:$AW$699,15,FALSE))</f>
        <v>-300</v>
      </c>
      <c r="E27" s="142">
        <f>IF(VLOOKUP($A27,Sheet1!$A$3:$AW$699,16,FALSE)="","",VLOOKUP($A27,Sheet1!$A$3:$AW$699,16,FALSE))</f>
        <v>127</v>
      </c>
      <c r="F27" s="142">
        <f>IF(VLOOKUP($A27,Sheet1!$A$3:$AW$699,17,FALSE)="","",VLOOKUP($A27,Sheet1!$A$3:$AW$699,17,FALSE))</f>
        <v>0</v>
      </c>
      <c r="G27" s="142" t="str">
        <f>IF(VLOOKUP($A27,Sheet1!$A$3:$AW$699,18,FALSE)="","",VLOOKUP($A27,Sheet1!$A$3:$AW$699,18,FALSE))</f>
        <v/>
      </c>
      <c r="H27" s="142" t="str">
        <f>IF(VLOOKUP($A27,Sheet1!$A$3:$AW$699,19,FALSE)="","",VLOOKUP($A27,Sheet1!$A$3:$AW$699,19,FALSE))</f>
        <v/>
      </c>
      <c r="I27" s="9" t="str">
        <f>IF(VLOOKUP($A27,Sheet1!$A$3:$AW$699,5,FALSE)="","",VLOOKUP($A27,Sheet1!$A$3:$AW$699,5,FALSE))</f>
        <v>INT</v>
      </c>
      <c r="J27" s="11" t="s">
        <v>305</v>
      </c>
      <c r="K27" s="9" t="s">
        <v>283</v>
      </c>
      <c r="L27" s="146" t="str">
        <f>IF(VLOOKUP($A27,Sheet1!$A$3:$AW$699,7,FALSE)="★","x","")</f>
        <v/>
      </c>
      <c r="M27" s="146" t="str">
        <f>IF(VLOOKUP($A27,Sheet1!$A$3:$AW$699,8,FALSE)="▲","x","")</f>
        <v/>
      </c>
      <c r="N27" s="146" t="str">
        <f>IF(VLOOKUP($A27,Sheet1!$A$3:$AW$699,9,FALSE)="●","x","")</f>
        <v/>
      </c>
      <c r="O27" s="146" t="str">
        <f>IF(VLOOKUP($A27,Sheet1!$A$3:$AW$699,10,FALSE)="■","x","")</f>
        <v/>
      </c>
      <c r="P27" s="9" t="str">
        <f>IF(VLOOKUP($A27,Sheet1!$A$3:$AW$699,2,FALSE)="","",VLOOKUP($A27,Sheet1!$A$3:$AW$699,2,FALSE))</f>
        <v>P0.019</v>
      </c>
    </row>
    <row r="28" spans="1:16" ht="30" customHeight="1" x14ac:dyDescent="0.3">
      <c r="A28" s="9">
        <v>671</v>
      </c>
      <c r="B28" s="9" t="str">
        <f>IF(VLOOKUP($A28,Sheet1!$A$3:$AW$699,20,FALSE)="","",VLOOKUP($A28,Sheet1!$A$3:$AW$699,20,FALSE))</f>
        <v>SystemVariableMonitor4Selection</v>
      </c>
      <c r="C28" s="9" t="str">
        <f>IF(VLOOKUP($A28,Sheet1!$A$3:$AW$699,25,FALSE)="","",VLOOKUP($A28,Sheet1!$A$3:$AW$699,25,FALSE))</f>
        <v>All</v>
      </c>
      <c r="D28" s="142">
        <f>IF(VLOOKUP($A28,Sheet1!$A$3:$AW$699,15,FALSE)="","",VLOOKUP($A28,Sheet1!$A$3:$AW$699,15,FALSE))</f>
        <v>-300</v>
      </c>
      <c r="E28" s="142">
        <f>IF(VLOOKUP($A28,Sheet1!$A$3:$AW$699,16,FALSE)="","",VLOOKUP($A28,Sheet1!$A$3:$AW$699,16,FALSE))</f>
        <v>127</v>
      </c>
      <c r="F28" s="142">
        <f>IF(VLOOKUP($A28,Sheet1!$A$3:$AW$699,17,FALSE)="","",VLOOKUP($A28,Sheet1!$A$3:$AW$699,17,FALSE))</f>
        <v>0</v>
      </c>
      <c r="G28" s="142" t="str">
        <f>IF(VLOOKUP($A28,Sheet1!$A$3:$AW$699,18,FALSE)="","",VLOOKUP($A28,Sheet1!$A$3:$AW$699,18,FALSE))</f>
        <v/>
      </c>
      <c r="H28" s="142" t="str">
        <f>IF(VLOOKUP($A28,Sheet1!$A$3:$AW$699,19,FALSE)="","",VLOOKUP($A28,Sheet1!$A$3:$AW$699,19,FALSE))</f>
        <v/>
      </c>
      <c r="I28" s="9" t="str">
        <f>IF(VLOOKUP($A28,Sheet1!$A$3:$AW$699,5,FALSE)="","",VLOOKUP($A28,Sheet1!$A$3:$AW$699,5,FALSE))</f>
        <v>INT</v>
      </c>
      <c r="J28" s="11" t="s">
        <v>306</v>
      </c>
      <c r="K28" s="9" t="s">
        <v>283</v>
      </c>
      <c r="L28" s="146" t="str">
        <f>IF(VLOOKUP($A28,Sheet1!$A$3:$AW$699,7,FALSE)="★","x","")</f>
        <v/>
      </c>
      <c r="M28" s="146" t="str">
        <f>IF(VLOOKUP($A28,Sheet1!$A$3:$AW$699,8,FALSE)="▲","x","")</f>
        <v/>
      </c>
      <c r="N28" s="146" t="str">
        <f>IF(VLOOKUP($A28,Sheet1!$A$3:$AW$699,9,FALSE)="●","x","")</f>
        <v/>
      </c>
      <c r="O28" s="146" t="str">
        <f>IF(VLOOKUP($A28,Sheet1!$A$3:$AW$699,10,FALSE)="■","x","")</f>
        <v/>
      </c>
      <c r="P28" s="9" t="str">
        <f>IF(VLOOKUP($A28,Sheet1!$A$3:$AW$699,2,FALSE)="","",VLOOKUP($A28,Sheet1!$A$3:$AW$699,2,FALSE))</f>
        <v>P0.020</v>
      </c>
    </row>
    <row r="29" spans="1:16" ht="30" customHeight="1" x14ac:dyDescent="0.3">
      <c r="A29" s="9">
        <v>672</v>
      </c>
      <c r="B29" s="9" t="str">
        <f>IF(VLOOKUP($A29,Sheet1!$A$3:$AW$699,20,FALSE)="","",VLOOKUP($A29,Sheet1!$A$3:$AW$699,20,FALSE))</f>
        <v>SystemVariableMonitor5Selection</v>
      </c>
      <c r="C29" s="9" t="str">
        <f>IF(VLOOKUP($A29,Sheet1!$A$3:$AW$699,25,FALSE)="","",VLOOKUP($A29,Sheet1!$A$3:$AW$699,25,FALSE))</f>
        <v>All</v>
      </c>
      <c r="D29" s="142">
        <f>IF(VLOOKUP($A29,Sheet1!$A$3:$AW$699,15,FALSE)="","",VLOOKUP($A29,Sheet1!$A$3:$AW$699,15,FALSE))</f>
        <v>-300</v>
      </c>
      <c r="E29" s="142">
        <f>IF(VLOOKUP($A29,Sheet1!$A$3:$AW$699,16,FALSE)="","",VLOOKUP($A29,Sheet1!$A$3:$AW$699,16,FALSE))</f>
        <v>127</v>
      </c>
      <c r="F29" s="142">
        <f>IF(VLOOKUP($A29,Sheet1!$A$3:$AW$699,17,FALSE)="","",VLOOKUP($A29,Sheet1!$A$3:$AW$699,17,FALSE))</f>
        <v>0</v>
      </c>
      <c r="G29" s="142" t="str">
        <f>IF(VLOOKUP($A29,Sheet1!$A$3:$AW$699,18,FALSE)="","",VLOOKUP($A29,Sheet1!$A$3:$AW$699,18,FALSE))</f>
        <v/>
      </c>
      <c r="H29" s="142" t="str">
        <f>IF(VLOOKUP($A29,Sheet1!$A$3:$AW$699,19,FALSE)="","",VLOOKUP($A29,Sheet1!$A$3:$AW$699,19,FALSE))</f>
        <v/>
      </c>
      <c r="I29" s="9" t="str">
        <f>IF(VLOOKUP($A29,Sheet1!$A$3:$AW$699,5,FALSE)="","",VLOOKUP($A29,Sheet1!$A$3:$AW$699,5,FALSE))</f>
        <v>INT</v>
      </c>
      <c r="J29" s="11" t="s">
        <v>307</v>
      </c>
      <c r="K29" s="9" t="s">
        <v>283</v>
      </c>
      <c r="L29" s="146" t="str">
        <f>IF(VLOOKUP($A29,Sheet1!$A$3:$AW$699,7,FALSE)="★","x","")</f>
        <v/>
      </c>
      <c r="M29" s="146" t="str">
        <f>IF(VLOOKUP($A29,Sheet1!$A$3:$AW$699,8,FALSE)="▲","x","")</f>
        <v/>
      </c>
      <c r="N29" s="146" t="str">
        <f>IF(VLOOKUP($A29,Sheet1!$A$3:$AW$699,9,FALSE)="●","x","")</f>
        <v/>
      </c>
      <c r="O29" s="146" t="str">
        <f>IF(VLOOKUP($A29,Sheet1!$A$3:$AW$699,10,FALSE)="■","x","")</f>
        <v/>
      </c>
      <c r="P29" s="9" t="str">
        <f>IF(VLOOKUP($A29,Sheet1!$A$3:$AW$699,2,FALSE)="","",VLOOKUP($A29,Sheet1!$A$3:$AW$699,2,FALSE))</f>
        <v>P0.021</v>
      </c>
    </row>
    <row r="30" spans="1:16" ht="30" customHeight="1" x14ac:dyDescent="0.3"/>
  </sheetData>
  <mergeCells count="2">
    <mergeCell ref="A1:B1"/>
    <mergeCell ref="A2:B2"/>
  </mergeCells>
  <hyperlinks>
    <hyperlink ref="A2" r:id="rId1" display="Kinetix 5100 Servo Drive User Manual, publication 2198-UM004" xr:uid="{7B9A7EB2-C9A3-4EF9-A597-8EBA73EECBB8}"/>
  </hyperlinks>
  <pageMargins left="0.7" right="0.7" top="0.75" bottom="0.75" header="0.3" footer="0.3"/>
  <pageSetup paperSize="17" scale="95" fitToHeight="0" orientation="landscape"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D7668-5867-4CD1-AB2F-D705FABA1506}">
  <sheetPr>
    <pageSetUpPr fitToPage="1"/>
  </sheetPr>
  <dimension ref="A1:P66"/>
  <sheetViews>
    <sheetView zoomScaleNormal="100" workbookViewId="0">
      <pane xSplit="2" ySplit="4" topLeftCell="C5" activePane="bottomRight" state="frozen"/>
      <selection pane="topRight" activeCell="F18" sqref="F18"/>
      <selection pane="bottomLeft" activeCell="F18" sqref="F18"/>
      <selection pane="bottomRight" activeCell="H4" sqref="H4"/>
    </sheetView>
  </sheetViews>
  <sheetFormatPr defaultColWidth="9.109375" defaultRowHeight="14.4" x14ac:dyDescent="0.3"/>
  <cols>
    <col min="1" max="1" width="5.6640625" style="144" customWidth="1"/>
    <col min="2" max="2" width="25.109375" style="144" customWidth="1"/>
    <col min="3" max="3" width="10.6640625" style="144" customWidth="1"/>
    <col min="4" max="5" width="14" style="143" customWidth="1"/>
    <col min="6" max="6" width="10.44140625" style="143" bestFit="1" customWidth="1"/>
    <col min="7" max="7" width="10.44140625" style="143" customWidth="1"/>
    <col min="8" max="8" width="10.6640625" style="143" customWidth="1"/>
    <col min="9" max="9" width="10.6640625" style="144" customWidth="1"/>
    <col min="10" max="10" width="45.6640625" style="144" customWidth="1"/>
    <col min="11" max="11" width="10.6640625" style="144" customWidth="1"/>
    <col min="12" max="15" width="10.6640625" style="15" customWidth="1"/>
    <col min="16" max="16" width="10.6640625" style="144" customWidth="1"/>
    <col min="17" max="16384" width="9.109375" style="144"/>
  </cols>
  <sheetData>
    <row r="1" spans="1:16" ht="29.4" customHeight="1" x14ac:dyDescent="0.3">
      <c r="A1" s="224" t="s">
        <v>29</v>
      </c>
      <c r="B1" s="224"/>
    </row>
    <row r="2" spans="1:16" ht="27" customHeight="1" x14ac:dyDescent="0.3">
      <c r="A2" s="225" t="s">
        <v>30</v>
      </c>
      <c r="B2" s="225"/>
    </row>
    <row r="4" spans="1:16" s="15" customFormat="1" ht="20.399999999999999" x14ac:dyDescent="0.3">
      <c r="A4" s="14" t="s">
        <v>31</v>
      </c>
      <c r="B4" s="14" t="s">
        <v>32</v>
      </c>
      <c r="C4" s="14" t="s">
        <v>33</v>
      </c>
      <c r="D4" s="14" t="s">
        <v>34</v>
      </c>
      <c r="E4" s="14" t="s">
        <v>35</v>
      </c>
      <c r="F4" s="14" t="s">
        <v>36</v>
      </c>
      <c r="G4" s="14" t="s">
        <v>37</v>
      </c>
      <c r="H4" s="14" t="s">
        <v>38</v>
      </c>
      <c r="I4" s="14" t="s">
        <v>39</v>
      </c>
      <c r="J4" s="4" t="s">
        <v>40</v>
      </c>
      <c r="K4" s="4" t="s">
        <v>41</v>
      </c>
      <c r="L4" s="14" t="s">
        <v>42</v>
      </c>
      <c r="M4" s="14" t="s">
        <v>43</v>
      </c>
      <c r="N4" s="14" t="s">
        <v>44</v>
      </c>
      <c r="O4" s="14" t="s">
        <v>45</v>
      </c>
      <c r="P4" s="14" t="s">
        <v>46</v>
      </c>
    </row>
    <row r="5" spans="1:16" ht="20.399999999999999" x14ac:dyDescent="0.3">
      <c r="A5" s="9">
        <v>122</v>
      </c>
      <c r="B5" s="9" t="str">
        <f>IF(VLOOKUP($A5,Sheet1!$A$3:$AW$699,20,FALSE)="","",VLOOKUP($A5,Sheet1!$A$3:$AW$699,20,FALSE))</f>
        <v>VelocityCmdLowPassFilterTime</v>
      </c>
      <c r="C5" s="9" t="str">
        <f>IF(VLOOKUP($A5,Sheet1!$A$3:$AW$699,25,FALSE)="","",VLOOKUP($A5,Sheet1!$A$3:$AW$699,25,FALSE))</f>
        <v>S/Sz/IO</v>
      </c>
      <c r="D5" s="142">
        <f>IF(VLOOKUP($A5,Sheet1!$A$3:$AW$699,15,FALSE)="","",VLOOKUP($A5,Sheet1!$A$3:$AW$699,15,FALSE))</f>
        <v>0</v>
      </c>
      <c r="E5" s="142">
        <f>IF(VLOOKUP($A5,Sheet1!$A$3:$AW$699,16,FALSE)="","",VLOOKUP($A5,Sheet1!$A$3:$AW$699,16,FALSE))</f>
        <v>1000</v>
      </c>
      <c r="F5" s="142">
        <f>IF(VLOOKUP($A5,Sheet1!$A$3:$AW$699,17,FALSE)="","",VLOOKUP($A5,Sheet1!$A$3:$AW$699,17,FALSE))</f>
        <v>0</v>
      </c>
      <c r="G5" s="142" t="str">
        <f>IF(VLOOKUP($A5,Sheet1!$A$3:$AW$699,18,FALSE)="","",VLOOKUP($A5,Sheet1!$A$3:$AW$699,18,FALSE))</f>
        <v/>
      </c>
      <c r="H5" s="142" t="str">
        <f>IF(VLOOKUP($A5,Sheet1!$A$3:$AW$699,19,FALSE)="","",VLOOKUP($A5,Sheet1!$A$3:$AW$699,19,FALSE))</f>
        <v>ms</v>
      </c>
      <c r="I5" s="9" t="str">
        <f>IF(VLOOKUP($A5,Sheet1!$A$3:$AW$699,5,FALSE)="","",VLOOKUP($A5,Sheet1!$A$3:$AW$699,5,FALSE))</f>
        <v>INT</v>
      </c>
      <c r="J5" s="9" t="s">
        <v>308</v>
      </c>
      <c r="K5" s="9" t="s">
        <v>309</v>
      </c>
      <c r="L5" s="146" t="str">
        <f>IF(VLOOKUP($A5,Sheet1!$A$3:$AW$699,7,FALSE)="★","x","")</f>
        <v/>
      </c>
      <c r="M5" s="146" t="str">
        <f>IF(VLOOKUP($A5,Sheet1!$A$3:$AW$699,8,FALSE)="▲","x","")</f>
        <v/>
      </c>
      <c r="N5" s="146" t="str">
        <f>IF(VLOOKUP($A5,Sheet1!$A$3:$AW$699,9,FALSE)="●","x","")</f>
        <v/>
      </c>
      <c r="O5" s="146" t="str">
        <f>IF(VLOOKUP($A5,Sheet1!$A$3:$AW$699,10,FALSE)="■","x","")</f>
        <v/>
      </c>
      <c r="P5" s="9" t="str">
        <f>IF(VLOOKUP($A5,Sheet1!$A$3:$AW$699,2,FALSE)="","",VLOOKUP($A5,Sheet1!$A$3:$AW$699,2,FALSE))</f>
        <v>P1.006</v>
      </c>
    </row>
    <row r="6" spans="1:16" ht="20.399999999999999" x14ac:dyDescent="0.3">
      <c r="A6" s="9">
        <v>123</v>
      </c>
      <c r="B6" s="9" t="str">
        <f>IF(VLOOKUP($A6,Sheet1!$A$3:$AW$699,20,FALSE)="","",VLOOKUP($A6,Sheet1!$A$3:$AW$699,20,FALSE))</f>
        <v>TorqueCmdLowPassFilterTime</v>
      </c>
      <c r="C6" s="9" t="str">
        <f>IF(VLOOKUP($A6,Sheet1!$A$3:$AW$699,25,FALSE)="","",VLOOKUP($A6,Sheet1!$A$3:$AW$699,25,FALSE))</f>
        <v>T/Tz/IO</v>
      </c>
      <c r="D6" s="142">
        <f>IF(VLOOKUP($A6,Sheet1!$A$3:$AW$699,15,FALSE)="","",VLOOKUP($A6,Sheet1!$A$3:$AW$699,15,FALSE))</f>
        <v>0</v>
      </c>
      <c r="E6" s="142">
        <f>IF(VLOOKUP($A6,Sheet1!$A$3:$AW$699,16,FALSE)="","",VLOOKUP($A6,Sheet1!$A$3:$AW$699,16,FALSE))</f>
        <v>1000</v>
      </c>
      <c r="F6" s="142">
        <f>IF(VLOOKUP($A6,Sheet1!$A$3:$AW$699,17,FALSE)="","",VLOOKUP($A6,Sheet1!$A$3:$AW$699,17,FALSE))</f>
        <v>0</v>
      </c>
      <c r="G6" s="142" t="str">
        <f>IF(VLOOKUP($A6,Sheet1!$A$3:$AW$699,18,FALSE)="","",VLOOKUP($A6,Sheet1!$A$3:$AW$699,18,FALSE))</f>
        <v/>
      </c>
      <c r="H6" s="142" t="str">
        <f>IF(VLOOKUP($A6,Sheet1!$A$3:$AW$699,19,FALSE)="","",VLOOKUP($A6,Sheet1!$A$3:$AW$699,19,FALSE))</f>
        <v>ms</v>
      </c>
      <c r="I6" s="9" t="str">
        <f>IF(VLOOKUP($A6,Sheet1!$A$3:$AW$699,5,FALSE)="","",VLOOKUP($A6,Sheet1!$A$3:$AW$699,5,FALSE))</f>
        <v>INT</v>
      </c>
      <c r="J6" s="9" t="s">
        <v>310</v>
      </c>
      <c r="K6" s="9" t="s">
        <v>309</v>
      </c>
      <c r="L6" s="146" t="str">
        <f>IF(VLOOKUP($A6,Sheet1!$A$3:$AW$699,7,FALSE)="★","x","")</f>
        <v/>
      </c>
      <c r="M6" s="146" t="str">
        <f>IF(VLOOKUP($A6,Sheet1!$A$3:$AW$699,8,FALSE)="▲","x","")</f>
        <v/>
      </c>
      <c r="N6" s="146" t="str">
        <f>IF(VLOOKUP($A6,Sheet1!$A$3:$AW$699,9,FALSE)="●","x","")</f>
        <v/>
      </c>
      <c r="O6" s="146" t="str">
        <f>IF(VLOOKUP($A6,Sheet1!$A$3:$AW$699,10,FALSE)="■","x","")</f>
        <v/>
      </c>
      <c r="P6" s="9" t="str">
        <f>IF(VLOOKUP($A6,Sheet1!$A$3:$AW$699,2,FALSE)="","",VLOOKUP($A6,Sheet1!$A$3:$AW$699,2,FALSE))</f>
        <v>P1.007</v>
      </c>
    </row>
    <row r="7" spans="1:16" ht="30.6" x14ac:dyDescent="0.3">
      <c r="A7" s="9">
        <v>124</v>
      </c>
      <c r="B7" s="9" t="str">
        <f>IF(VLOOKUP($A7,Sheet1!$A$3:$AW$699,20,FALSE)="","",VLOOKUP($A7,Sheet1!$A$3:$AW$699,20,FALSE))</f>
        <v>PositionCmdLowPassFilterTime</v>
      </c>
      <c r="C7" s="9" t="str">
        <f>IF(VLOOKUP($A7,Sheet1!$A$3:$AW$699,25,FALSE)="","",VLOOKUP($A7,Sheet1!$A$3:$AW$699,25,FALSE))</f>
        <v>PT/PR/IO</v>
      </c>
      <c r="D7" s="142">
        <f>IF(VLOOKUP($A7,Sheet1!$A$3:$AW$699,15,FALSE)="","",VLOOKUP($A7,Sheet1!$A$3:$AW$699,15,FALSE))</f>
        <v>0</v>
      </c>
      <c r="E7" s="142">
        <f>IF(VLOOKUP($A7,Sheet1!$A$3:$AW$699,16,FALSE)="","",VLOOKUP($A7,Sheet1!$A$3:$AW$699,16,FALSE))</f>
        <v>1000</v>
      </c>
      <c r="F7" s="142">
        <f>IF(VLOOKUP($A7,Sheet1!$A$3:$AW$699,17,FALSE)="","",VLOOKUP($A7,Sheet1!$A$3:$AW$699,17,FALSE))</f>
        <v>0</v>
      </c>
      <c r="G7" s="142" t="str">
        <f>IF(VLOOKUP($A7,Sheet1!$A$3:$AW$699,18,FALSE)="","",VLOOKUP($A7,Sheet1!$A$3:$AW$699,18,FALSE))</f>
        <v/>
      </c>
      <c r="H7" s="142" t="str">
        <f>IF(VLOOKUP($A7,Sheet1!$A$3:$AW$699,19,FALSE)="","",VLOOKUP($A7,Sheet1!$A$3:$AW$699,19,FALSE))</f>
        <v>10ms</v>
      </c>
      <c r="I7" s="9" t="str">
        <f>IF(VLOOKUP($A7,Sheet1!$A$3:$AW$699,5,FALSE)="","",VLOOKUP($A7,Sheet1!$A$3:$AW$699,5,FALSE))</f>
        <v>INT</v>
      </c>
      <c r="J7" s="9" t="s">
        <v>311</v>
      </c>
      <c r="K7" s="9" t="s">
        <v>312</v>
      </c>
      <c r="L7" s="146" t="str">
        <f>IF(VLOOKUP($A7,Sheet1!$A$3:$AW$699,7,FALSE)="★","x","")</f>
        <v/>
      </c>
      <c r="M7" s="146" t="str">
        <f>IF(VLOOKUP($A7,Sheet1!$A$3:$AW$699,8,FALSE)="▲","x","")</f>
        <v/>
      </c>
      <c r="N7" s="146" t="str">
        <f>IF(VLOOKUP($A7,Sheet1!$A$3:$AW$699,9,FALSE)="●","x","")</f>
        <v/>
      </c>
      <c r="O7" s="146" t="str">
        <f>IF(VLOOKUP($A7,Sheet1!$A$3:$AW$699,10,FALSE)="■","x","")</f>
        <v/>
      </c>
      <c r="P7" s="9" t="str">
        <f>IF(VLOOKUP($A7,Sheet1!$A$3:$AW$699,2,FALSE)="","",VLOOKUP($A7,Sheet1!$A$3:$AW$699,2,FALSE))</f>
        <v>P1.008</v>
      </c>
    </row>
    <row r="8" spans="1:16" ht="30.6" x14ac:dyDescent="0.3">
      <c r="A8" s="9">
        <v>135</v>
      </c>
      <c r="B8" s="9" t="str">
        <f>IF(VLOOKUP($A8,Sheet1!$A$3:$AW$699,20,FALSE)="","",VLOOKUP($A8,Sheet1!$A$3:$AW$699,20,FALSE))</f>
        <v>LowFreqVibrationSuppression1Frequency</v>
      </c>
      <c r="C8" s="9" t="str">
        <f>IF(VLOOKUP($A8,Sheet1!$A$3:$AW$699,25,FALSE)="","",VLOOKUP($A8,Sheet1!$A$3:$AW$699,25,FALSE))</f>
        <v>PT/PR/IO</v>
      </c>
      <c r="D8" s="142">
        <f>IF(VLOOKUP($A8,Sheet1!$A$3:$AW$699,15,FALSE)="","",VLOOKUP($A8,Sheet1!$A$3:$AW$699,15,FALSE))</f>
        <v>10</v>
      </c>
      <c r="E8" s="142">
        <f>IF(VLOOKUP($A8,Sheet1!$A$3:$AW$699,16,FALSE)="","",VLOOKUP($A8,Sheet1!$A$3:$AW$699,16,FALSE))</f>
        <v>1000</v>
      </c>
      <c r="F8" s="142">
        <f>IF(VLOOKUP($A8,Sheet1!$A$3:$AW$699,17,FALSE)="","",VLOOKUP($A8,Sheet1!$A$3:$AW$699,17,FALSE))</f>
        <v>1000</v>
      </c>
      <c r="G8" s="142">
        <f>IF(VLOOKUP($A8,Sheet1!$A$3:$AW$699,18,FALSE)="","",VLOOKUP($A8,Sheet1!$A$3:$AW$699,18,FALSE))</f>
        <v>0.1</v>
      </c>
      <c r="H8" s="142" t="str">
        <f>IF(VLOOKUP($A8,Sheet1!$A$3:$AW$699,19,FALSE)="","",VLOOKUP($A8,Sheet1!$A$3:$AW$699,19,FALSE))</f>
        <v>Hz</v>
      </c>
      <c r="I8" s="9" t="str">
        <f>IF(VLOOKUP($A8,Sheet1!$A$3:$AW$699,5,FALSE)="","",VLOOKUP($A8,Sheet1!$A$3:$AW$699,5,FALSE))</f>
        <v>INT</v>
      </c>
      <c r="J8" s="9" t="s">
        <v>313</v>
      </c>
      <c r="K8" s="9" t="s">
        <v>314</v>
      </c>
      <c r="L8" s="146" t="str">
        <f>IF(VLOOKUP($A8,Sheet1!$A$3:$AW$699,7,FALSE)="★","x","")</f>
        <v/>
      </c>
      <c r="M8" s="146" t="str">
        <f>IF(VLOOKUP($A8,Sheet1!$A$3:$AW$699,8,FALSE)="▲","x","")</f>
        <v/>
      </c>
      <c r="N8" s="146" t="str">
        <f>IF(VLOOKUP($A8,Sheet1!$A$3:$AW$699,9,FALSE)="●","x","")</f>
        <v/>
      </c>
      <c r="O8" s="146" t="str">
        <f>IF(VLOOKUP($A8,Sheet1!$A$3:$AW$699,10,FALSE)="■","x","")</f>
        <v/>
      </c>
      <c r="P8" s="9" t="str">
        <f>IF(VLOOKUP($A8,Sheet1!$A$3:$AW$699,2,FALSE)="","",VLOOKUP($A8,Sheet1!$A$3:$AW$699,2,FALSE))</f>
        <v>P1.025</v>
      </c>
    </row>
    <row r="9" spans="1:16" ht="71.400000000000006" x14ac:dyDescent="0.3">
      <c r="A9" s="9">
        <v>136</v>
      </c>
      <c r="B9" s="9" t="str">
        <f>IF(VLOOKUP($A9,Sheet1!$A$3:$AW$699,20,FALSE)="","",VLOOKUP($A9,Sheet1!$A$3:$AW$699,20,FALSE))</f>
        <v>LowFreqVibrationSuppression1Gain</v>
      </c>
      <c r="C9" s="9" t="str">
        <f>IF(VLOOKUP($A9,Sheet1!$A$3:$AW$699,25,FALSE)="","",VLOOKUP($A9,Sheet1!$A$3:$AW$699,25,FALSE))</f>
        <v>PT/PR/IO</v>
      </c>
      <c r="D9" s="142">
        <f>IF(VLOOKUP($A9,Sheet1!$A$3:$AW$699,15,FALSE)="","",VLOOKUP($A9,Sheet1!$A$3:$AW$699,15,FALSE))</f>
        <v>0</v>
      </c>
      <c r="E9" s="142">
        <f>IF(VLOOKUP($A9,Sheet1!$A$3:$AW$699,16,FALSE)="","",VLOOKUP($A9,Sheet1!$A$3:$AW$699,16,FALSE))</f>
        <v>9</v>
      </c>
      <c r="F9" s="142">
        <f>IF(VLOOKUP($A9,Sheet1!$A$3:$AW$699,17,FALSE)="","",VLOOKUP($A9,Sheet1!$A$3:$AW$699,17,FALSE))</f>
        <v>0</v>
      </c>
      <c r="G9" s="142" t="str">
        <f>IF(VLOOKUP($A9,Sheet1!$A$3:$AW$699,18,FALSE)="","",VLOOKUP($A9,Sheet1!$A$3:$AW$699,18,FALSE))</f>
        <v/>
      </c>
      <c r="H9" s="142" t="str">
        <f>IF(VLOOKUP($A9,Sheet1!$A$3:$AW$699,19,FALSE)="","",VLOOKUP($A9,Sheet1!$A$3:$AW$699,19,FALSE))</f>
        <v/>
      </c>
      <c r="I9" s="9" t="str">
        <f>IF(VLOOKUP($A9,Sheet1!$A$3:$AW$699,5,FALSE)="","",VLOOKUP($A9,Sheet1!$A$3:$AW$699,5,FALSE))</f>
        <v>INT</v>
      </c>
      <c r="J9" s="11" t="s">
        <v>315</v>
      </c>
      <c r="K9" s="9" t="s">
        <v>314</v>
      </c>
      <c r="L9" s="146" t="str">
        <f>IF(VLOOKUP($A9,Sheet1!$A$3:$AW$699,7,FALSE)="★","x","")</f>
        <v/>
      </c>
      <c r="M9" s="146" t="str">
        <f>IF(VLOOKUP($A9,Sheet1!$A$3:$AW$699,8,FALSE)="▲","x","")</f>
        <v/>
      </c>
      <c r="N9" s="146" t="str">
        <f>IF(VLOOKUP($A9,Sheet1!$A$3:$AW$699,9,FALSE)="●","x","")</f>
        <v/>
      </c>
      <c r="O9" s="146" t="str">
        <f>IF(VLOOKUP($A9,Sheet1!$A$3:$AW$699,10,FALSE)="■","x","")</f>
        <v/>
      </c>
      <c r="P9" s="9" t="str">
        <f>IF(VLOOKUP($A9,Sheet1!$A$3:$AW$699,2,FALSE)="","",VLOOKUP($A9,Sheet1!$A$3:$AW$699,2,FALSE))</f>
        <v>P1.026</v>
      </c>
    </row>
    <row r="10" spans="1:16" ht="30.6" x14ac:dyDescent="0.3">
      <c r="A10" s="9">
        <v>137</v>
      </c>
      <c r="B10" s="9" t="str">
        <f>IF(VLOOKUP($A10,Sheet1!$A$3:$AW$699,20,FALSE)="","",VLOOKUP($A10,Sheet1!$A$3:$AW$699,20,FALSE))</f>
        <v>LowFreqVibrationSuppression2Frequency</v>
      </c>
      <c r="C10" s="9" t="str">
        <f>IF(VLOOKUP($A10,Sheet1!$A$3:$AW$699,25,FALSE)="","",VLOOKUP($A10,Sheet1!$A$3:$AW$699,25,FALSE))</f>
        <v>PT/PR/IO</v>
      </c>
      <c r="D10" s="142">
        <f>IF(VLOOKUP($A10,Sheet1!$A$3:$AW$699,15,FALSE)="","",VLOOKUP($A10,Sheet1!$A$3:$AW$699,15,FALSE))</f>
        <v>10</v>
      </c>
      <c r="E10" s="142">
        <f>IF(VLOOKUP($A10,Sheet1!$A$3:$AW$699,16,FALSE)="","",VLOOKUP($A10,Sheet1!$A$3:$AW$699,16,FALSE))</f>
        <v>1000</v>
      </c>
      <c r="F10" s="142">
        <f>IF(VLOOKUP($A10,Sheet1!$A$3:$AW$699,17,FALSE)="","",VLOOKUP($A10,Sheet1!$A$3:$AW$699,17,FALSE))</f>
        <v>1000</v>
      </c>
      <c r="G10" s="142">
        <f>IF(VLOOKUP($A10,Sheet1!$A$3:$AW$699,18,FALSE)="","",VLOOKUP($A10,Sheet1!$A$3:$AW$699,18,FALSE))</f>
        <v>0.1</v>
      </c>
      <c r="H10" s="142" t="str">
        <f>IF(VLOOKUP($A10,Sheet1!$A$3:$AW$699,19,FALSE)="","",VLOOKUP($A10,Sheet1!$A$3:$AW$699,19,FALSE))</f>
        <v>Hz</v>
      </c>
      <c r="I10" s="9" t="str">
        <f>IF(VLOOKUP($A10,Sheet1!$A$3:$AW$699,5,FALSE)="","",VLOOKUP($A10,Sheet1!$A$3:$AW$699,5,FALSE))</f>
        <v>INT</v>
      </c>
      <c r="J10" s="9" t="s">
        <v>316</v>
      </c>
      <c r="K10" s="9" t="s">
        <v>314</v>
      </c>
      <c r="L10" s="146" t="str">
        <f>IF(VLOOKUP($A10,Sheet1!$A$3:$AW$699,7,FALSE)="★","x","")</f>
        <v/>
      </c>
      <c r="M10" s="146" t="str">
        <f>IF(VLOOKUP($A10,Sheet1!$A$3:$AW$699,8,FALSE)="▲","x","")</f>
        <v/>
      </c>
      <c r="N10" s="146" t="str">
        <f>IF(VLOOKUP($A10,Sheet1!$A$3:$AW$699,9,FALSE)="●","x","")</f>
        <v/>
      </c>
      <c r="O10" s="146" t="str">
        <f>IF(VLOOKUP($A10,Sheet1!$A$3:$AW$699,10,FALSE)="■","x","")</f>
        <v/>
      </c>
      <c r="P10" s="9" t="str">
        <f>IF(VLOOKUP($A10,Sheet1!$A$3:$AW$699,2,FALSE)="","",VLOOKUP($A10,Sheet1!$A$3:$AW$699,2,FALSE))</f>
        <v>P1.027</v>
      </c>
    </row>
    <row r="11" spans="1:16" ht="71.400000000000006" x14ac:dyDescent="0.3">
      <c r="A11" s="9">
        <v>138</v>
      </c>
      <c r="B11" s="9" t="str">
        <f>IF(VLOOKUP($A11,Sheet1!$A$3:$AW$699,20,FALSE)="","",VLOOKUP($A11,Sheet1!$A$3:$AW$699,20,FALSE))</f>
        <v>LowFreqVibrationSuppression2Gain</v>
      </c>
      <c r="C11" s="9" t="str">
        <f>IF(VLOOKUP($A11,Sheet1!$A$3:$AW$699,25,FALSE)="","",VLOOKUP($A11,Sheet1!$A$3:$AW$699,25,FALSE))</f>
        <v>PT/PR/IO</v>
      </c>
      <c r="D11" s="142">
        <f>IF(VLOOKUP($A11,Sheet1!$A$3:$AW$699,15,FALSE)="","",VLOOKUP($A11,Sheet1!$A$3:$AW$699,15,FALSE))</f>
        <v>0</v>
      </c>
      <c r="E11" s="142">
        <f>IF(VLOOKUP($A11,Sheet1!$A$3:$AW$699,16,FALSE)="","",VLOOKUP($A11,Sheet1!$A$3:$AW$699,16,FALSE))</f>
        <v>9</v>
      </c>
      <c r="F11" s="142">
        <f>IF(VLOOKUP($A11,Sheet1!$A$3:$AW$699,17,FALSE)="","",VLOOKUP($A11,Sheet1!$A$3:$AW$699,17,FALSE))</f>
        <v>0</v>
      </c>
      <c r="G11" s="142" t="str">
        <f>IF(VLOOKUP($A11,Sheet1!$A$3:$AW$699,18,FALSE)="","",VLOOKUP($A11,Sheet1!$A$3:$AW$699,18,FALSE))</f>
        <v/>
      </c>
      <c r="H11" s="142" t="str">
        <f>IF(VLOOKUP($A11,Sheet1!$A$3:$AW$699,19,FALSE)="","",VLOOKUP($A11,Sheet1!$A$3:$AW$699,19,FALSE))</f>
        <v/>
      </c>
      <c r="I11" s="9" t="str">
        <f>IF(VLOOKUP($A11,Sheet1!$A$3:$AW$699,5,FALSE)="","",VLOOKUP($A11,Sheet1!$A$3:$AW$699,5,FALSE))</f>
        <v>INT</v>
      </c>
      <c r="J11" s="11" t="s">
        <v>317</v>
      </c>
      <c r="K11" s="9" t="s">
        <v>314</v>
      </c>
      <c r="L11" s="146" t="str">
        <f>IF(VLOOKUP($A11,Sheet1!$A$3:$AW$699,7,FALSE)="★","x","")</f>
        <v/>
      </c>
      <c r="M11" s="146" t="str">
        <f>IF(VLOOKUP($A11,Sheet1!$A$3:$AW$699,8,FALSE)="▲","x","")</f>
        <v/>
      </c>
      <c r="N11" s="146" t="str">
        <f>IF(VLOOKUP($A11,Sheet1!$A$3:$AW$699,9,FALSE)="●","x","")</f>
        <v/>
      </c>
      <c r="O11" s="146" t="str">
        <f>IF(VLOOKUP($A11,Sheet1!$A$3:$AW$699,10,FALSE)="■","x","")</f>
        <v/>
      </c>
      <c r="P11" s="9" t="str">
        <f>IF(VLOOKUP($A11,Sheet1!$A$3:$AW$699,2,FALSE)="","",VLOOKUP($A11,Sheet1!$A$3:$AW$699,2,FALSE))</f>
        <v>P1.028</v>
      </c>
    </row>
    <row r="12" spans="1:16" ht="30.6" x14ac:dyDescent="0.3">
      <c r="A12" s="9">
        <v>141</v>
      </c>
      <c r="B12" s="9" t="str">
        <f>IF(VLOOKUP($A12,Sheet1!$A$3:$AW$699,20,FALSE)="","",VLOOKUP($A12,Sheet1!$A$3:$AW$699,20,FALSE))</f>
        <v>SCurveAccelTime</v>
      </c>
      <c r="C12" s="9" t="str">
        <f>IF(VLOOKUP($A12,Sheet1!$A$3:$AW$699,25,FALSE)="","",VLOOKUP($A12,Sheet1!$A$3:$AW$699,25,FALSE))</f>
        <v>S/Sz/IO</v>
      </c>
      <c r="D12" s="142">
        <f>IF(VLOOKUP($A12,Sheet1!$A$3:$AW$699,15,FALSE)="","",VLOOKUP($A12,Sheet1!$A$3:$AW$699,15,FALSE))</f>
        <v>1</v>
      </c>
      <c r="E12" s="142">
        <f>IF(VLOOKUP($A12,Sheet1!$A$3:$AW$699,16,FALSE)="","",VLOOKUP($A12,Sheet1!$A$3:$AW$699,16,FALSE))</f>
        <v>65500</v>
      </c>
      <c r="F12" s="142">
        <f>IF(VLOOKUP($A12,Sheet1!$A$3:$AW$699,17,FALSE)="","",VLOOKUP($A12,Sheet1!$A$3:$AW$699,17,FALSE))</f>
        <v>200</v>
      </c>
      <c r="G12" s="142" t="str">
        <f>IF(VLOOKUP($A12,Sheet1!$A$3:$AW$699,18,FALSE)="","",VLOOKUP($A12,Sheet1!$A$3:$AW$699,18,FALSE))</f>
        <v/>
      </c>
      <c r="H12" s="142" t="str">
        <f>IF(VLOOKUP($A12,Sheet1!$A$3:$AW$699,19,FALSE)="","",VLOOKUP($A12,Sheet1!$A$3:$AW$699,19,FALSE))</f>
        <v>ms</v>
      </c>
      <c r="I12" s="9" t="str">
        <f>IF(VLOOKUP($A12,Sheet1!$A$3:$AW$699,5,FALSE)="","",VLOOKUP($A12,Sheet1!$A$3:$AW$699,5,FALSE))</f>
        <v>UINT</v>
      </c>
      <c r="J12" s="11" t="s">
        <v>318</v>
      </c>
      <c r="K12" s="9" t="s">
        <v>312</v>
      </c>
      <c r="L12" s="146" t="str">
        <f>IF(VLOOKUP($A12,Sheet1!$A$3:$AW$699,7,FALSE)="★","x","")</f>
        <v/>
      </c>
      <c r="M12" s="146" t="str">
        <f>IF(VLOOKUP($A12,Sheet1!$A$3:$AW$699,8,FALSE)="▲","x","")</f>
        <v/>
      </c>
      <c r="N12" s="146" t="str">
        <f>IF(VLOOKUP($A12,Sheet1!$A$3:$AW$699,9,FALSE)="●","x","")</f>
        <v/>
      </c>
      <c r="O12" s="146" t="str">
        <f>IF(VLOOKUP($A12,Sheet1!$A$3:$AW$699,10,FALSE)="■","x","")</f>
        <v/>
      </c>
      <c r="P12" s="9" t="str">
        <f>IF(VLOOKUP($A12,Sheet1!$A$3:$AW$699,2,FALSE)="","",VLOOKUP($A12,Sheet1!$A$3:$AW$699,2,FALSE))</f>
        <v>P1.034</v>
      </c>
    </row>
    <row r="13" spans="1:16" ht="30.6" x14ac:dyDescent="0.3">
      <c r="A13" s="9">
        <v>142</v>
      </c>
      <c r="B13" s="9" t="str">
        <f>IF(VLOOKUP($A13,Sheet1!$A$3:$AW$699,20,FALSE)="","",VLOOKUP($A13,Sheet1!$A$3:$AW$699,20,FALSE))</f>
        <v>SCurveDecelTime</v>
      </c>
      <c r="C13" s="9" t="str">
        <f>IF(VLOOKUP($A13,Sheet1!$A$3:$AW$699,25,FALSE)="","",VLOOKUP($A13,Sheet1!$A$3:$AW$699,25,FALSE))</f>
        <v>S/Sz/IO</v>
      </c>
      <c r="D13" s="142">
        <f>IF(VLOOKUP($A13,Sheet1!$A$3:$AW$699,15,FALSE)="","",VLOOKUP($A13,Sheet1!$A$3:$AW$699,15,FALSE))</f>
        <v>1</v>
      </c>
      <c r="E13" s="142">
        <f>IF(VLOOKUP($A13,Sheet1!$A$3:$AW$699,16,FALSE)="","",VLOOKUP($A13,Sheet1!$A$3:$AW$699,16,FALSE))</f>
        <v>65500</v>
      </c>
      <c r="F13" s="142">
        <f>IF(VLOOKUP($A13,Sheet1!$A$3:$AW$699,17,FALSE)="","",VLOOKUP($A13,Sheet1!$A$3:$AW$699,17,FALSE))</f>
        <v>200</v>
      </c>
      <c r="G13" s="142" t="str">
        <f>IF(VLOOKUP($A13,Sheet1!$A$3:$AW$699,18,FALSE)="","",VLOOKUP($A13,Sheet1!$A$3:$AW$699,18,FALSE))</f>
        <v/>
      </c>
      <c r="H13" s="142" t="str">
        <f>IF(VLOOKUP($A13,Sheet1!$A$3:$AW$699,19,FALSE)="","",VLOOKUP($A13,Sheet1!$A$3:$AW$699,19,FALSE))</f>
        <v>ms</v>
      </c>
      <c r="I13" s="9" t="str">
        <f>IF(VLOOKUP($A13,Sheet1!$A$3:$AW$699,5,FALSE)="","",VLOOKUP($A13,Sheet1!$A$3:$AW$699,5,FALSE))</f>
        <v>UINT</v>
      </c>
      <c r="J13" s="11" t="s">
        <v>319</v>
      </c>
      <c r="K13" s="9" t="s">
        <v>312</v>
      </c>
      <c r="L13" s="146" t="str">
        <f>IF(VLOOKUP($A13,Sheet1!$A$3:$AW$699,7,FALSE)="★","x","")</f>
        <v/>
      </c>
      <c r="M13" s="146" t="str">
        <f>IF(VLOOKUP($A13,Sheet1!$A$3:$AW$699,8,FALSE)="▲","x","")</f>
        <v/>
      </c>
      <c r="N13" s="146" t="str">
        <f>IF(VLOOKUP($A13,Sheet1!$A$3:$AW$699,9,FALSE)="●","x","")</f>
        <v/>
      </c>
      <c r="O13" s="146" t="str">
        <f>IF(VLOOKUP($A13,Sheet1!$A$3:$AW$699,10,FALSE)="■","x","")</f>
        <v/>
      </c>
      <c r="P13" s="9" t="str">
        <f>IF(VLOOKUP($A13,Sheet1!$A$3:$AW$699,2,FALSE)="","",VLOOKUP($A13,Sheet1!$A$3:$AW$699,2,FALSE))</f>
        <v>P1.035</v>
      </c>
    </row>
    <row r="14" spans="1:16" ht="30.6" x14ac:dyDescent="0.3">
      <c r="A14" s="9">
        <v>143</v>
      </c>
      <c r="B14" s="9" t="str">
        <f>IF(VLOOKUP($A14,Sheet1!$A$3:$AW$699,20,FALSE)="","",VLOOKUP($A14,Sheet1!$A$3:$AW$699,20,FALSE))</f>
        <v>SCurveSmoothTime</v>
      </c>
      <c r="C14" s="9" t="str">
        <f>IF(VLOOKUP($A14,Sheet1!$A$3:$AW$699,25,FALSE)="","",VLOOKUP($A14,Sheet1!$A$3:$AW$699,25,FALSE))</f>
        <v>PR/S/Sz/IO</v>
      </c>
      <c r="D14" s="142">
        <f>IF(VLOOKUP($A14,Sheet1!$A$3:$AW$699,15,FALSE)="","",VLOOKUP($A14,Sheet1!$A$3:$AW$699,15,FALSE))</f>
        <v>0</v>
      </c>
      <c r="E14" s="142">
        <f>IF(VLOOKUP($A14,Sheet1!$A$3:$AW$699,16,FALSE)="","",VLOOKUP($A14,Sheet1!$A$3:$AW$699,16,FALSE))</f>
        <v>65500</v>
      </c>
      <c r="F14" s="142">
        <f>IF(VLOOKUP($A14,Sheet1!$A$3:$AW$699,17,FALSE)="","",VLOOKUP($A14,Sheet1!$A$3:$AW$699,17,FALSE))</f>
        <v>0</v>
      </c>
      <c r="G14" s="142" t="str">
        <f>IF(VLOOKUP($A14,Sheet1!$A$3:$AW$699,18,FALSE)="","",VLOOKUP($A14,Sheet1!$A$3:$AW$699,18,FALSE))</f>
        <v/>
      </c>
      <c r="H14" s="142" t="str">
        <f>IF(VLOOKUP($A14,Sheet1!$A$3:$AW$699,19,FALSE)="","",VLOOKUP($A14,Sheet1!$A$3:$AW$699,19,FALSE))</f>
        <v>ms</v>
      </c>
      <c r="I14" s="9" t="str">
        <f>IF(VLOOKUP($A14,Sheet1!$A$3:$AW$699,5,FALSE)="","",VLOOKUP($A14,Sheet1!$A$3:$AW$699,5,FALSE))</f>
        <v>UINT</v>
      </c>
      <c r="J14" s="11" t="s">
        <v>320</v>
      </c>
      <c r="K14" s="9" t="s">
        <v>312</v>
      </c>
      <c r="L14" s="146" t="str">
        <f>IF(VLOOKUP($A14,Sheet1!$A$3:$AW$699,7,FALSE)="★","x","")</f>
        <v/>
      </c>
      <c r="M14" s="146" t="str">
        <f>IF(VLOOKUP($A14,Sheet1!$A$3:$AW$699,8,FALSE)="▲","x","")</f>
        <v/>
      </c>
      <c r="N14" s="146" t="str">
        <f>IF(VLOOKUP($A14,Sheet1!$A$3:$AW$699,9,FALSE)="●","x","")</f>
        <v/>
      </c>
      <c r="O14" s="146" t="str">
        <f>IF(VLOOKUP($A14,Sheet1!$A$3:$AW$699,10,FALSE)="■","x","")</f>
        <v/>
      </c>
      <c r="P14" s="9" t="str">
        <f>IF(VLOOKUP($A14,Sheet1!$A$3:$AW$699,2,FALSE)="","",VLOOKUP($A14,Sheet1!$A$3:$AW$699,2,FALSE))</f>
        <v>P1.036</v>
      </c>
    </row>
    <row r="15" spans="1:16" ht="40.799999999999997" x14ac:dyDescent="0.3">
      <c r="A15" s="9">
        <v>144</v>
      </c>
      <c r="B15" s="9" t="str">
        <f>IF(VLOOKUP($A15,Sheet1!$A$3:$AW$699,20,FALSE)="","",VLOOKUP($A15,Sheet1!$A$3:$AW$699,20,FALSE))</f>
        <v>LoadInertiaRatio</v>
      </c>
      <c r="C15" s="9" t="str">
        <f>IF(VLOOKUP($A15,Sheet1!$A$3:$AW$699,25,FALSE)="","",VLOOKUP($A15,Sheet1!$A$3:$AW$699,25,FALSE))</f>
        <v>All</v>
      </c>
      <c r="D15" s="142">
        <f>IF(VLOOKUP($A15,Sheet1!$A$3:$AW$699,15,FALSE)="","",VLOOKUP($A15,Sheet1!$A$3:$AW$699,15,FALSE))</f>
        <v>0</v>
      </c>
      <c r="E15" s="142">
        <f>IF(VLOOKUP($A15,Sheet1!$A$3:$AW$699,16,FALSE)="","",VLOOKUP($A15,Sheet1!$A$3:$AW$699,16,FALSE))</f>
        <v>2000</v>
      </c>
      <c r="F15" s="142">
        <f>IF(VLOOKUP($A15,Sheet1!$A$3:$AW$699,17,FALSE)="","",VLOOKUP($A15,Sheet1!$A$3:$AW$699,17,FALSE))</f>
        <v>60</v>
      </c>
      <c r="G15" s="142" t="str">
        <f>IF(VLOOKUP($A15,Sheet1!$A$3:$AW$699,18,FALSE)="","",VLOOKUP($A15,Sheet1!$A$3:$AW$699,18,FALSE))</f>
        <v/>
      </c>
      <c r="H15" s="142" t="str">
        <f>IF(VLOOKUP($A15,Sheet1!$A$3:$AW$699,19,FALSE)="","",VLOOKUP($A15,Sheet1!$A$3:$AW$699,19,FALSE))</f>
        <v>Load Inertia/Motor Inertia</v>
      </c>
      <c r="I15" s="9" t="str">
        <f>IF(VLOOKUP($A15,Sheet1!$A$3:$AW$699,5,FALSE)="","",VLOOKUP($A15,Sheet1!$A$3:$AW$699,5,FALSE))</f>
        <v>UINT</v>
      </c>
      <c r="J15" s="11" t="s">
        <v>321</v>
      </c>
      <c r="K15" s="9" t="s">
        <v>322</v>
      </c>
      <c r="L15" s="146" t="str">
        <f>IF(VLOOKUP($A15,Sheet1!$A$3:$AW$699,7,FALSE)="★","x","")</f>
        <v/>
      </c>
      <c r="M15" s="146" t="str">
        <f>IF(VLOOKUP($A15,Sheet1!$A$3:$AW$699,8,FALSE)="▲","x","")</f>
        <v/>
      </c>
      <c r="N15" s="146" t="str">
        <f>IF(VLOOKUP($A15,Sheet1!$A$3:$AW$699,9,FALSE)="●","x","")</f>
        <v/>
      </c>
      <c r="O15" s="146" t="str">
        <f>IF(VLOOKUP($A15,Sheet1!$A$3:$AW$699,10,FALSE)="■","x","")</f>
        <v/>
      </c>
      <c r="P15" s="9" t="str">
        <f>IF(VLOOKUP($A15,Sheet1!$A$3:$AW$699,2,FALSE)="","",VLOOKUP($A15,Sheet1!$A$3:$AW$699,2,FALSE))</f>
        <v>P1.037</v>
      </c>
    </row>
    <row r="16" spans="1:16" ht="40.799999999999997" x14ac:dyDescent="0.3">
      <c r="A16" s="9">
        <v>164</v>
      </c>
      <c r="B16" s="9" t="str">
        <f>IF(VLOOKUP($A16,Sheet1!$A$3:$AW$699,20,FALSE)="","",VLOOKUP($A16,Sheet1!$A$3:$AW$699,20,FALSE))</f>
        <v>VelocityCmdMovingFilterTime</v>
      </c>
      <c r="C16" s="9" t="str">
        <f>IF(VLOOKUP($A16,Sheet1!$A$3:$AW$699,25,FALSE)="","",VLOOKUP($A16,Sheet1!$A$3:$AW$699,25,FALSE))</f>
        <v>S/IO</v>
      </c>
      <c r="D16" s="142">
        <f>IF(VLOOKUP($A16,Sheet1!$A$3:$AW$699,15,FALSE)="","",VLOOKUP($A16,Sheet1!$A$3:$AW$699,15,FALSE))</f>
        <v>0</v>
      </c>
      <c r="E16" s="142">
        <f>IF(VLOOKUP($A16,Sheet1!$A$3:$AW$699,16,FALSE)="","",VLOOKUP($A16,Sheet1!$A$3:$AW$699,16,FALSE))</f>
        <v>40</v>
      </c>
      <c r="F16" s="142">
        <f>IF(VLOOKUP($A16,Sheet1!$A$3:$AW$699,17,FALSE)="","",VLOOKUP($A16,Sheet1!$A$3:$AW$699,17,FALSE))</f>
        <v>0</v>
      </c>
      <c r="G16" s="142" t="str">
        <f>IF(VLOOKUP($A16,Sheet1!$A$3:$AW$699,18,FALSE)="","",VLOOKUP($A16,Sheet1!$A$3:$AW$699,18,FALSE))</f>
        <v/>
      </c>
      <c r="H16" s="142" t="str">
        <f>IF(VLOOKUP($A16,Sheet1!$A$3:$AW$699,19,FALSE)="","",VLOOKUP($A16,Sheet1!$A$3:$AW$699,19,FALSE))</f>
        <v>ms</v>
      </c>
      <c r="I16" s="9" t="str">
        <f>IF(VLOOKUP($A16,Sheet1!$A$3:$AW$699,5,FALSE)="","",VLOOKUP($A16,Sheet1!$A$3:$AW$699,5,FALSE))</f>
        <v>INT</v>
      </c>
      <c r="J16" s="11" t="s">
        <v>323</v>
      </c>
      <c r="K16" s="9" t="s">
        <v>309</v>
      </c>
      <c r="L16" s="146" t="str">
        <f>IF(VLOOKUP($A16,Sheet1!$A$3:$AW$699,7,FALSE)="★","x","")</f>
        <v/>
      </c>
      <c r="M16" s="146" t="str">
        <f>IF(VLOOKUP($A16,Sheet1!$A$3:$AW$699,8,FALSE)="▲","x","")</f>
        <v/>
      </c>
      <c r="N16" s="146" t="str">
        <f>IF(VLOOKUP($A16,Sheet1!$A$3:$AW$699,9,FALSE)="●","x","")</f>
        <v/>
      </c>
      <c r="O16" s="146" t="str">
        <f>IF(VLOOKUP($A16,Sheet1!$A$3:$AW$699,10,FALSE)="■","x","")</f>
        <v/>
      </c>
      <c r="P16" s="9" t="str">
        <f>IF(VLOOKUP($A16,Sheet1!$A$3:$AW$699,2,FALSE)="","",VLOOKUP($A16,Sheet1!$A$3:$AW$699,2,FALSE))</f>
        <v>P1.059</v>
      </c>
    </row>
    <row r="17" spans="1:16" ht="30.6" x14ac:dyDescent="0.3">
      <c r="A17" s="9">
        <v>168</v>
      </c>
      <c r="B17" s="9" t="str">
        <f>IF(VLOOKUP($A17,Sheet1!$A$3:$AW$699,20,FALSE)="","",VLOOKUP($A17,Sheet1!$A$3:$AW$699,20,FALSE))</f>
        <v>AnalogToPositionSmoothTime</v>
      </c>
      <c r="C17" s="9" t="str">
        <f>IF(VLOOKUP($A17,Sheet1!$A$3:$AW$699,25,FALSE)="","",VLOOKUP($A17,Sheet1!$A$3:$AW$699,25,FALSE))</f>
        <v>PT/IO</v>
      </c>
      <c r="D17" s="142">
        <f>IF(VLOOKUP($A17,Sheet1!$A$3:$AW$699,15,FALSE)="","",VLOOKUP($A17,Sheet1!$A$3:$AW$699,15,FALSE))</f>
        <v>0</v>
      </c>
      <c r="E17" s="142">
        <f>IF(VLOOKUP($A17,Sheet1!$A$3:$AW$699,16,FALSE)="","",VLOOKUP($A17,Sheet1!$A$3:$AW$699,16,FALSE))</f>
        <v>1000</v>
      </c>
      <c r="F17" s="142">
        <f>IF(VLOOKUP($A17,Sheet1!$A$3:$AW$699,17,FALSE)="","",VLOOKUP($A17,Sheet1!$A$3:$AW$699,17,FALSE))</f>
        <v>1</v>
      </c>
      <c r="G17" s="142" t="str">
        <f>IF(VLOOKUP($A17,Sheet1!$A$3:$AW$699,18,FALSE)="","",VLOOKUP($A17,Sheet1!$A$3:$AW$699,18,FALSE))</f>
        <v/>
      </c>
      <c r="H17" s="142" t="str">
        <f>IF(VLOOKUP($A17,Sheet1!$A$3:$AW$699,19,FALSE)="","",VLOOKUP($A17,Sheet1!$A$3:$AW$699,19,FALSE))</f>
        <v>10ms</v>
      </c>
      <c r="I17" s="9" t="str">
        <f>IF(VLOOKUP($A17,Sheet1!$A$3:$AW$699,5,FALSE)="","",VLOOKUP($A17,Sheet1!$A$3:$AW$699,5,FALSE))</f>
        <v>INT</v>
      </c>
      <c r="J17" s="9" t="s">
        <v>324</v>
      </c>
      <c r="K17" s="9" t="s">
        <v>314</v>
      </c>
      <c r="L17" s="146" t="str">
        <f>IF(VLOOKUP($A17,Sheet1!$A$3:$AW$699,7,FALSE)="★","x","")</f>
        <v/>
      </c>
      <c r="M17" s="146" t="str">
        <f>IF(VLOOKUP($A17,Sheet1!$A$3:$AW$699,8,FALSE)="▲","x","")</f>
        <v/>
      </c>
      <c r="N17" s="146" t="str">
        <f>IF(VLOOKUP($A17,Sheet1!$A$3:$AW$699,9,FALSE)="●","x","")</f>
        <v/>
      </c>
      <c r="O17" s="146" t="str">
        <f>IF(VLOOKUP($A17,Sheet1!$A$3:$AW$699,10,FALSE)="■","x","")</f>
        <v/>
      </c>
      <c r="P17" s="9" t="str">
        <f>IF(VLOOKUP($A17,Sheet1!$A$3:$AW$699,2,FALSE)="","",VLOOKUP($A17,Sheet1!$A$3:$AW$699,2,FALSE))</f>
        <v>P1.065</v>
      </c>
    </row>
    <row r="18" spans="1:16" ht="40.799999999999997" x14ac:dyDescent="0.3">
      <c r="A18" s="9">
        <v>170</v>
      </c>
      <c r="B18" s="9" t="str">
        <f>IF(VLOOKUP($A18,Sheet1!$A$3:$AW$699,20,FALSE)="","",VLOOKUP($A18,Sheet1!$A$3:$AW$699,20,FALSE))</f>
        <v>PositionCmdMovingFilterTime</v>
      </c>
      <c r="C18" s="9" t="str">
        <f>IF(VLOOKUP($A18,Sheet1!$A$3:$AW$699,25,FALSE)="","",VLOOKUP($A18,Sheet1!$A$3:$AW$699,25,FALSE))</f>
        <v>PT/PR/IO</v>
      </c>
      <c r="D18" s="142">
        <f>IF(VLOOKUP($A18,Sheet1!$A$3:$AW$699,15,FALSE)="","",VLOOKUP($A18,Sheet1!$A$3:$AW$699,15,FALSE))</f>
        <v>0</v>
      </c>
      <c r="E18" s="142">
        <f>IF(VLOOKUP($A18,Sheet1!$A$3:$AW$699,16,FALSE)="","",VLOOKUP($A18,Sheet1!$A$3:$AW$699,16,FALSE))</f>
        <v>100</v>
      </c>
      <c r="F18" s="142">
        <f>IF(VLOOKUP($A18,Sheet1!$A$3:$AW$699,17,FALSE)="","",VLOOKUP($A18,Sheet1!$A$3:$AW$699,17,FALSE))</f>
        <v>4</v>
      </c>
      <c r="G18" s="142" t="str">
        <f>IF(VLOOKUP($A18,Sheet1!$A$3:$AW$699,18,FALSE)="","",VLOOKUP($A18,Sheet1!$A$3:$AW$699,18,FALSE))</f>
        <v/>
      </c>
      <c r="H18" s="142" t="str">
        <f>IF(VLOOKUP($A18,Sheet1!$A$3:$AW$699,19,FALSE)="","",VLOOKUP($A18,Sheet1!$A$3:$AW$699,19,FALSE))</f>
        <v>ms</v>
      </c>
      <c r="I18" s="9" t="str">
        <f>IF(VLOOKUP($A18,Sheet1!$A$3:$AW$699,5,FALSE)="","",VLOOKUP($A18,Sheet1!$A$3:$AW$699,5,FALSE))</f>
        <v>INT</v>
      </c>
      <c r="J18" s="9" t="s">
        <v>325</v>
      </c>
      <c r="K18" s="9" t="s">
        <v>312</v>
      </c>
      <c r="L18" s="146" t="str">
        <f>IF(VLOOKUP($A18,Sheet1!$A$3:$AW$699,7,FALSE)="★","x","")</f>
        <v/>
      </c>
      <c r="M18" s="146" t="str">
        <f>IF(VLOOKUP($A18,Sheet1!$A$3:$AW$699,8,FALSE)="▲","x","")</f>
        <v/>
      </c>
      <c r="N18" s="146" t="str">
        <f>IF(VLOOKUP($A18,Sheet1!$A$3:$AW$699,9,FALSE)="●","x","")</f>
        <v/>
      </c>
      <c r="O18" s="146" t="str">
        <f>IF(VLOOKUP($A18,Sheet1!$A$3:$AW$699,10,FALSE)="■","x","")</f>
        <v/>
      </c>
      <c r="P18" s="9" t="str">
        <f>IF(VLOOKUP($A18,Sheet1!$A$3:$AW$699,2,FALSE)="","",VLOOKUP($A18,Sheet1!$A$3:$AW$699,2,FALSE))</f>
        <v>P1.068</v>
      </c>
    </row>
    <row r="19" spans="1:16" ht="81.599999999999994" x14ac:dyDescent="0.3">
      <c r="A19" s="9">
        <v>174</v>
      </c>
      <c r="B19" s="9" t="str">
        <f>IF(VLOOKUP($A19,Sheet1!$A$3:$AW$699,20,FALSE)="","",VLOOKUP($A19,Sheet1!$A$3:$AW$699,20,FALSE))</f>
        <v>FullHalfClosedLoopLowPassFilterTime</v>
      </c>
      <c r="C19" s="9" t="str">
        <f>IF(VLOOKUP($A19,Sheet1!$A$3:$AW$699,25,FALSE)="","",VLOOKUP($A19,Sheet1!$A$3:$AW$699,25,FALSE))</f>
        <v>PT/IO</v>
      </c>
      <c r="D19" s="142">
        <f>IF(VLOOKUP($A19,Sheet1!$A$3:$AW$699,15,FALSE)="","",VLOOKUP($A19,Sheet1!$A$3:$AW$699,15,FALSE))</f>
        <v>0</v>
      </c>
      <c r="E19" s="142">
        <f>IF(VLOOKUP($A19,Sheet1!$A$3:$AW$699,16,FALSE)="","",VLOOKUP($A19,Sheet1!$A$3:$AW$699,16,FALSE))</f>
        <v>1000</v>
      </c>
      <c r="F19" s="142">
        <f>IF(VLOOKUP($A19,Sheet1!$A$3:$AW$699,17,FALSE)="","",VLOOKUP($A19,Sheet1!$A$3:$AW$699,17,FALSE))</f>
        <v>100</v>
      </c>
      <c r="G19" s="142" t="str">
        <f>IF(VLOOKUP($A19,Sheet1!$A$3:$AW$699,18,FALSE)="","",VLOOKUP($A19,Sheet1!$A$3:$AW$699,18,FALSE))</f>
        <v/>
      </c>
      <c r="H19" s="142" t="str">
        <f>IF(VLOOKUP($A19,Sheet1!$A$3:$AW$699,19,FALSE)="","",VLOOKUP($A19,Sheet1!$A$3:$AW$699,19,FALSE))</f>
        <v>ms</v>
      </c>
      <c r="I19" s="9" t="str">
        <f>IF(VLOOKUP($A19,Sheet1!$A$3:$AW$699,5,FALSE)="","",VLOOKUP($A19,Sheet1!$A$3:$AW$699,5,FALSE))</f>
        <v>INT</v>
      </c>
      <c r="J19" s="9" t="s">
        <v>326</v>
      </c>
      <c r="K19" s="9" t="s">
        <v>314</v>
      </c>
      <c r="L19" s="146" t="str">
        <f>IF(VLOOKUP($A19,Sheet1!$A$3:$AW$699,7,FALSE)="★","x","")</f>
        <v/>
      </c>
      <c r="M19" s="146" t="str">
        <f>IF(VLOOKUP($A19,Sheet1!$A$3:$AW$699,8,FALSE)="▲","x","")</f>
        <v/>
      </c>
      <c r="N19" s="146" t="str">
        <f>IF(VLOOKUP($A19,Sheet1!$A$3:$AW$699,9,FALSE)="●","x","")</f>
        <v/>
      </c>
      <c r="O19" s="146" t="str">
        <f>IF(VLOOKUP($A19,Sheet1!$A$3:$AW$699,10,FALSE)="■","x","")</f>
        <v/>
      </c>
      <c r="P19" s="9" t="str">
        <f>IF(VLOOKUP($A19,Sheet1!$A$3:$AW$699,2,FALSE)="","",VLOOKUP($A19,Sheet1!$A$3:$AW$699,2,FALSE))</f>
        <v>P1.075</v>
      </c>
    </row>
    <row r="20" spans="1:16" ht="51" x14ac:dyDescent="0.3">
      <c r="A20" s="9">
        <v>185</v>
      </c>
      <c r="B20" s="9" t="str">
        <f>IF(VLOOKUP($A20,Sheet1!$A$3:$AW$699,20,FALSE)="","",VLOOKUP($A20,Sheet1!$A$3:$AW$699,20,FALSE))</f>
        <v>PositionProportionalGain</v>
      </c>
      <c r="C20" s="9" t="str">
        <f>IF(VLOOKUP($A20,Sheet1!$A$3:$AW$699,25,FALSE)="","",VLOOKUP($A20,Sheet1!$A$3:$AW$699,25,FALSE))</f>
        <v>PT/PR/IO</v>
      </c>
      <c r="D20" s="142">
        <f>IF(VLOOKUP($A20,Sheet1!$A$3:$AW$699,15,FALSE)="","",VLOOKUP($A20,Sheet1!$A$3:$AW$699,15,FALSE))</f>
        <v>0</v>
      </c>
      <c r="E20" s="142">
        <f>IF(VLOOKUP($A20,Sheet1!$A$3:$AW$699,16,FALSE)="","",VLOOKUP($A20,Sheet1!$A$3:$AW$699,16,FALSE))</f>
        <v>2047</v>
      </c>
      <c r="F20" s="142">
        <f>IF(VLOOKUP($A20,Sheet1!$A$3:$AW$699,17,FALSE)="","",VLOOKUP($A20,Sheet1!$A$3:$AW$699,17,FALSE))</f>
        <v>36</v>
      </c>
      <c r="G20" s="142" t="str">
        <f>IF(VLOOKUP($A20,Sheet1!$A$3:$AW$699,18,FALSE)="","",VLOOKUP($A20,Sheet1!$A$3:$AW$699,18,FALSE))</f>
        <v/>
      </c>
      <c r="H20" s="142" t="str">
        <f>IF(VLOOKUP($A20,Sheet1!$A$3:$AW$699,19,FALSE)="","",VLOOKUP($A20,Sheet1!$A$3:$AW$699,19,FALSE))</f>
        <v>rad/s</v>
      </c>
      <c r="I20" s="9" t="str">
        <f>IF(VLOOKUP($A20,Sheet1!$A$3:$AW$699,5,FALSE)="","",VLOOKUP($A20,Sheet1!$A$3:$AW$699,5,FALSE))</f>
        <v>INT</v>
      </c>
      <c r="J20" s="9" t="s">
        <v>327</v>
      </c>
      <c r="K20" s="9" t="s">
        <v>328</v>
      </c>
      <c r="L20" s="146" t="str">
        <f>IF(VLOOKUP($A20,Sheet1!$A$3:$AW$699,7,FALSE)="★","x","")</f>
        <v/>
      </c>
      <c r="M20" s="146" t="str">
        <f>IF(VLOOKUP($A20,Sheet1!$A$3:$AW$699,8,FALSE)="▲","x","")</f>
        <v/>
      </c>
      <c r="N20" s="146" t="str">
        <f>IF(VLOOKUP($A20,Sheet1!$A$3:$AW$699,9,FALSE)="●","x","")</f>
        <v/>
      </c>
      <c r="O20" s="146" t="str">
        <f>IF(VLOOKUP($A20,Sheet1!$A$3:$AW$699,10,FALSE)="■","x","")</f>
        <v/>
      </c>
      <c r="P20" s="9" t="str">
        <f>IF(VLOOKUP($A20,Sheet1!$A$3:$AW$699,2,FALSE)="","",VLOOKUP($A20,Sheet1!$A$3:$AW$699,2,FALSE))</f>
        <v>P2.000</v>
      </c>
    </row>
    <row r="21" spans="1:16" ht="30.6" x14ac:dyDescent="0.3">
      <c r="A21" s="9">
        <v>186</v>
      </c>
      <c r="B21" s="9" t="str">
        <f>IF(VLOOKUP($A21,Sheet1!$A$3:$AW$699,20,FALSE)="","",VLOOKUP($A21,Sheet1!$A$3:$AW$699,20,FALSE))</f>
        <v>PositionProportionalGainRate</v>
      </c>
      <c r="C21" s="9" t="str">
        <f>IF(VLOOKUP($A21,Sheet1!$A$3:$AW$699,25,FALSE)="","",VLOOKUP($A21,Sheet1!$A$3:$AW$699,25,FALSE))</f>
        <v>PT/PR/IO</v>
      </c>
      <c r="D21" s="142">
        <f>IF(VLOOKUP($A21,Sheet1!$A$3:$AW$699,15,FALSE)="","",VLOOKUP($A21,Sheet1!$A$3:$AW$699,15,FALSE))</f>
        <v>10</v>
      </c>
      <c r="E21" s="142">
        <f>IF(VLOOKUP($A21,Sheet1!$A$3:$AW$699,16,FALSE)="","",VLOOKUP($A21,Sheet1!$A$3:$AW$699,16,FALSE))</f>
        <v>500</v>
      </c>
      <c r="F21" s="142">
        <f>IF(VLOOKUP($A21,Sheet1!$A$3:$AW$699,17,FALSE)="","",VLOOKUP($A21,Sheet1!$A$3:$AW$699,17,FALSE))</f>
        <v>100</v>
      </c>
      <c r="G21" s="142" t="str">
        <f>IF(VLOOKUP($A21,Sheet1!$A$3:$AW$699,18,FALSE)="","",VLOOKUP($A21,Sheet1!$A$3:$AW$699,18,FALSE))</f>
        <v/>
      </c>
      <c r="H21" s="142" t="str">
        <f>IF(VLOOKUP($A21,Sheet1!$A$3:$AW$699,19,FALSE)="","",VLOOKUP($A21,Sheet1!$A$3:$AW$699,19,FALSE))</f>
        <v>%</v>
      </c>
      <c r="I21" s="9" t="str">
        <f>IF(VLOOKUP($A21,Sheet1!$A$3:$AW$699,5,FALSE)="","",VLOOKUP($A21,Sheet1!$A$3:$AW$699,5,FALSE))</f>
        <v>INT</v>
      </c>
      <c r="J21" s="9" t="s">
        <v>329</v>
      </c>
      <c r="K21" s="9" t="s">
        <v>314</v>
      </c>
      <c r="L21" s="146" t="str">
        <f>IF(VLOOKUP($A21,Sheet1!$A$3:$AW$699,7,FALSE)="★","x","")</f>
        <v/>
      </c>
      <c r="M21" s="146" t="str">
        <f>IF(VLOOKUP($A21,Sheet1!$A$3:$AW$699,8,FALSE)="▲","x","")</f>
        <v/>
      </c>
      <c r="N21" s="146" t="str">
        <f>IF(VLOOKUP($A21,Sheet1!$A$3:$AW$699,9,FALSE)="●","x","")</f>
        <v/>
      </c>
      <c r="O21" s="146" t="str">
        <f>IF(VLOOKUP($A21,Sheet1!$A$3:$AW$699,10,FALSE)="■","x","")</f>
        <v/>
      </c>
      <c r="P21" s="9" t="str">
        <f>IF(VLOOKUP($A21,Sheet1!$A$3:$AW$699,2,FALSE)="","",VLOOKUP($A21,Sheet1!$A$3:$AW$699,2,FALSE))</f>
        <v>P2.001</v>
      </c>
    </row>
    <row r="22" spans="1:16" ht="61.2" x14ac:dyDescent="0.3">
      <c r="A22" s="9">
        <v>187</v>
      </c>
      <c r="B22" s="9" t="str">
        <f>IF(VLOOKUP($A22,Sheet1!$A$3:$AW$699,20,FALSE)="","",VLOOKUP($A22,Sheet1!$A$3:$AW$699,20,FALSE))</f>
        <v>VelocityFeedforwardGain</v>
      </c>
      <c r="C22" s="9" t="str">
        <f>IF(VLOOKUP($A22,Sheet1!$A$3:$AW$699,25,FALSE)="","",VLOOKUP($A22,Sheet1!$A$3:$AW$699,25,FALSE))</f>
        <v>PT/PR/IO</v>
      </c>
      <c r="D22" s="142">
        <f>IF(VLOOKUP($A22,Sheet1!$A$3:$AW$699,15,FALSE)="","",VLOOKUP($A22,Sheet1!$A$3:$AW$699,15,FALSE))</f>
        <v>0</v>
      </c>
      <c r="E22" s="142">
        <f>IF(VLOOKUP($A22,Sheet1!$A$3:$AW$699,16,FALSE)="","",VLOOKUP($A22,Sheet1!$A$3:$AW$699,16,FALSE))</f>
        <v>100</v>
      </c>
      <c r="F22" s="142">
        <f>IF(VLOOKUP($A22,Sheet1!$A$3:$AW$699,17,FALSE)="","",VLOOKUP($A22,Sheet1!$A$3:$AW$699,17,FALSE))</f>
        <v>50</v>
      </c>
      <c r="G22" s="142" t="str">
        <f>IF(VLOOKUP($A22,Sheet1!$A$3:$AW$699,18,FALSE)="","",VLOOKUP($A22,Sheet1!$A$3:$AW$699,18,FALSE))</f>
        <v/>
      </c>
      <c r="H22" s="142" t="str">
        <f>IF(VLOOKUP($A22,Sheet1!$A$3:$AW$699,19,FALSE)="","",VLOOKUP($A22,Sheet1!$A$3:$AW$699,19,FALSE))</f>
        <v>%</v>
      </c>
      <c r="I22" s="9" t="str">
        <f>IF(VLOOKUP($A22,Sheet1!$A$3:$AW$699,5,FALSE)="","",VLOOKUP($A22,Sheet1!$A$3:$AW$699,5,FALSE))</f>
        <v>INT</v>
      </c>
      <c r="J22" s="11" t="s">
        <v>330</v>
      </c>
      <c r="K22" s="9" t="s">
        <v>331</v>
      </c>
      <c r="L22" s="146" t="str">
        <f>IF(VLOOKUP($A22,Sheet1!$A$3:$AW$699,7,FALSE)="★","x","")</f>
        <v/>
      </c>
      <c r="M22" s="146" t="str">
        <f>IF(VLOOKUP($A22,Sheet1!$A$3:$AW$699,8,FALSE)="▲","x","")</f>
        <v/>
      </c>
      <c r="N22" s="146" t="str">
        <f>IF(VLOOKUP($A22,Sheet1!$A$3:$AW$699,9,FALSE)="●","x","")</f>
        <v/>
      </c>
      <c r="O22" s="146" t="str">
        <f>IF(VLOOKUP($A22,Sheet1!$A$3:$AW$699,10,FALSE)="■","x","")</f>
        <v/>
      </c>
      <c r="P22" s="9" t="str">
        <f>IF(VLOOKUP($A22,Sheet1!$A$3:$AW$699,2,FALSE)="","",VLOOKUP($A22,Sheet1!$A$3:$AW$699,2,FALSE))</f>
        <v>P2.002</v>
      </c>
    </row>
    <row r="23" spans="1:16" ht="51" x14ac:dyDescent="0.3">
      <c r="A23" s="9">
        <v>188</v>
      </c>
      <c r="B23" s="9" t="str">
        <f>IF(VLOOKUP($A23,Sheet1!$A$3:$AW$699,20,FALSE)="","",VLOOKUP($A23,Sheet1!$A$3:$AW$699,20,FALSE))</f>
        <v>VelocityFeedforwardLowPassFilterTime</v>
      </c>
      <c r="C23" s="9" t="str">
        <f>IF(VLOOKUP($A23,Sheet1!$A$3:$AW$699,25,FALSE)="","",VLOOKUP($A23,Sheet1!$A$3:$AW$699,25,FALSE))</f>
        <v>PT/PR/IO</v>
      </c>
      <c r="D23" s="142">
        <f>IF(VLOOKUP($A23,Sheet1!$A$3:$AW$699,15,FALSE)="","",VLOOKUP($A23,Sheet1!$A$3:$AW$699,15,FALSE))</f>
        <v>2</v>
      </c>
      <c r="E23" s="142">
        <f>IF(VLOOKUP($A23,Sheet1!$A$3:$AW$699,16,FALSE)="","",VLOOKUP($A23,Sheet1!$A$3:$AW$699,16,FALSE))</f>
        <v>100</v>
      </c>
      <c r="F23" s="142">
        <f>IF(VLOOKUP($A23,Sheet1!$A$3:$AW$699,17,FALSE)="","",VLOOKUP($A23,Sheet1!$A$3:$AW$699,17,FALSE))</f>
        <v>5</v>
      </c>
      <c r="G23" s="142" t="str">
        <f>IF(VLOOKUP($A23,Sheet1!$A$3:$AW$699,18,FALSE)="","",VLOOKUP($A23,Sheet1!$A$3:$AW$699,18,FALSE))</f>
        <v/>
      </c>
      <c r="H23" s="142" t="str">
        <f>IF(VLOOKUP($A23,Sheet1!$A$3:$AW$699,19,FALSE)="","",VLOOKUP($A23,Sheet1!$A$3:$AW$699,19,FALSE))</f>
        <v>ms</v>
      </c>
      <c r="I23" s="9" t="str">
        <f>IF(VLOOKUP($A23,Sheet1!$A$3:$AW$699,5,FALSE)="","",VLOOKUP($A23,Sheet1!$A$3:$AW$699,5,FALSE))</f>
        <v>INT</v>
      </c>
      <c r="J23" s="9" t="s">
        <v>332</v>
      </c>
      <c r="K23" s="9" t="s">
        <v>331</v>
      </c>
      <c r="L23" s="146" t="str">
        <f>IF(VLOOKUP($A23,Sheet1!$A$3:$AW$699,7,FALSE)="★","x","")</f>
        <v/>
      </c>
      <c r="M23" s="146" t="str">
        <f>IF(VLOOKUP($A23,Sheet1!$A$3:$AW$699,8,FALSE)="▲","x","")</f>
        <v/>
      </c>
      <c r="N23" s="146" t="str">
        <f>IF(VLOOKUP($A23,Sheet1!$A$3:$AW$699,9,FALSE)="●","x","")</f>
        <v/>
      </c>
      <c r="O23" s="146" t="str">
        <f>IF(VLOOKUP($A23,Sheet1!$A$3:$AW$699,10,FALSE)="■","x","")</f>
        <v/>
      </c>
      <c r="P23" s="9" t="str">
        <f>IF(VLOOKUP($A23,Sheet1!$A$3:$AW$699,2,FALSE)="","",VLOOKUP($A23,Sheet1!$A$3:$AW$699,2,FALSE))</f>
        <v>P2.003</v>
      </c>
    </row>
    <row r="24" spans="1:16" ht="40.799999999999997" x14ac:dyDescent="0.3">
      <c r="A24" s="9">
        <v>189</v>
      </c>
      <c r="B24" s="9" t="str">
        <f>IF(VLOOKUP($A24,Sheet1!$A$3:$AW$699,20,FALSE)="","",VLOOKUP($A24,Sheet1!$A$3:$AW$699,20,FALSE))</f>
        <v>VelocityProportionalGain</v>
      </c>
      <c r="C24" s="9" t="str">
        <f>IF(VLOOKUP($A24,Sheet1!$A$3:$AW$699,25,FALSE)="","",VLOOKUP($A24,Sheet1!$A$3:$AW$699,25,FALSE))</f>
        <v>All</v>
      </c>
      <c r="D24" s="142">
        <f>IF(VLOOKUP($A24,Sheet1!$A$3:$AW$699,15,FALSE)="","",VLOOKUP($A24,Sheet1!$A$3:$AW$699,15,FALSE))</f>
        <v>0</v>
      </c>
      <c r="E24" s="142">
        <f>IF(VLOOKUP($A24,Sheet1!$A$3:$AW$699,16,FALSE)="","",VLOOKUP($A24,Sheet1!$A$3:$AW$699,16,FALSE))</f>
        <v>8191</v>
      </c>
      <c r="F24" s="142">
        <f>IF(VLOOKUP($A24,Sheet1!$A$3:$AW$699,17,FALSE)="","",VLOOKUP($A24,Sheet1!$A$3:$AW$699,17,FALSE))</f>
        <v>144</v>
      </c>
      <c r="G24" s="142" t="str">
        <f>IF(VLOOKUP($A24,Sheet1!$A$3:$AW$699,18,FALSE)="","",VLOOKUP($A24,Sheet1!$A$3:$AW$699,18,FALSE))</f>
        <v/>
      </c>
      <c r="H24" s="142" t="str">
        <f>IF(VLOOKUP($A24,Sheet1!$A$3:$AW$699,19,FALSE)="","",VLOOKUP($A24,Sheet1!$A$3:$AW$699,19,FALSE))</f>
        <v>rad/s</v>
      </c>
      <c r="I24" s="9" t="str">
        <f>IF(VLOOKUP($A24,Sheet1!$A$3:$AW$699,5,FALSE)="","",VLOOKUP($A24,Sheet1!$A$3:$AW$699,5,FALSE))</f>
        <v>INT</v>
      </c>
      <c r="J24" s="9" t="s">
        <v>333</v>
      </c>
      <c r="K24" s="9" t="s">
        <v>322</v>
      </c>
      <c r="L24" s="146" t="str">
        <f>IF(VLOOKUP($A24,Sheet1!$A$3:$AW$699,7,FALSE)="★","x","")</f>
        <v/>
      </c>
      <c r="M24" s="146" t="str">
        <f>IF(VLOOKUP($A24,Sheet1!$A$3:$AW$699,8,FALSE)="▲","x","")</f>
        <v/>
      </c>
      <c r="N24" s="146" t="str">
        <f>IF(VLOOKUP($A24,Sheet1!$A$3:$AW$699,9,FALSE)="●","x","")</f>
        <v/>
      </c>
      <c r="O24" s="146" t="str">
        <f>IF(VLOOKUP($A24,Sheet1!$A$3:$AW$699,10,FALSE)="■","x","")</f>
        <v/>
      </c>
      <c r="P24" s="9" t="str">
        <f>IF(VLOOKUP($A24,Sheet1!$A$3:$AW$699,2,FALSE)="","",VLOOKUP($A24,Sheet1!$A$3:$AW$699,2,FALSE))</f>
        <v>P2.004</v>
      </c>
    </row>
    <row r="25" spans="1:16" ht="30.6" x14ac:dyDescent="0.3">
      <c r="A25" s="9">
        <v>190</v>
      </c>
      <c r="B25" s="9" t="str">
        <f>IF(VLOOKUP($A25,Sheet1!$A$3:$AW$699,20,FALSE)="","",VLOOKUP($A25,Sheet1!$A$3:$AW$699,20,FALSE))</f>
        <v>VelocityProportionalGainRate</v>
      </c>
      <c r="C25" s="9" t="str">
        <f>IF(VLOOKUP($A25,Sheet1!$A$3:$AW$699,25,FALSE)="","",VLOOKUP($A25,Sheet1!$A$3:$AW$699,25,FALSE))</f>
        <v>All</v>
      </c>
      <c r="D25" s="142">
        <f>IF(VLOOKUP($A25,Sheet1!$A$3:$AW$699,15,FALSE)="","",VLOOKUP($A25,Sheet1!$A$3:$AW$699,15,FALSE))</f>
        <v>10</v>
      </c>
      <c r="E25" s="142">
        <f>IF(VLOOKUP($A25,Sheet1!$A$3:$AW$699,16,FALSE)="","",VLOOKUP($A25,Sheet1!$A$3:$AW$699,16,FALSE))</f>
        <v>500</v>
      </c>
      <c r="F25" s="142">
        <f>IF(VLOOKUP($A25,Sheet1!$A$3:$AW$699,17,FALSE)="","",VLOOKUP($A25,Sheet1!$A$3:$AW$699,17,FALSE))</f>
        <v>100</v>
      </c>
      <c r="G25" s="142" t="str">
        <f>IF(VLOOKUP($A25,Sheet1!$A$3:$AW$699,18,FALSE)="","",VLOOKUP($A25,Sheet1!$A$3:$AW$699,18,FALSE))</f>
        <v/>
      </c>
      <c r="H25" s="142" t="str">
        <f>IF(VLOOKUP($A25,Sheet1!$A$3:$AW$699,19,FALSE)="","",VLOOKUP($A25,Sheet1!$A$3:$AW$699,19,FALSE))</f>
        <v>%</v>
      </c>
      <c r="I25" s="9" t="str">
        <f>IF(VLOOKUP($A25,Sheet1!$A$3:$AW$699,5,FALSE)="","",VLOOKUP($A25,Sheet1!$A$3:$AW$699,5,FALSE))</f>
        <v>INT</v>
      </c>
      <c r="J25" s="9" t="s">
        <v>334</v>
      </c>
      <c r="K25" s="9" t="s">
        <v>314</v>
      </c>
      <c r="L25" s="146" t="str">
        <f>IF(VLOOKUP($A25,Sheet1!$A$3:$AW$699,7,FALSE)="★","x","")</f>
        <v/>
      </c>
      <c r="M25" s="146" t="str">
        <f>IF(VLOOKUP($A25,Sheet1!$A$3:$AW$699,8,FALSE)="▲","x","")</f>
        <v/>
      </c>
      <c r="N25" s="146" t="str">
        <f>IF(VLOOKUP($A25,Sheet1!$A$3:$AW$699,9,FALSE)="●","x","")</f>
        <v/>
      </c>
      <c r="O25" s="146" t="str">
        <f>IF(VLOOKUP($A25,Sheet1!$A$3:$AW$699,10,FALSE)="■","x","")</f>
        <v/>
      </c>
      <c r="P25" s="9" t="str">
        <f>IF(VLOOKUP($A25,Sheet1!$A$3:$AW$699,2,FALSE)="","",VLOOKUP($A25,Sheet1!$A$3:$AW$699,2,FALSE))</f>
        <v>P2.005</v>
      </c>
    </row>
    <row r="26" spans="1:16" ht="40.799999999999997" x14ac:dyDescent="0.3">
      <c r="A26" s="9">
        <v>191</v>
      </c>
      <c r="B26" s="9" t="str">
        <f>IF(VLOOKUP($A26,Sheet1!$A$3:$AW$699,20,FALSE)="","",VLOOKUP($A26,Sheet1!$A$3:$AW$699,20,FALSE))</f>
        <v>VelocityIntegralGain</v>
      </c>
      <c r="C26" s="9" t="str">
        <f>IF(VLOOKUP($A26,Sheet1!$A$3:$AW$699,25,FALSE)="","",VLOOKUP($A26,Sheet1!$A$3:$AW$699,25,FALSE))</f>
        <v>All</v>
      </c>
      <c r="D26" s="142">
        <f>IF(VLOOKUP($A26,Sheet1!$A$3:$AW$699,15,FALSE)="","",VLOOKUP($A26,Sheet1!$A$3:$AW$699,15,FALSE))</f>
        <v>0</v>
      </c>
      <c r="E26" s="142">
        <f>IF(VLOOKUP($A26,Sheet1!$A$3:$AW$699,16,FALSE)="","",VLOOKUP($A26,Sheet1!$A$3:$AW$699,16,FALSE))</f>
        <v>1023</v>
      </c>
      <c r="F26" s="142">
        <f>IF(VLOOKUP($A26,Sheet1!$A$3:$AW$699,17,FALSE)="","",VLOOKUP($A26,Sheet1!$A$3:$AW$699,17,FALSE))</f>
        <v>23</v>
      </c>
      <c r="G26" s="142" t="str">
        <f>IF(VLOOKUP($A26,Sheet1!$A$3:$AW$699,18,FALSE)="","",VLOOKUP($A26,Sheet1!$A$3:$AW$699,18,FALSE))</f>
        <v/>
      </c>
      <c r="H26" s="142" t="str">
        <f>IF(VLOOKUP($A26,Sheet1!$A$3:$AW$699,19,FALSE)="","",VLOOKUP($A26,Sheet1!$A$3:$AW$699,19,FALSE))</f>
        <v>rad/s</v>
      </c>
      <c r="I26" s="9" t="str">
        <f>IF(VLOOKUP($A26,Sheet1!$A$3:$AW$699,5,FALSE)="","",VLOOKUP($A26,Sheet1!$A$3:$AW$699,5,FALSE))</f>
        <v>INT</v>
      </c>
      <c r="J26" s="9" t="s">
        <v>335</v>
      </c>
      <c r="K26" s="9" t="s">
        <v>322</v>
      </c>
      <c r="L26" s="146" t="str">
        <f>IF(VLOOKUP($A26,Sheet1!$A$3:$AW$699,7,FALSE)="★","x","")</f>
        <v/>
      </c>
      <c r="M26" s="146" t="str">
        <f>IF(VLOOKUP($A26,Sheet1!$A$3:$AW$699,8,FALSE)="▲","x","")</f>
        <v/>
      </c>
      <c r="N26" s="146" t="str">
        <f>IF(VLOOKUP($A26,Sheet1!$A$3:$AW$699,9,FALSE)="●","x","")</f>
        <v/>
      </c>
      <c r="O26" s="146" t="str">
        <f>IF(VLOOKUP($A26,Sheet1!$A$3:$AW$699,10,FALSE)="■","x","")</f>
        <v/>
      </c>
      <c r="P26" s="9" t="str">
        <f>IF(VLOOKUP($A26,Sheet1!$A$3:$AW$699,2,FALSE)="","",VLOOKUP($A26,Sheet1!$A$3:$AW$699,2,FALSE))</f>
        <v>P2.006</v>
      </c>
    </row>
    <row r="27" spans="1:16" ht="40.799999999999997" x14ac:dyDescent="0.3">
      <c r="A27" s="9">
        <v>192</v>
      </c>
      <c r="B27" s="9" t="str">
        <f>IF(VLOOKUP($A27,Sheet1!$A$3:$AW$699,20,FALSE)="","",VLOOKUP($A27,Sheet1!$A$3:$AW$699,20,FALSE))</f>
        <v>AccelFeedforwardGain</v>
      </c>
      <c r="C27" s="9" t="str">
        <f>IF(VLOOKUP($A27,Sheet1!$A$3:$AW$699,25,FALSE)="","",VLOOKUP($A27,Sheet1!$A$3:$AW$699,25,FALSE))</f>
        <v>All</v>
      </c>
      <c r="D27" s="142">
        <f>IF(VLOOKUP($A27,Sheet1!$A$3:$AW$699,15,FALSE)="","",VLOOKUP($A27,Sheet1!$A$3:$AW$699,15,FALSE))</f>
        <v>0</v>
      </c>
      <c r="E27" s="142">
        <f>IF(VLOOKUP($A27,Sheet1!$A$3:$AW$699,16,FALSE)="","",VLOOKUP($A27,Sheet1!$A$3:$AW$699,16,FALSE))</f>
        <v>100</v>
      </c>
      <c r="F27" s="142">
        <f>IF(VLOOKUP($A27,Sheet1!$A$3:$AW$699,17,FALSE)="","",VLOOKUP($A27,Sheet1!$A$3:$AW$699,17,FALSE))</f>
        <v>0</v>
      </c>
      <c r="G27" s="142" t="str">
        <f>IF(VLOOKUP($A27,Sheet1!$A$3:$AW$699,18,FALSE)="","",VLOOKUP($A27,Sheet1!$A$3:$AW$699,18,FALSE))</f>
        <v/>
      </c>
      <c r="H27" s="142" t="str">
        <f>IF(VLOOKUP($A27,Sheet1!$A$3:$AW$699,19,FALSE)="","",VLOOKUP($A27,Sheet1!$A$3:$AW$699,19,FALSE))</f>
        <v>%</v>
      </c>
      <c r="I27" s="9" t="str">
        <f>IF(VLOOKUP($A27,Sheet1!$A$3:$AW$699,5,FALSE)="","",VLOOKUP($A27,Sheet1!$A$3:$AW$699,5,FALSE))</f>
        <v>INT</v>
      </c>
      <c r="J27" s="9" t="s">
        <v>336</v>
      </c>
      <c r="K27" s="9" t="s">
        <v>337</v>
      </c>
      <c r="L27" s="146" t="str">
        <f>IF(VLOOKUP($A27,Sheet1!$A$3:$AW$699,7,FALSE)="★","x","")</f>
        <v/>
      </c>
      <c r="M27" s="146" t="str">
        <f>IF(VLOOKUP($A27,Sheet1!$A$3:$AW$699,8,FALSE)="▲","x","")</f>
        <v/>
      </c>
      <c r="N27" s="146" t="str">
        <f>IF(VLOOKUP($A27,Sheet1!$A$3:$AW$699,9,FALSE)="●","x","")</f>
        <v/>
      </c>
      <c r="O27" s="146" t="str">
        <f>IF(VLOOKUP($A27,Sheet1!$A$3:$AW$699,10,FALSE)="■","x","")</f>
        <v/>
      </c>
      <c r="P27" s="9" t="str">
        <f>IF(VLOOKUP($A27,Sheet1!$A$3:$AW$699,2,FALSE)="","",VLOOKUP($A27,Sheet1!$A$3:$AW$699,2,FALSE))</f>
        <v>P2.007</v>
      </c>
    </row>
    <row r="28" spans="1:16" ht="40.799999999999997" x14ac:dyDescent="0.3">
      <c r="A28" s="9">
        <v>208</v>
      </c>
      <c r="B28" s="9" t="str">
        <f>IF(VLOOKUP($A28,Sheet1!$A$3:$AW$699,20,FALSE)="","",VLOOKUP($A28,Sheet1!$A$3:$AW$699,20,FALSE))</f>
        <v>NotchFilter1Frequency</v>
      </c>
      <c r="C28" s="9" t="str">
        <f>IF(VLOOKUP($A28,Sheet1!$A$3:$AW$699,25,FALSE)="","",VLOOKUP($A28,Sheet1!$A$3:$AW$699,25,FALSE))</f>
        <v>All</v>
      </c>
      <c r="D28" s="142">
        <f>IF(VLOOKUP($A28,Sheet1!$A$3:$AW$699,15,FALSE)="","",VLOOKUP($A28,Sheet1!$A$3:$AW$699,15,FALSE))</f>
        <v>50</v>
      </c>
      <c r="E28" s="142">
        <f>IF(VLOOKUP($A28,Sheet1!$A$3:$AW$699,16,FALSE)="","",VLOOKUP($A28,Sheet1!$A$3:$AW$699,16,FALSE))</f>
        <v>5000</v>
      </c>
      <c r="F28" s="142">
        <f>IF(VLOOKUP($A28,Sheet1!$A$3:$AW$699,17,FALSE)="","",VLOOKUP($A28,Sheet1!$A$3:$AW$699,17,FALSE))</f>
        <v>1000</v>
      </c>
      <c r="G28" s="142" t="str">
        <f>IF(VLOOKUP($A28,Sheet1!$A$3:$AW$699,18,FALSE)="","",VLOOKUP($A28,Sheet1!$A$3:$AW$699,18,FALSE))</f>
        <v/>
      </c>
      <c r="H28" s="142" t="str">
        <f>IF(VLOOKUP($A28,Sheet1!$A$3:$AW$699,19,FALSE)="","",VLOOKUP($A28,Sheet1!$A$3:$AW$699,19,FALSE))</f>
        <v>Hz</v>
      </c>
      <c r="I28" s="9" t="str">
        <f>IF(VLOOKUP($A28,Sheet1!$A$3:$AW$699,5,FALSE)="","",VLOOKUP($A28,Sheet1!$A$3:$AW$699,5,FALSE))</f>
        <v>INT</v>
      </c>
      <c r="J28" s="9" t="s">
        <v>338</v>
      </c>
      <c r="K28" s="9" t="s">
        <v>312</v>
      </c>
      <c r="L28" s="146" t="str">
        <f>IF(VLOOKUP($A28,Sheet1!$A$3:$AW$699,7,FALSE)="★","x","")</f>
        <v/>
      </c>
      <c r="M28" s="146" t="str">
        <f>IF(VLOOKUP($A28,Sheet1!$A$3:$AW$699,8,FALSE)="▲","x","")</f>
        <v/>
      </c>
      <c r="N28" s="146" t="str">
        <f>IF(VLOOKUP($A28,Sheet1!$A$3:$AW$699,9,FALSE)="●","x","")</f>
        <v/>
      </c>
      <c r="O28" s="146" t="str">
        <f>IF(VLOOKUP($A28,Sheet1!$A$3:$AW$699,10,FALSE)="■","x","")</f>
        <v/>
      </c>
      <c r="P28" s="9" t="str">
        <f>IF(VLOOKUP($A28,Sheet1!$A$3:$AW$699,2,FALSE)="","",VLOOKUP($A28,Sheet1!$A$3:$AW$699,2,FALSE))</f>
        <v>P2.023</v>
      </c>
    </row>
    <row r="29" spans="1:16" ht="61.2" x14ac:dyDescent="0.3">
      <c r="A29" s="9">
        <v>209</v>
      </c>
      <c r="B29" s="9" t="str">
        <f>IF(VLOOKUP($A29,Sheet1!$A$3:$AW$699,20,FALSE)="","",VLOOKUP($A29,Sheet1!$A$3:$AW$699,20,FALSE))</f>
        <v>NotchFilter1Depth</v>
      </c>
      <c r="C29" s="9" t="str">
        <f>IF(VLOOKUP($A29,Sheet1!$A$3:$AW$699,25,FALSE)="","",VLOOKUP($A29,Sheet1!$A$3:$AW$699,25,FALSE))</f>
        <v>All</v>
      </c>
      <c r="D29" s="142">
        <f>IF(VLOOKUP($A29,Sheet1!$A$3:$AW$699,15,FALSE)="","",VLOOKUP($A29,Sheet1!$A$3:$AW$699,15,FALSE))</f>
        <v>0</v>
      </c>
      <c r="E29" s="142">
        <f>IF(VLOOKUP($A29,Sheet1!$A$3:$AW$699,16,FALSE)="","",VLOOKUP($A29,Sheet1!$A$3:$AW$699,16,FALSE))</f>
        <v>40</v>
      </c>
      <c r="F29" s="142">
        <f>IF(VLOOKUP($A29,Sheet1!$A$3:$AW$699,17,FALSE)="","",VLOOKUP($A29,Sheet1!$A$3:$AW$699,17,FALSE))</f>
        <v>0</v>
      </c>
      <c r="G29" s="142" t="str">
        <f>IF(VLOOKUP($A29,Sheet1!$A$3:$AW$699,18,FALSE)="","",VLOOKUP($A29,Sheet1!$A$3:$AW$699,18,FALSE))</f>
        <v/>
      </c>
      <c r="H29" s="142" t="str">
        <f>IF(VLOOKUP($A29,Sheet1!$A$3:$AW$699,19,FALSE)="","",VLOOKUP($A29,Sheet1!$A$3:$AW$699,19,FALSE))</f>
        <v>-dB</v>
      </c>
      <c r="I29" s="9" t="str">
        <f>IF(VLOOKUP($A29,Sheet1!$A$3:$AW$699,5,FALSE)="","",VLOOKUP($A29,Sheet1!$A$3:$AW$699,5,FALSE))</f>
        <v>INT</v>
      </c>
      <c r="J29" s="9" t="s">
        <v>339</v>
      </c>
      <c r="K29" s="9" t="s">
        <v>312</v>
      </c>
      <c r="L29" s="146" t="str">
        <f>IF(VLOOKUP($A29,Sheet1!$A$3:$AW$699,7,FALSE)="★","x","")</f>
        <v/>
      </c>
      <c r="M29" s="146" t="str">
        <f>IF(VLOOKUP($A29,Sheet1!$A$3:$AW$699,8,FALSE)="▲","x","")</f>
        <v/>
      </c>
      <c r="N29" s="146" t="str">
        <f>IF(VLOOKUP($A29,Sheet1!$A$3:$AW$699,9,FALSE)="●","x","")</f>
        <v/>
      </c>
      <c r="O29" s="146" t="str">
        <f>IF(VLOOKUP($A29,Sheet1!$A$3:$AW$699,10,FALSE)="■","x","")</f>
        <v/>
      </c>
      <c r="P29" s="9" t="str">
        <f>IF(VLOOKUP($A29,Sheet1!$A$3:$AW$699,2,FALSE)="","",VLOOKUP($A29,Sheet1!$A$3:$AW$699,2,FALSE))</f>
        <v>P2.024</v>
      </c>
    </row>
    <row r="30" spans="1:16" ht="30.6" x14ac:dyDescent="0.3">
      <c r="A30" s="9">
        <v>210</v>
      </c>
      <c r="B30" s="9" t="str">
        <f>IF(VLOOKUP($A30,Sheet1!$A$3:$AW$699,20,FALSE)="","",VLOOKUP($A30,Sheet1!$A$3:$AW$699,20,FALSE))</f>
        <v>ResonanceSuppressionLowPassFilterTime</v>
      </c>
      <c r="C30" s="9" t="str">
        <f>IF(VLOOKUP($A30,Sheet1!$A$3:$AW$699,25,FALSE)="","",VLOOKUP($A30,Sheet1!$A$3:$AW$699,25,FALSE))</f>
        <v>All</v>
      </c>
      <c r="D30" s="142">
        <f>IF(VLOOKUP($A30,Sheet1!$A$3:$AW$699,15,FALSE)="","",VLOOKUP($A30,Sheet1!$A$3:$AW$699,15,FALSE))</f>
        <v>0</v>
      </c>
      <c r="E30" s="142">
        <f>IF(VLOOKUP($A30,Sheet1!$A$3:$AW$699,16,FALSE)="","",VLOOKUP($A30,Sheet1!$A$3:$AW$699,16,FALSE))</f>
        <v>1000</v>
      </c>
      <c r="F30" s="142">
        <f>IF(VLOOKUP($A30,Sheet1!$A$3:$AW$699,17,FALSE)="","",VLOOKUP($A30,Sheet1!$A$3:$AW$699,17,FALSE))</f>
        <v>8</v>
      </c>
      <c r="G30" s="142">
        <f>IF(VLOOKUP($A30,Sheet1!$A$3:$AW$699,18,FALSE)="","",VLOOKUP($A30,Sheet1!$A$3:$AW$699,18,FALSE))</f>
        <v>0.1</v>
      </c>
      <c r="H30" s="142" t="str">
        <f>IF(VLOOKUP($A30,Sheet1!$A$3:$AW$699,19,FALSE)="","",VLOOKUP($A30,Sheet1!$A$3:$AW$699,19,FALSE))</f>
        <v>ms</v>
      </c>
      <c r="I30" s="9" t="str">
        <f>IF(VLOOKUP($A30,Sheet1!$A$3:$AW$699,5,FALSE)="","",VLOOKUP($A30,Sheet1!$A$3:$AW$699,5,FALSE))</f>
        <v>INT</v>
      </c>
      <c r="J30" s="9" t="s">
        <v>340</v>
      </c>
      <c r="K30" s="9" t="s">
        <v>341</v>
      </c>
      <c r="L30" s="146" t="str">
        <f>IF(VLOOKUP($A30,Sheet1!$A$3:$AW$699,7,FALSE)="★","x","")</f>
        <v/>
      </c>
      <c r="M30" s="146" t="str">
        <f>IF(VLOOKUP($A30,Sheet1!$A$3:$AW$699,8,FALSE)="▲","x","")</f>
        <v/>
      </c>
      <c r="N30" s="146" t="str">
        <f>IF(VLOOKUP($A30,Sheet1!$A$3:$AW$699,9,FALSE)="●","x","")</f>
        <v/>
      </c>
      <c r="O30" s="146" t="str">
        <f>IF(VLOOKUP($A30,Sheet1!$A$3:$AW$699,10,FALSE)="■","x","")</f>
        <v/>
      </c>
      <c r="P30" s="9" t="str">
        <f>IF(VLOOKUP($A30,Sheet1!$A$3:$AW$699,2,FALSE)="","",VLOOKUP($A30,Sheet1!$A$3:$AW$699,2,FALSE))</f>
        <v>P2.025</v>
      </c>
    </row>
    <row r="31" spans="1:16" ht="81.599999999999994" x14ac:dyDescent="0.3">
      <c r="A31" s="9">
        <v>211</v>
      </c>
      <c r="B31" s="9" t="str">
        <f>IF(VLOOKUP($A31,Sheet1!$A$3:$AW$699,20,FALSE)="","",VLOOKUP($A31,Sheet1!$A$3:$AW$699,20,FALSE))</f>
        <v>AntiInterferenceGain</v>
      </c>
      <c r="C31" s="9" t="str">
        <f>IF(VLOOKUP($A31,Sheet1!$A$3:$AW$699,25,FALSE)="","",VLOOKUP($A31,Sheet1!$A$3:$AW$699,25,FALSE))</f>
        <v>All</v>
      </c>
      <c r="D31" s="142">
        <f>IF(VLOOKUP($A31,Sheet1!$A$3:$AW$699,15,FALSE)="","",VLOOKUP($A31,Sheet1!$A$3:$AW$699,15,FALSE))</f>
        <v>0</v>
      </c>
      <c r="E31" s="142">
        <f>IF(VLOOKUP($A31,Sheet1!$A$3:$AW$699,16,FALSE)="","",VLOOKUP($A31,Sheet1!$A$3:$AW$699,16,FALSE))</f>
        <v>1023</v>
      </c>
      <c r="F31" s="142">
        <f>IF(VLOOKUP($A31,Sheet1!$A$3:$AW$699,17,FALSE)="","",VLOOKUP($A31,Sheet1!$A$3:$AW$699,17,FALSE))</f>
        <v>0</v>
      </c>
      <c r="G31" s="142" t="str">
        <f>IF(VLOOKUP($A31,Sheet1!$A$3:$AW$699,18,FALSE)="","",VLOOKUP($A31,Sheet1!$A$3:$AW$699,18,FALSE))</f>
        <v/>
      </c>
      <c r="H31" s="142" t="str">
        <f>IF(VLOOKUP($A31,Sheet1!$A$3:$AW$699,19,FALSE)="","",VLOOKUP($A31,Sheet1!$A$3:$AW$699,19,FALSE))</f>
        <v>rad/s</v>
      </c>
      <c r="I31" s="9" t="str">
        <f>IF(VLOOKUP($A31,Sheet1!$A$3:$AW$699,5,FALSE)="","",VLOOKUP($A31,Sheet1!$A$3:$AW$699,5,FALSE))</f>
        <v>INT</v>
      </c>
      <c r="J31" s="9" t="s">
        <v>342</v>
      </c>
      <c r="K31" s="9" t="s">
        <v>314</v>
      </c>
      <c r="L31" s="146" t="str">
        <f>IF(VLOOKUP($A31,Sheet1!$A$3:$AW$699,7,FALSE)="★","x","")</f>
        <v/>
      </c>
      <c r="M31" s="146" t="str">
        <f>IF(VLOOKUP($A31,Sheet1!$A$3:$AW$699,8,FALSE)="▲","x","")</f>
        <v/>
      </c>
      <c r="N31" s="146" t="str">
        <f>IF(VLOOKUP($A31,Sheet1!$A$3:$AW$699,9,FALSE)="●","x","")</f>
        <v/>
      </c>
      <c r="O31" s="146" t="str">
        <f>IF(VLOOKUP($A31,Sheet1!$A$3:$AW$699,10,FALSE)="■","x","")</f>
        <v/>
      </c>
      <c r="P31" s="9" t="str">
        <f>IF(VLOOKUP($A31,Sheet1!$A$3:$AW$699,2,FALSE)="","",VLOOKUP($A31,Sheet1!$A$3:$AW$699,2,FALSE))</f>
        <v>P2.026</v>
      </c>
    </row>
    <row r="32" spans="1:16" ht="340.2" x14ac:dyDescent="0.3">
      <c r="A32" s="9">
        <v>212</v>
      </c>
      <c r="B32" s="9" t="str">
        <f>IF(VLOOKUP($A32,Sheet1!$A$3:$AW$699,20,FALSE)="","",VLOOKUP($A32,Sheet1!$A$3:$AW$699,20,FALSE))</f>
        <v>GainSwitchingSelection</v>
      </c>
      <c r="C32" s="9" t="str">
        <f>IF(VLOOKUP($A32,Sheet1!$A$3:$AW$699,25,FALSE)="","",VLOOKUP($A32,Sheet1!$A$3:$AW$699,25,FALSE))</f>
        <v>All</v>
      </c>
      <c r="D32" s="142" t="str">
        <f>IF(VLOOKUP($A32,Sheet1!$A$3:$AW$699,15,FALSE)="","",VLOOKUP($A32,Sheet1!$A$3:$AW$699,15,FALSE))</f>
        <v>0x0000</v>
      </c>
      <c r="E32" s="142" t="str">
        <f>IF(VLOOKUP($A32,Sheet1!$A$3:$AW$699,16,FALSE)="","",VLOOKUP($A32,Sheet1!$A$3:$AW$699,16,FALSE))</f>
        <v>0x0018</v>
      </c>
      <c r="F32" s="142" t="str">
        <f>IF(VLOOKUP($A32,Sheet1!$A$3:$AW$699,17,FALSE)="","",VLOOKUP($A32,Sheet1!$A$3:$AW$699,17,FALSE))</f>
        <v>0x0000</v>
      </c>
      <c r="G32" s="142" t="str">
        <f>IF(VLOOKUP($A32,Sheet1!$A$3:$AW$699,18,FALSE)="","",VLOOKUP($A32,Sheet1!$A$3:$AW$699,18,FALSE))</f>
        <v/>
      </c>
      <c r="H32" s="142" t="str">
        <f>IF(VLOOKUP($A32,Sheet1!$A$3:$AW$699,19,FALSE)="","",VLOOKUP($A32,Sheet1!$A$3:$AW$699,19,FALSE))</f>
        <v/>
      </c>
      <c r="I32" s="9" t="str">
        <f>IF(VLOOKUP($A32,Sheet1!$A$3:$AW$699,5,FALSE)="","",VLOOKUP($A32,Sheet1!$A$3:$AW$699,5,FALSE))</f>
        <v>UINT</v>
      </c>
      <c r="J32" s="11" t="s">
        <v>343</v>
      </c>
      <c r="K32" s="9" t="s">
        <v>314</v>
      </c>
      <c r="L32" s="146" t="str">
        <f>IF(VLOOKUP($A32,Sheet1!$A$3:$AW$699,7,FALSE)="★","x","")</f>
        <v/>
      </c>
      <c r="M32" s="146" t="str">
        <f>IF(VLOOKUP($A32,Sheet1!$A$3:$AW$699,8,FALSE)="▲","x","")</f>
        <v/>
      </c>
      <c r="N32" s="146" t="str">
        <f>IF(VLOOKUP($A32,Sheet1!$A$3:$AW$699,9,FALSE)="●","x","")</f>
        <v/>
      </c>
      <c r="O32" s="146" t="str">
        <f>IF(VLOOKUP($A32,Sheet1!$A$3:$AW$699,10,FALSE)="■","x","")</f>
        <v/>
      </c>
      <c r="P32" s="9" t="str">
        <f>IF(VLOOKUP($A32,Sheet1!$A$3:$AW$699,2,FALSE)="","",VLOOKUP($A32,Sheet1!$A$3:$AW$699,2,FALSE))</f>
        <v>P2.027</v>
      </c>
    </row>
    <row r="33" spans="1:16" ht="30.6" x14ac:dyDescent="0.3">
      <c r="A33" s="9">
        <v>213</v>
      </c>
      <c r="B33" s="9" t="str">
        <f>IF(VLOOKUP($A33,Sheet1!$A$3:$AW$699,20,FALSE)="","",VLOOKUP($A33,Sheet1!$A$3:$AW$699,20,FALSE))</f>
        <v>GainSwitchingTime</v>
      </c>
      <c r="C33" s="9" t="str">
        <f>IF(VLOOKUP($A33,Sheet1!$A$3:$AW$699,25,FALSE)="","",VLOOKUP($A33,Sheet1!$A$3:$AW$699,25,FALSE))</f>
        <v>All</v>
      </c>
      <c r="D33" s="142">
        <f>IF(VLOOKUP($A33,Sheet1!$A$3:$AW$699,15,FALSE)="","",VLOOKUP($A33,Sheet1!$A$3:$AW$699,15,FALSE))</f>
        <v>0</v>
      </c>
      <c r="E33" s="142">
        <f>IF(VLOOKUP($A33,Sheet1!$A$3:$AW$699,16,FALSE)="","",VLOOKUP($A33,Sheet1!$A$3:$AW$699,16,FALSE))</f>
        <v>1000</v>
      </c>
      <c r="F33" s="142">
        <f>IF(VLOOKUP($A33,Sheet1!$A$3:$AW$699,17,FALSE)="","",VLOOKUP($A33,Sheet1!$A$3:$AW$699,17,FALSE))</f>
        <v>10</v>
      </c>
      <c r="G33" s="142" t="str">
        <f>IF(VLOOKUP($A33,Sheet1!$A$3:$AW$699,18,FALSE)="","",VLOOKUP($A33,Sheet1!$A$3:$AW$699,18,FALSE))</f>
        <v/>
      </c>
      <c r="H33" s="142" t="str">
        <f>IF(VLOOKUP($A33,Sheet1!$A$3:$AW$699,19,FALSE)="","",VLOOKUP($A33,Sheet1!$A$3:$AW$699,19,FALSE))</f>
        <v>ms</v>
      </c>
      <c r="I33" s="9" t="str">
        <f>IF(VLOOKUP($A33,Sheet1!$A$3:$AW$699,5,FALSE)="","",VLOOKUP($A33,Sheet1!$A$3:$AW$699,5,FALSE))</f>
        <v>INT</v>
      </c>
      <c r="J33" s="9" t="s">
        <v>344</v>
      </c>
      <c r="K33" s="9" t="s">
        <v>314</v>
      </c>
      <c r="L33" s="146" t="str">
        <f>IF(VLOOKUP($A33,Sheet1!$A$3:$AW$699,7,FALSE)="★","x","")</f>
        <v/>
      </c>
      <c r="M33" s="146" t="str">
        <f>IF(VLOOKUP($A33,Sheet1!$A$3:$AW$699,8,FALSE)="▲","x","")</f>
        <v/>
      </c>
      <c r="N33" s="146" t="str">
        <f>IF(VLOOKUP($A33,Sheet1!$A$3:$AW$699,9,FALSE)="●","x","")</f>
        <v/>
      </c>
      <c r="O33" s="146" t="str">
        <f>IF(VLOOKUP($A33,Sheet1!$A$3:$AW$699,10,FALSE)="■","x","")</f>
        <v/>
      </c>
      <c r="P33" s="9" t="str">
        <f>IF(VLOOKUP($A33,Sheet1!$A$3:$AW$699,2,FALSE)="","",VLOOKUP($A33,Sheet1!$A$3:$AW$699,2,FALSE))</f>
        <v>P2.028</v>
      </c>
    </row>
    <row r="34" spans="1:16" ht="30.6" x14ac:dyDescent="0.3">
      <c r="A34" s="9">
        <v>214</v>
      </c>
      <c r="B34" s="9" t="str">
        <f>IF(VLOOKUP($A34,Sheet1!$A$3:$AW$699,20,FALSE)="","",VLOOKUP($A34,Sheet1!$A$3:$AW$699,20,FALSE))</f>
        <v>GainSwitchingThreshold</v>
      </c>
      <c r="C34" s="9" t="str">
        <f>IF(VLOOKUP($A34,Sheet1!$A$3:$AW$699,25,FALSE)="","",VLOOKUP($A34,Sheet1!$A$3:$AW$699,25,FALSE))</f>
        <v>All</v>
      </c>
      <c r="D34" s="142">
        <f>IF(VLOOKUP($A34,Sheet1!$A$3:$AW$699,15,FALSE)="","",VLOOKUP($A34,Sheet1!$A$3:$AW$699,15,FALSE))</f>
        <v>0</v>
      </c>
      <c r="E34" s="142">
        <f>IF(VLOOKUP($A34,Sheet1!$A$3:$AW$699,16,FALSE)="","",VLOOKUP($A34,Sheet1!$A$3:$AW$699,16,FALSE))</f>
        <v>50331648</v>
      </c>
      <c r="F34" s="142">
        <f>IF(VLOOKUP($A34,Sheet1!$A$3:$AW$699,17,FALSE)="","",VLOOKUP($A34,Sheet1!$A$3:$AW$699,17,FALSE))</f>
        <v>16777216</v>
      </c>
      <c r="G34" s="142" t="str">
        <f>IF(VLOOKUP($A34,Sheet1!$A$3:$AW$699,18,FALSE)="","",VLOOKUP($A34,Sheet1!$A$3:$AW$699,18,FALSE))</f>
        <v/>
      </c>
      <c r="H34" s="142" t="str">
        <f>IF(VLOOKUP($A34,Sheet1!$A$3:$AW$699,19,FALSE)="","",VLOOKUP($A34,Sheet1!$A$3:$AW$699,19,FALSE))</f>
        <v/>
      </c>
      <c r="I34" s="9" t="str">
        <f>IF(VLOOKUP($A34,Sheet1!$A$3:$AW$699,5,FALSE)="","",VLOOKUP($A34,Sheet1!$A$3:$AW$699,5,FALSE))</f>
        <v>DINT</v>
      </c>
      <c r="J34" s="9" t="s">
        <v>345</v>
      </c>
      <c r="K34" s="9" t="s">
        <v>314</v>
      </c>
      <c r="L34" s="146" t="str">
        <f>IF(VLOOKUP($A34,Sheet1!$A$3:$AW$699,7,FALSE)="★","x","")</f>
        <v/>
      </c>
      <c r="M34" s="146" t="str">
        <f>IF(VLOOKUP($A34,Sheet1!$A$3:$AW$699,8,FALSE)="▲","x","")</f>
        <v/>
      </c>
      <c r="N34" s="146" t="str">
        <f>IF(VLOOKUP($A34,Sheet1!$A$3:$AW$699,9,FALSE)="●","x","")</f>
        <v/>
      </c>
      <c r="O34" s="146" t="str">
        <f>IF(VLOOKUP($A34,Sheet1!$A$3:$AW$699,10,FALSE)="■","x","")</f>
        <v/>
      </c>
      <c r="P34" s="9" t="str">
        <f>IF(VLOOKUP($A34,Sheet1!$A$3:$AW$699,2,FALSE)="","",VLOOKUP($A34,Sheet1!$A$3:$AW$699,2,FALSE))</f>
        <v>P2.029</v>
      </c>
    </row>
    <row r="35" spans="1:16" ht="51" x14ac:dyDescent="0.3">
      <c r="A35" s="9">
        <v>216</v>
      </c>
      <c r="B35" s="9" t="str">
        <f>IF(VLOOKUP($A35,Sheet1!$A$3:$AW$699,20,FALSE)="","",VLOOKUP($A35,Sheet1!$A$3:$AW$699,20,FALSE))</f>
        <v>SysGainResponseLevel</v>
      </c>
      <c r="C35" s="9" t="str">
        <f>IF(VLOOKUP($A35,Sheet1!$A$3:$AW$699,25,FALSE)="","",VLOOKUP($A35,Sheet1!$A$3:$AW$699,25,FALSE))</f>
        <v>All</v>
      </c>
      <c r="D35" s="142">
        <f>IF(VLOOKUP($A35,Sheet1!$A$3:$AW$699,15,FALSE)="","",VLOOKUP($A35,Sheet1!$A$3:$AW$699,15,FALSE))</f>
        <v>1</v>
      </c>
      <c r="E35" s="142">
        <f>IF(VLOOKUP($A35,Sheet1!$A$3:$AW$699,16,FALSE)="","",VLOOKUP($A35,Sheet1!$A$3:$AW$699,16,FALSE))</f>
        <v>50</v>
      </c>
      <c r="F35" s="142">
        <f>IF(VLOOKUP($A35,Sheet1!$A$3:$AW$699,17,FALSE)="","",VLOOKUP($A35,Sheet1!$A$3:$AW$699,17,FALSE))</f>
        <v>19</v>
      </c>
      <c r="G35" s="142" t="str">
        <f>IF(VLOOKUP($A35,Sheet1!$A$3:$AW$699,18,FALSE)="","",VLOOKUP($A35,Sheet1!$A$3:$AW$699,18,FALSE))</f>
        <v/>
      </c>
      <c r="H35" s="142" t="str">
        <f>IF(VLOOKUP($A35,Sheet1!$A$3:$AW$699,19,FALSE)="","",VLOOKUP($A35,Sheet1!$A$3:$AW$699,19,FALSE))</f>
        <v/>
      </c>
      <c r="I35" s="9" t="str">
        <f>IF(VLOOKUP($A35,Sheet1!$A$3:$AW$699,5,FALSE)="","",VLOOKUP($A35,Sheet1!$A$3:$AW$699,5,FALSE))</f>
        <v>INT</v>
      </c>
      <c r="J35" s="11" t="s">
        <v>346</v>
      </c>
      <c r="K35" s="9" t="s">
        <v>347</v>
      </c>
      <c r="L35" s="146" t="str">
        <f>IF(VLOOKUP($A35,Sheet1!$A$3:$AW$699,7,FALSE)="★","x","")</f>
        <v/>
      </c>
      <c r="M35" s="146" t="str">
        <f>IF(VLOOKUP($A35,Sheet1!$A$3:$AW$699,8,FALSE)="▲","x","")</f>
        <v/>
      </c>
      <c r="N35" s="146" t="str">
        <f>IF(VLOOKUP($A35,Sheet1!$A$3:$AW$699,9,FALSE)="●","x","")</f>
        <v/>
      </c>
      <c r="O35" s="146" t="str">
        <f>IF(VLOOKUP($A35,Sheet1!$A$3:$AW$699,10,FALSE)="■","x","")</f>
        <v/>
      </c>
      <c r="P35" s="9" t="str">
        <f>IF(VLOOKUP($A35,Sheet1!$A$3:$AW$699,2,FALSE)="","",VLOOKUP($A35,Sheet1!$A$3:$AW$699,2,FALSE))</f>
        <v>P2.031</v>
      </c>
    </row>
    <row r="36" spans="1:16" ht="112.2" x14ac:dyDescent="0.3">
      <c r="A36" s="9">
        <v>217</v>
      </c>
      <c r="B36" s="9" t="str">
        <f>IF(VLOOKUP($A36,Sheet1!$A$3:$AW$699,20,FALSE)="","",VLOOKUP($A36,Sheet1!$A$3:$AW$699,20,FALSE))</f>
        <v>GainAdjustMode</v>
      </c>
      <c r="C36" s="9" t="str">
        <f>IF(VLOOKUP($A36,Sheet1!$A$3:$AW$699,25,FALSE)="","",VLOOKUP($A36,Sheet1!$A$3:$AW$699,25,FALSE))</f>
        <v>All</v>
      </c>
      <c r="D36" s="142" t="str">
        <f>IF(VLOOKUP($A36,Sheet1!$A$3:$AW$699,15,FALSE)="","",VLOOKUP($A36,Sheet1!$A$3:$AW$699,15,FALSE))</f>
        <v>0x0000</v>
      </c>
      <c r="E36" s="142" t="str">
        <f>IF(VLOOKUP($A36,Sheet1!$A$3:$AW$699,16,FALSE)="","",VLOOKUP($A36,Sheet1!$A$3:$AW$699,16,FALSE))</f>
        <v>0x0004</v>
      </c>
      <c r="F36" s="142" t="str">
        <f>IF(VLOOKUP($A36,Sheet1!$A$3:$AW$699,17,FALSE)="","",VLOOKUP($A36,Sheet1!$A$3:$AW$699,17,FALSE))</f>
        <v>0x0001</v>
      </c>
      <c r="G36" s="142" t="str">
        <f>IF(VLOOKUP($A36,Sheet1!$A$3:$AW$699,18,FALSE)="","",VLOOKUP($A36,Sheet1!$A$3:$AW$699,18,FALSE))</f>
        <v/>
      </c>
      <c r="H36" s="142" t="str">
        <f>IF(VLOOKUP($A36,Sheet1!$A$3:$AW$699,19,FALSE)="","",VLOOKUP($A36,Sheet1!$A$3:$AW$699,19,FALSE))</f>
        <v/>
      </c>
      <c r="I36" s="9" t="str">
        <f>IF(VLOOKUP($A36,Sheet1!$A$3:$AW$699,5,FALSE)="","",VLOOKUP($A36,Sheet1!$A$3:$AW$699,5,FALSE))</f>
        <v>UINT</v>
      </c>
      <c r="J36" s="11" t="s">
        <v>348</v>
      </c>
      <c r="K36" s="9" t="s">
        <v>347</v>
      </c>
      <c r="L36" s="146" t="str">
        <f>IF(VLOOKUP($A36,Sheet1!$A$3:$AW$699,7,FALSE)="★","x","")</f>
        <v/>
      </c>
      <c r="M36" s="146" t="str">
        <f>IF(VLOOKUP($A36,Sheet1!$A$3:$AW$699,8,FALSE)="▲","x","")</f>
        <v/>
      </c>
      <c r="N36" s="146" t="str">
        <f>IF(VLOOKUP($A36,Sheet1!$A$3:$AW$699,9,FALSE)="●","x","")</f>
        <v/>
      </c>
      <c r="O36" s="146" t="str">
        <f>IF(VLOOKUP($A36,Sheet1!$A$3:$AW$699,10,FALSE)="■","x","")</f>
        <v/>
      </c>
      <c r="P36" s="9" t="str">
        <f>IF(VLOOKUP($A36,Sheet1!$A$3:$AW$699,2,FALSE)="","",VLOOKUP($A36,Sheet1!$A$3:$AW$699,2,FALSE))</f>
        <v>P2.032</v>
      </c>
    </row>
    <row r="37" spans="1:16" ht="30.6" x14ac:dyDescent="0.3">
      <c r="A37" s="9">
        <v>226</v>
      </c>
      <c r="B37" s="9" t="str">
        <f>IF(VLOOKUP($A37,Sheet1!$A$3:$AW$699,20,FALSE)="","",VLOOKUP($A37,Sheet1!$A$3:$AW$699,20,FALSE))</f>
        <v>NotchFilter2Frequency</v>
      </c>
      <c r="C37" s="9" t="str">
        <f>IF(VLOOKUP($A37,Sheet1!$A$3:$AW$699,25,FALSE)="","",VLOOKUP($A37,Sheet1!$A$3:$AW$699,25,FALSE))</f>
        <v>All</v>
      </c>
      <c r="D37" s="142">
        <f>IF(VLOOKUP($A37,Sheet1!$A$3:$AW$699,15,FALSE)="","",VLOOKUP($A37,Sheet1!$A$3:$AW$699,15,FALSE))</f>
        <v>50</v>
      </c>
      <c r="E37" s="142">
        <f>IF(VLOOKUP($A37,Sheet1!$A$3:$AW$699,16,FALSE)="","",VLOOKUP($A37,Sheet1!$A$3:$AW$699,16,FALSE))</f>
        <v>5000</v>
      </c>
      <c r="F37" s="142">
        <f>IF(VLOOKUP($A37,Sheet1!$A$3:$AW$699,17,FALSE)="","",VLOOKUP($A37,Sheet1!$A$3:$AW$699,17,FALSE))</f>
        <v>1000</v>
      </c>
      <c r="G37" s="142" t="str">
        <f>IF(VLOOKUP($A37,Sheet1!$A$3:$AW$699,18,FALSE)="","",VLOOKUP($A37,Sheet1!$A$3:$AW$699,18,FALSE))</f>
        <v/>
      </c>
      <c r="H37" s="142" t="str">
        <f>IF(VLOOKUP($A37,Sheet1!$A$3:$AW$699,19,FALSE)="","",VLOOKUP($A37,Sheet1!$A$3:$AW$699,19,FALSE))</f>
        <v>Hz</v>
      </c>
      <c r="I37" s="9" t="str">
        <f>IF(VLOOKUP($A37,Sheet1!$A$3:$AW$699,5,FALSE)="","",VLOOKUP($A37,Sheet1!$A$3:$AW$699,5,FALSE))</f>
        <v>INT</v>
      </c>
      <c r="J37" s="9" t="s">
        <v>349</v>
      </c>
      <c r="K37" s="9" t="s">
        <v>312</v>
      </c>
      <c r="L37" s="146" t="str">
        <f>IF(VLOOKUP($A37,Sheet1!$A$3:$AW$699,7,FALSE)="★","x","")</f>
        <v/>
      </c>
      <c r="M37" s="146" t="str">
        <f>IF(VLOOKUP($A37,Sheet1!$A$3:$AW$699,8,FALSE)="▲","x","")</f>
        <v/>
      </c>
      <c r="N37" s="146" t="str">
        <f>IF(VLOOKUP($A37,Sheet1!$A$3:$AW$699,9,FALSE)="●","x","")</f>
        <v/>
      </c>
      <c r="O37" s="146" t="str">
        <f>IF(VLOOKUP($A37,Sheet1!$A$3:$AW$699,10,FALSE)="■","x","")</f>
        <v/>
      </c>
      <c r="P37" s="9" t="str">
        <f>IF(VLOOKUP($A37,Sheet1!$A$3:$AW$699,2,FALSE)="","",VLOOKUP($A37,Sheet1!$A$3:$AW$699,2,FALSE))</f>
        <v>P2.043</v>
      </c>
    </row>
    <row r="38" spans="1:16" ht="40.799999999999997" x14ac:dyDescent="0.3">
      <c r="A38" s="9">
        <v>227</v>
      </c>
      <c r="B38" s="9" t="str">
        <f>IF(VLOOKUP($A38,Sheet1!$A$3:$AW$699,20,FALSE)="","",VLOOKUP($A38,Sheet1!$A$3:$AW$699,20,FALSE))</f>
        <v>NotchFilter2Depth</v>
      </c>
      <c r="C38" s="9" t="str">
        <f>IF(VLOOKUP($A38,Sheet1!$A$3:$AW$699,25,FALSE)="","",VLOOKUP($A38,Sheet1!$A$3:$AW$699,25,FALSE))</f>
        <v>All</v>
      </c>
      <c r="D38" s="142">
        <f>IF(VLOOKUP($A38,Sheet1!$A$3:$AW$699,15,FALSE)="","",VLOOKUP($A38,Sheet1!$A$3:$AW$699,15,FALSE))</f>
        <v>0</v>
      </c>
      <c r="E38" s="142">
        <f>IF(VLOOKUP($A38,Sheet1!$A$3:$AW$699,16,FALSE)="","",VLOOKUP($A38,Sheet1!$A$3:$AW$699,16,FALSE))</f>
        <v>40</v>
      </c>
      <c r="F38" s="142">
        <f>IF(VLOOKUP($A38,Sheet1!$A$3:$AW$699,17,FALSE)="","",VLOOKUP($A38,Sheet1!$A$3:$AW$699,17,FALSE))</f>
        <v>0</v>
      </c>
      <c r="G38" s="142" t="str">
        <f>IF(VLOOKUP($A38,Sheet1!$A$3:$AW$699,18,FALSE)="","",VLOOKUP($A38,Sheet1!$A$3:$AW$699,18,FALSE))</f>
        <v/>
      </c>
      <c r="H38" s="142" t="str">
        <f>IF(VLOOKUP($A38,Sheet1!$A$3:$AW$699,19,FALSE)="","",VLOOKUP($A38,Sheet1!$A$3:$AW$699,19,FALSE))</f>
        <v>-dB</v>
      </c>
      <c r="I38" s="9" t="str">
        <f>IF(VLOOKUP($A38,Sheet1!$A$3:$AW$699,5,FALSE)="","",VLOOKUP($A38,Sheet1!$A$3:$AW$699,5,FALSE))</f>
        <v>INT</v>
      </c>
      <c r="J38" s="9" t="s">
        <v>350</v>
      </c>
      <c r="K38" s="9" t="s">
        <v>312</v>
      </c>
      <c r="L38" s="146" t="str">
        <f>IF(VLOOKUP($A38,Sheet1!$A$3:$AW$699,7,FALSE)="★","x","")</f>
        <v/>
      </c>
      <c r="M38" s="146" t="str">
        <f>IF(VLOOKUP($A38,Sheet1!$A$3:$AW$699,8,FALSE)="▲","x","")</f>
        <v/>
      </c>
      <c r="N38" s="146" t="str">
        <f>IF(VLOOKUP($A38,Sheet1!$A$3:$AW$699,9,FALSE)="●","x","")</f>
        <v/>
      </c>
      <c r="O38" s="146" t="str">
        <f>IF(VLOOKUP($A38,Sheet1!$A$3:$AW$699,10,FALSE)="■","x","")</f>
        <v/>
      </c>
      <c r="P38" s="9" t="str">
        <f>IF(VLOOKUP($A38,Sheet1!$A$3:$AW$699,2,FALSE)="","",VLOOKUP($A38,Sheet1!$A$3:$AW$699,2,FALSE))</f>
        <v>P2.044</v>
      </c>
    </row>
    <row r="39" spans="1:16" ht="30.6" x14ac:dyDescent="0.3">
      <c r="A39" s="9">
        <v>228</v>
      </c>
      <c r="B39" s="9" t="str">
        <f>IF(VLOOKUP($A39,Sheet1!$A$3:$AW$699,20,FALSE)="","",VLOOKUP($A39,Sheet1!$A$3:$AW$699,20,FALSE))</f>
        <v>NotchFilter3Frequency</v>
      </c>
      <c r="C39" s="9" t="str">
        <f>IF(VLOOKUP($A39,Sheet1!$A$3:$AW$699,25,FALSE)="","",VLOOKUP($A39,Sheet1!$A$3:$AW$699,25,FALSE))</f>
        <v>All</v>
      </c>
      <c r="D39" s="142">
        <f>IF(VLOOKUP($A39,Sheet1!$A$3:$AW$699,15,FALSE)="","",VLOOKUP($A39,Sheet1!$A$3:$AW$699,15,FALSE))</f>
        <v>50</v>
      </c>
      <c r="E39" s="142">
        <f>IF(VLOOKUP($A39,Sheet1!$A$3:$AW$699,16,FALSE)="","",VLOOKUP($A39,Sheet1!$A$3:$AW$699,16,FALSE))</f>
        <v>5000</v>
      </c>
      <c r="F39" s="142">
        <f>IF(VLOOKUP($A39,Sheet1!$A$3:$AW$699,17,FALSE)="","",VLOOKUP($A39,Sheet1!$A$3:$AW$699,17,FALSE))</f>
        <v>1000</v>
      </c>
      <c r="G39" s="142" t="str">
        <f>IF(VLOOKUP($A39,Sheet1!$A$3:$AW$699,18,FALSE)="","",VLOOKUP($A39,Sheet1!$A$3:$AW$699,18,FALSE))</f>
        <v/>
      </c>
      <c r="H39" s="142" t="str">
        <f>IF(VLOOKUP($A39,Sheet1!$A$3:$AW$699,19,FALSE)="","",VLOOKUP($A39,Sheet1!$A$3:$AW$699,19,FALSE))</f>
        <v>Hz</v>
      </c>
      <c r="I39" s="9" t="str">
        <f>IF(VLOOKUP($A39,Sheet1!$A$3:$AW$699,5,FALSE)="","",VLOOKUP($A39,Sheet1!$A$3:$AW$699,5,FALSE))</f>
        <v>INT</v>
      </c>
      <c r="J39" s="9" t="s">
        <v>351</v>
      </c>
      <c r="K39" s="9" t="s">
        <v>312</v>
      </c>
      <c r="L39" s="146" t="str">
        <f>IF(VLOOKUP($A39,Sheet1!$A$3:$AW$699,7,FALSE)="★","x","")</f>
        <v/>
      </c>
      <c r="M39" s="146" t="str">
        <f>IF(VLOOKUP($A39,Sheet1!$A$3:$AW$699,8,FALSE)="▲","x","")</f>
        <v/>
      </c>
      <c r="N39" s="146" t="str">
        <f>IF(VLOOKUP($A39,Sheet1!$A$3:$AW$699,9,FALSE)="●","x","")</f>
        <v/>
      </c>
      <c r="O39" s="146" t="str">
        <f>IF(VLOOKUP($A39,Sheet1!$A$3:$AW$699,10,FALSE)="■","x","")</f>
        <v/>
      </c>
      <c r="P39" s="9" t="str">
        <f>IF(VLOOKUP($A39,Sheet1!$A$3:$AW$699,2,FALSE)="","",VLOOKUP($A39,Sheet1!$A$3:$AW$699,2,FALSE))</f>
        <v>P2.045</v>
      </c>
    </row>
    <row r="40" spans="1:16" ht="40.799999999999997" x14ac:dyDescent="0.3">
      <c r="A40" s="9">
        <v>229</v>
      </c>
      <c r="B40" s="9" t="str">
        <f>IF(VLOOKUP($A40,Sheet1!$A$3:$AW$699,20,FALSE)="","",VLOOKUP($A40,Sheet1!$A$3:$AW$699,20,FALSE))</f>
        <v>NotchFilter3Depth</v>
      </c>
      <c r="C40" s="9" t="str">
        <f>IF(VLOOKUP($A40,Sheet1!$A$3:$AW$699,25,FALSE)="","",VLOOKUP($A40,Sheet1!$A$3:$AW$699,25,FALSE))</f>
        <v>All</v>
      </c>
      <c r="D40" s="142">
        <f>IF(VLOOKUP($A40,Sheet1!$A$3:$AW$699,15,FALSE)="","",VLOOKUP($A40,Sheet1!$A$3:$AW$699,15,FALSE))</f>
        <v>0</v>
      </c>
      <c r="E40" s="142">
        <f>IF(VLOOKUP($A40,Sheet1!$A$3:$AW$699,16,FALSE)="","",VLOOKUP($A40,Sheet1!$A$3:$AW$699,16,FALSE))</f>
        <v>40</v>
      </c>
      <c r="F40" s="142">
        <f>IF(VLOOKUP($A40,Sheet1!$A$3:$AW$699,17,FALSE)="","",VLOOKUP($A40,Sheet1!$A$3:$AW$699,17,FALSE))</f>
        <v>0</v>
      </c>
      <c r="G40" s="142" t="str">
        <f>IF(VLOOKUP($A40,Sheet1!$A$3:$AW$699,18,FALSE)="","",VLOOKUP($A40,Sheet1!$A$3:$AW$699,18,FALSE))</f>
        <v/>
      </c>
      <c r="H40" s="142" t="str">
        <f>IF(VLOOKUP($A40,Sheet1!$A$3:$AW$699,19,FALSE)="","",VLOOKUP($A40,Sheet1!$A$3:$AW$699,19,FALSE))</f>
        <v>-dB</v>
      </c>
      <c r="I40" s="9" t="str">
        <f>IF(VLOOKUP($A40,Sheet1!$A$3:$AW$699,5,FALSE)="","",VLOOKUP($A40,Sheet1!$A$3:$AW$699,5,FALSE))</f>
        <v>INT</v>
      </c>
      <c r="J40" s="9" t="s">
        <v>352</v>
      </c>
      <c r="K40" s="9" t="s">
        <v>312</v>
      </c>
      <c r="L40" s="146" t="str">
        <f>IF(VLOOKUP($A40,Sheet1!$A$3:$AW$699,7,FALSE)="★","x","")</f>
        <v/>
      </c>
      <c r="M40" s="146" t="str">
        <f>IF(VLOOKUP($A40,Sheet1!$A$3:$AW$699,8,FALSE)="▲","x","")</f>
        <v/>
      </c>
      <c r="N40" s="146" t="str">
        <f>IF(VLOOKUP($A40,Sheet1!$A$3:$AW$699,9,FALSE)="●","x","")</f>
        <v/>
      </c>
      <c r="O40" s="146" t="str">
        <f>IF(VLOOKUP($A40,Sheet1!$A$3:$AW$699,10,FALSE)="■","x","")</f>
        <v/>
      </c>
      <c r="P40" s="9" t="str">
        <f>IF(VLOOKUP($A40,Sheet1!$A$3:$AW$699,2,FALSE)="","",VLOOKUP($A40,Sheet1!$A$3:$AW$699,2,FALSE))</f>
        <v>P2.046</v>
      </c>
    </row>
    <row r="41" spans="1:16" ht="40.799999999999997" x14ac:dyDescent="0.3">
      <c r="A41" s="9">
        <v>232</v>
      </c>
      <c r="B41" s="9" t="str">
        <f>IF(VLOOKUP($A41,Sheet1!$A$3:$AW$699,20,FALSE)="","",VLOOKUP($A41,Sheet1!$A$3:$AW$699,20,FALSE))</f>
        <v>VelocityFeedbackLowPassFilterTime</v>
      </c>
      <c r="C41" s="9" t="str">
        <f>IF(VLOOKUP($A41,Sheet1!$A$3:$AW$699,25,FALSE)="","",VLOOKUP($A41,Sheet1!$A$3:$AW$699,25,FALSE))</f>
        <v>All</v>
      </c>
      <c r="D41" s="142">
        <f>IF(VLOOKUP($A41,Sheet1!$A$3:$AW$699,15,FALSE)="","",VLOOKUP($A41,Sheet1!$A$3:$AW$699,15,FALSE))</f>
        <v>0</v>
      </c>
      <c r="E41" s="142">
        <f>IF(VLOOKUP($A41,Sheet1!$A$3:$AW$699,16,FALSE)="","",VLOOKUP($A41,Sheet1!$A$3:$AW$699,16,FALSE))</f>
        <v>1000</v>
      </c>
      <c r="F41" s="142">
        <f>IF(VLOOKUP($A41,Sheet1!$A$3:$AW$699,17,FALSE)="","",VLOOKUP($A41,Sheet1!$A$3:$AW$699,17,FALSE))</f>
        <v>8</v>
      </c>
      <c r="G41" s="142">
        <f>IF(VLOOKUP($A41,Sheet1!$A$3:$AW$699,18,FALSE)="","",VLOOKUP($A41,Sheet1!$A$3:$AW$699,18,FALSE))</f>
        <v>0.1</v>
      </c>
      <c r="H41" s="142" t="str">
        <f>IF(VLOOKUP($A41,Sheet1!$A$3:$AW$699,19,FALSE)="","",VLOOKUP($A41,Sheet1!$A$3:$AW$699,19,FALSE))</f>
        <v>ms</v>
      </c>
      <c r="I41" s="9" t="str">
        <f>IF(VLOOKUP($A41,Sheet1!$A$3:$AW$699,5,FALSE)="","",VLOOKUP($A41,Sheet1!$A$3:$AW$699,5,FALSE))</f>
        <v>INT</v>
      </c>
      <c r="J41" s="11" t="s">
        <v>353</v>
      </c>
      <c r="K41" s="9" t="s">
        <v>322</v>
      </c>
      <c r="L41" s="146" t="str">
        <f>IF(VLOOKUP($A41,Sheet1!$A$3:$AW$699,7,FALSE)="★","x","")</f>
        <v/>
      </c>
      <c r="M41" s="146" t="str">
        <f>IF(VLOOKUP($A41,Sheet1!$A$3:$AW$699,8,FALSE)="▲","x","")</f>
        <v/>
      </c>
      <c r="N41" s="146" t="str">
        <f>IF(VLOOKUP($A41,Sheet1!$A$3:$AW$699,9,FALSE)="●","x","")</f>
        <v/>
      </c>
      <c r="O41" s="146" t="str">
        <f>IF(VLOOKUP($A41,Sheet1!$A$3:$AW$699,10,FALSE)="■","x","")</f>
        <v/>
      </c>
      <c r="P41" s="9" t="str">
        <f>IF(VLOOKUP($A41,Sheet1!$A$3:$AW$699,2,FALSE)="","",VLOOKUP($A41,Sheet1!$A$3:$AW$699,2,FALSE))</f>
        <v>P2.049</v>
      </c>
    </row>
    <row r="42" spans="1:16" ht="40.799999999999997" x14ac:dyDescent="0.3">
      <c r="A42" s="9">
        <v>235</v>
      </c>
      <c r="B42" s="9" t="str">
        <f>IF(VLOOKUP($A42,Sheet1!$A$3:$AW$699,20,FALSE)="","",VLOOKUP($A42,Sheet1!$A$3:$AW$699,20,FALSE))</f>
        <v>PositionIntegralGain</v>
      </c>
      <c r="C42" s="9" t="str">
        <f>IF(VLOOKUP($A42,Sheet1!$A$3:$AW$699,25,FALSE)="","",VLOOKUP($A42,Sheet1!$A$3:$AW$699,25,FALSE))</f>
        <v>All</v>
      </c>
      <c r="D42" s="142">
        <f>IF(VLOOKUP($A42,Sheet1!$A$3:$AW$699,15,FALSE)="","",VLOOKUP($A42,Sheet1!$A$3:$AW$699,15,FALSE))</f>
        <v>0</v>
      </c>
      <c r="E42" s="142">
        <f>IF(VLOOKUP($A42,Sheet1!$A$3:$AW$699,16,FALSE)="","",VLOOKUP($A42,Sheet1!$A$3:$AW$699,16,FALSE))</f>
        <v>1023</v>
      </c>
      <c r="F42" s="142">
        <f>IF(VLOOKUP($A42,Sheet1!$A$3:$AW$699,17,FALSE)="","",VLOOKUP($A42,Sheet1!$A$3:$AW$699,17,FALSE))</f>
        <v>0</v>
      </c>
      <c r="G42" s="142" t="str">
        <f>IF(VLOOKUP($A42,Sheet1!$A$3:$AW$699,18,FALSE)="","",VLOOKUP($A42,Sheet1!$A$3:$AW$699,18,FALSE))</f>
        <v/>
      </c>
      <c r="H42" s="142" t="str">
        <f>IF(VLOOKUP($A42,Sheet1!$A$3:$AW$699,19,FALSE)="","",VLOOKUP($A42,Sheet1!$A$3:$AW$699,19,FALSE))</f>
        <v>rad/s</v>
      </c>
      <c r="I42" s="9" t="str">
        <f>IF(VLOOKUP($A42,Sheet1!$A$3:$AW$699,5,FALSE)="","",VLOOKUP($A42,Sheet1!$A$3:$AW$699,5,FALSE))</f>
        <v>INT</v>
      </c>
      <c r="J42" s="9" t="s">
        <v>354</v>
      </c>
      <c r="K42" s="9" t="s">
        <v>331</v>
      </c>
      <c r="L42" s="146" t="str">
        <f>IF(VLOOKUP($A42,Sheet1!$A$3:$AW$699,7,FALSE)="★","x","")</f>
        <v/>
      </c>
      <c r="M42" s="146" t="str">
        <f>IF(VLOOKUP($A42,Sheet1!$A$3:$AW$699,8,FALSE)="▲","x","")</f>
        <v/>
      </c>
      <c r="N42" s="146" t="str">
        <f>IF(VLOOKUP($A42,Sheet1!$A$3:$AW$699,9,FALSE)="●","x","")</f>
        <v/>
      </c>
      <c r="O42" s="146" t="str">
        <f>IF(VLOOKUP($A42,Sheet1!$A$3:$AW$699,10,FALSE)="■","x","")</f>
        <v/>
      </c>
      <c r="P42" s="9" t="str">
        <f>IF(VLOOKUP($A42,Sheet1!$A$3:$AW$699,2,FALSE)="","",VLOOKUP($A42,Sheet1!$A$3:$AW$699,2,FALSE))</f>
        <v>P2.053</v>
      </c>
    </row>
    <row r="43" spans="1:16" ht="40.799999999999997" x14ac:dyDescent="0.3">
      <c r="A43" s="9">
        <v>254</v>
      </c>
      <c r="B43" s="9" t="str">
        <f>IF(VLOOKUP($A43,Sheet1!$A$3:$AW$699,20,FALSE)="","",VLOOKUP($A43,Sheet1!$A$3:$AW$699,20,FALSE))</f>
        <v>NotchFilter1QValue</v>
      </c>
      <c r="C43" s="9" t="str">
        <f>IF(VLOOKUP($A43,Sheet1!$A$3:$AW$699,25,FALSE)="","",VLOOKUP($A43,Sheet1!$A$3:$AW$699,25,FALSE))</f>
        <v>All</v>
      </c>
      <c r="D43" s="142">
        <f>IF(VLOOKUP($A43,Sheet1!$A$3:$AW$699,15,FALSE)="","",VLOOKUP($A43,Sheet1!$A$3:$AW$699,15,FALSE))</f>
        <v>1</v>
      </c>
      <c r="E43" s="142">
        <f>IF(VLOOKUP($A43,Sheet1!$A$3:$AW$699,16,FALSE)="","",VLOOKUP($A43,Sheet1!$A$3:$AW$699,16,FALSE))</f>
        <v>10</v>
      </c>
      <c r="F43" s="142">
        <f>IF(VLOOKUP($A43,Sheet1!$A$3:$AW$699,17,FALSE)="","",VLOOKUP($A43,Sheet1!$A$3:$AW$699,17,FALSE))</f>
        <v>5</v>
      </c>
      <c r="G43" s="142" t="str">
        <f>IF(VLOOKUP($A43,Sheet1!$A$3:$AW$699,18,FALSE)="","",VLOOKUP($A43,Sheet1!$A$3:$AW$699,18,FALSE))</f>
        <v/>
      </c>
      <c r="H43" s="142" t="str">
        <f>IF(VLOOKUP($A43,Sheet1!$A$3:$AW$699,19,FALSE)="","",VLOOKUP($A43,Sheet1!$A$3:$AW$699,19,FALSE))</f>
        <v/>
      </c>
      <c r="I43" s="9" t="str">
        <f>IF(VLOOKUP($A43,Sheet1!$A$3:$AW$699,5,FALSE)="","",VLOOKUP($A43,Sheet1!$A$3:$AW$699,5,FALSE))</f>
        <v>INT</v>
      </c>
      <c r="J43" s="11" t="s">
        <v>355</v>
      </c>
      <c r="K43" s="9" t="s">
        <v>309</v>
      </c>
      <c r="L43" s="146" t="str">
        <f>IF(VLOOKUP($A43,Sheet1!$A$3:$AW$699,7,FALSE)="★","x","")</f>
        <v/>
      </c>
      <c r="M43" s="146" t="str">
        <f>IF(VLOOKUP($A43,Sheet1!$A$3:$AW$699,8,FALSE)="▲","x","")</f>
        <v/>
      </c>
      <c r="N43" s="146" t="str">
        <f>IF(VLOOKUP($A43,Sheet1!$A$3:$AW$699,9,FALSE)="●","x","")</f>
        <v/>
      </c>
      <c r="O43" s="146" t="str">
        <f>IF(VLOOKUP($A43,Sheet1!$A$3:$AW$699,10,FALSE)="■","x","")</f>
        <v/>
      </c>
      <c r="P43" s="9" t="str">
        <f>IF(VLOOKUP($A43,Sheet1!$A$3:$AW$699,2,FALSE)="","",VLOOKUP($A43,Sheet1!$A$3:$AW$699,2,FALSE))</f>
        <v>P2.095</v>
      </c>
    </row>
    <row r="44" spans="1:16" ht="40.799999999999997" x14ac:dyDescent="0.3">
      <c r="A44" s="9">
        <v>255</v>
      </c>
      <c r="B44" s="9" t="str">
        <f>IF(VLOOKUP($A44,Sheet1!$A$3:$AW$699,20,FALSE)="","",VLOOKUP($A44,Sheet1!$A$3:$AW$699,20,FALSE))</f>
        <v>NotchFilter2QValue</v>
      </c>
      <c r="C44" s="9" t="str">
        <f>IF(VLOOKUP($A44,Sheet1!$A$3:$AW$699,25,FALSE)="","",VLOOKUP($A44,Sheet1!$A$3:$AW$699,25,FALSE))</f>
        <v>All</v>
      </c>
      <c r="D44" s="142">
        <f>IF(VLOOKUP($A44,Sheet1!$A$3:$AW$699,15,FALSE)="","",VLOOKUP($A44,Sheet1!$A$3:$AW$699,15,FALSE))</f>
        <v>1</v>
      </c>
      <c r="E44" s="142">
        <f>IF(VLOOKUP($A44,Sheet1!$A$3:$AW$699,16,FALSE)="","",VLOOKUP($A44,Sheet1!$A$3:$AW$699,16,FALSE))</f>
        <v>10</v>
      </c>
      <c r="F44" s="142">
        <f>IF(VLOOKUP($A44,Sheet1!$A$3:$AW$699,17,FALSE)="","",VLOOKUP($A44,Sheet1!$A$3:$AW$699,17,FALSE))</f>
        <v>5</v>
      </c>
      <c r="G44" s="142" t="str">
        <f>IF(VLOOKUP($A44,Sheet1!$A$3:$AW$699,18,FALSE)="","",VLOOKUP($A44,Sheet1!$A$3:$AW$699,18,FALSE))</f>
        <v/>
      </c>
      <c r="H44" s="142" t="str">
        <f>IF(VLOOKUP($A44,Sheet1!$A$3:$AW$699,19,FALSE)="","",VLOOKUP($A44,Sheet1!$A$3:$AW$699,19,FALSE))</f>
        <v/>
      </c>
      <c r="I44" s="9" t="str">
        <f>IF(VLOOKUP($A44,Sheet1!$A$3:$AW$699,5,FALSE)="","",VLOOKUP($A44,Sheet1!$A$3:$AW$699,5,FALSE))</f>
        <v>INT</v>
      </c>
      <c r="J44" s="11" t="s">
        <v>356</v>
      </c>
      <c r="K44" s="9" t="s">
        <v>309</v>
      </c>
      <c r="L44" s="146" t="str">
        <f>IF(VLOOKUP($A44,Sheet1!$A$3:$AW$699,7,FALSE)="★","x","")</f>
        <v/>
      </c>
      <c r="M44" s="146" t="str">
        <f>IF(VLOOKUP($A44,Sheet1!$A$3:$AW$699,8,FALSE)="▲","x","")</f>
        <v/>
      </c>
      <c r="N44" s="146" t="str">
        <f>IF(VLOOKUP($A44,Sheet1!$A$3:$AW$699,9,FALSE)="●","x","")</f>
        <v/>
      </c>
      <c r="O44" s="146" t="str">
        <f>IF(VLOOKUP($A44,Sheet1!$A$3:$AW$699,10,FALSE)="■","x","")</f>
        <v/>
      </c>
      <c r="P44" s="9" t="str">
        <f>IF(VLOOKUP($A44,Sheet1!$A$3:$AW$699,2,FALSE)="","",VLOOKUP($A44,Sheet1!$A$3:$AW$699,2,FALSE))</f>
        <v>P2.096</v>
      </c>
    </row>
    <row r="45" spans="1:16" ht="40.799999999999997" x14ac:dyDescent="0.3">
      <c r="A45" s="9">
        <v>256</v>
      </c>
      <c r="B45" s="9" t="str">
        <f>IF(VLOOKUP($A45,Sheet1!$A$3:$AW$699,20,FALSE)="","",VLOOKUP($A45,Sheet1!$A$3:$AW$699,20,FALSE))</f>
        <v>NotchFilter3QValue</v>
      </c>
      <c r="C45" s="9" t="str">
        <f>IF(VLOOKUP($A45,Sheet1!$A$3:$AW$699,25,FALSE)="","",VLOOKUP($A45,Sheet1!$A$3:$AW$699,25,FALSE))</f>
        <v>All</v>
      </c>
      <c r="D45" s="142">
        <f>IF(VLOOKUP($A45,Sheet1!$A$3:$AW$699,15,FALSE)="","",VLOOKUP($A45,Sheet1!$A$3:$AW$699,15,FALSE))</f>
        <v>1</v>
      </c>
      <c r="E45" s="142">
        <f>IF(VLOOKUP($A45,Sheet1!$A$3:$AW$699,16,FALSE)="","",VLOOKUP($A45,Sheet1!$A$3:$AW$699,16,FALSE))</f>
        <v>10</v>
      </c>
      <c r="F45" s="142">
        <f>IF(VLOOKUP($A45,Sheet1!$A$3:$AW$699,17,FALSE)="","",VLOOKUP($A45,Sheet1!$A$3:$AW$699,17,FALSE))</f>
        <v>5</v>
      </c>
      <c r="G45" s="142" t="str">
        <f>IF(VLOOKUP($A45,Sheet1!$A$3:$AW$699,18,FALSE)="","",VLOOKUP($A45,Sheet1!$A$3:$AW$699,18,FALSE))</f>
        <v/>
      </c>
      <c r="H45" s="142" t="str">
        <f>IF(VLOOKUP($A45,Sheet1!$A$3:$AW$699,19,FALSE)="","",VLOOKUP($A45,Sheet1!$A$3:$AW$699,19,FALSE))</f>
        <v/>
      </c>
      <c r="I45" s="9" t="str">
        <f>IF(VLOOKUP($A45,Sheet1!$A$3:$AW$699,5,FALSE)="","",VLOOKUP($A45,Sheet1!$A$3:$AW$699,5,FALSE))</f>
        <v>INT</v>
      </c>
      <c r="J45" s="11" t="s">
        <v>357</v>
      </c>
      <c r="K45" s="9" t="s">
        <v>309</v>
      </c>
      <c r="L45" s="146" t="str">
        <f>IF(VLOOKUP($A45,Sheet1!$A$3:$AW$699,7,FALSE)="★","x","")</f>
        <v/>
      </c>
      <c r="M45" s="146" t="str">
        <f>IF(VLOOKUP($A45,Sheet1!$A$3:$AW$699,8,FALSE)="▲","x","")</f>
        <v/>
      </c>
      <c r="N45" s="146" t="str">
        <f>IF(VLOOKUP($A45,Sheet1!$A$3:$AW$699,9,FALSE)="●","x","")</f>
        <v/>
      </c>
      <c r="O45" s="146" t="str">
        <f>IF(VLOOKUP($A45,Sheet1!$A$3:$AW$699,10,FALSE)="■","x","")</f>
        <v/>
      </c>
      <c r="P45" s="9" t="str">
        <f>IF(VLOOKUP($A45,Sheet1!$A$3:$AW$699,2,FALSE)="","",VLOOKUP($A45,Sheet1!$A$3:$AW$699,2,FALSE))</f>
        <v>P2.097</v>
      </c>
    </row>
    <row r="46" spans="1:16" ht="40.799999999999997" x14ac:dyDescent="0.3">
      <c r="A46" s="9">
        <v>257</v>
      </c>
      <c r="B46" s="9" t="str">
        <f>IF(VLOOKUP($A46,Sheet1!$A$3:$AW$699,20,FALSE)="","",VLOOKUP($A46,Sheet1!$A$3:$AW$699,20,FALSE))</f>
        <v>NotchFilter4Frequency</v>
      </c>
      <c r="C46" s="9" t="str">
        <f>IF(VLOOKUP($A46,Sheet1!$A$3:$AW$699,25,FALSE)="","",VLOOKUP($A46,Sheet1!$A$3:$AW$699,25,FALSE))</f>
        <v>All</v>
      </c>
      <c r="D46" s="142">
        <f>IF(VLOOKUP($A46,Sheet1!$A$3:$AW$699,15,FALSE)="","",VLOOKUP($A46,Sheet1!$A$3:$AW$699,15,FALSE))</f>
        <v>50</v>
      </c>
      <c r="E46" s="142">
        <f>IF(VLOOKUP($A46,Sheet1!$A$3:$AW$699,16,FALSE)="","",VLOOKUP($A46,Sheet1!$A$3:$AW$699,16,FALSE))</f>
        <v>5000</v>
      </c>
      <c r="F46" s="142">
        <f>IF(VLOOKUP($A46,Sheet1!$A$3:$AW$699,17,FALSE)="","",VLOOKUP($A46,Sheet1!$A$3:$AW$699,17,FALSE))</f>
        <v>1000</v>
      </c>
      <c r="G46" s="142" t="str">
        <f>IF(VLOOKUP($A46,Sheet1!$A$3:$AW$699,18,FALSE)="","",VLOOKUP($A46,Sheet1!$A$3:$AW$699,18,FALSE))</f>
        <v/>
      </c>
      <c r="H46" s="142" t="str">
        <f>IF(VLOOKUP($A46,Sheet1!$A$3:$AW$699,19,FALSE)="","",VLOOKUP($A46,Sheet1!$A$3:$AW$699,19,FALSE))</f>
        <v>Hz</v>
      </c>
      <c r="I46" s="9" t="str">
        <f>IF(VLOOKUP($A46,Sheet1!$A$3:$AW$699,5,FALSE)="","",VLOOKUP($A46,Sheet1!$A$3:$AW$699,5,FALSE))</f>
        <v>INT</v>
      </c>
      <c r="J46" s="11" t="s">
        <v>358</v>
      </c>
      <c r="K46" s="9" t="s">
        <v>312</v>
      </c>
      <c r="L46" s="146" t="str">
        <f>IF(VLOOKUP($A46,Sheet1!$A$3:$AW$699,7,FALSE)="★","x","")</f>
        <v/>
      </c>
      <c r="M46" s="146" t="str">
        <f>IF(VLOOKUP($A46,Sheet1!$A$3:$AW$699,8,FALSE)="▲","x","")</f>
        <v/>
      </c>
      <c r="N46" s="146" t="str">
        <f>IF(VLOOKUP($A46,Sheet1!$A$3:$AW$699,9,FALSE)="●","x","")</f>
        <v/>
      </c>
      <c r="O46" s="146" t="str">
        <f>IF(VLOOKUP($A46,Sheet1!$A$3:$AW$699,10,FALSE)="■","x","")</f>
        <v/>
      </c>
      <c r="P46" s="9" t="str">
        <f>IF(VLOOKUP($A46,Sheet1!$A$3:$AW$699,2,FALSE)="","",VLOOKUP($A46,Sheet1!$A$3:$AW$699,2,FALSE))</f>
        <v>P2.098</v>
      </c>
    </row>
    <row r="47" spans="1:16" ht="51" x14ac:dyDescent="0.3">
      <c r="A47" s="9">
        <v>258</v>
      </c>
      <c r="B47" s="9" t="str">
        <f>IF(VLOOKUP($A47,Sheet1!$A$3:$AW$699,20,FALSE)="","",VLOOKUP($A47,Sheet1!$A$3:$AW$699,20,FALSE))</f>
        <v>NotchFilter4Depth</v>
      </c>
      <c r="C47" s="9" t="str">
        <f>IF(VLOOKUP($A47,Sheet1!$A$3:$AW$699,25,FALSE)="","",VLOOKUP($A47,Sheet1!$A$3:$AW$699,25,FALSE))</f>
        <v>All</v>
      </c>
      <c r="D47" s="142">
        <f>IF(VLOOKUP($A47,Sheet1!$A$3:$AW$699,15,FALSE)="","",VLOOKUP($A47,Sheet1!$A$3:$AW$699,15,FALSE))</f>
        <v>0</v>
      </c>
      <c r="E47" s="142">
        <f>IF(VLOOKUP($A47,Sheet1!$A$3:$AW$699,16,FALSE)="","",VLOOKUP($A47,Sheet1!$A$3:$AW$699,16,FALSE))</f>
        <v>40</v>
      </c>
      <c r="F47" s="142">
        <f>IF(VLOOKUP($A47,Sheet1!$A$3:$AW$699,17,FALSE)="","",VLOOKUP($A47,Sheet1!$A$3:$AW$699,17,FALSE))</f>
        <v>0</v>
      </c>
      <c r="G47" s="142" t="str">
        <f>IF(VLOOKUP($A47,Sheet1!$A$3:$AW$699,18,FALSE)="","",VLOOKUP($A47,Sheet1!$A$3:$AW$699,18,FALSE))</f>
        <v/>
      </c>
      <c r="H47" s="142" t="str">
        <f>IF(VLOOKUP($A47,Sheet1!$A$3:$AW$699,19,FALSE)="","",VLOOKUP($A47,Sheet1!$A$3:$AW$699,19,FALSE))</f>
        <v>-dB</v>
      </c>
      <c r="I47" s="9" t="str">
        <f>IF(VLOOKUP($A47,Sheet1!$A$3:$AW$699,5,FALSE)="","",VLOOKUP($A47,Sheet1!$A$3:$AW$699,5,FALSE))</f>
        <v>INT</v>
      </c>
      <c r="J47" s="11" t="s">
        <v>359</v>
      </c>
      <c r="K47" s="9" t="s">
        <v>312</v>
      </c>
      <c r="L47" s="146" t="str">
        <f>IF(VLOOKUP($A47,Sheet1!$A$3:$AW$699,7,FALSE)="★","x","")</f>
        <v/>
      </c>
      <c r="M47" s="146" t="str">
        <f>IF(VLOOKUP($A47,Sheet1!$A$3:$AW$699,8,FALSE)="▲","x","")</f>
        <v/>
      </c>
      <c r="N47" s="146" t="str">
        <f>IF(VLOOKUP($A47,Sheet1!$A$3:$AW$699,9,FALSE)="●","x","")</f>
        <v/>
      </c>
      <c r="O47" s="146" t="str">
        <f>IF(VLOOKUP($A47,Sheet1!$A$3:$AW$699,10,FALSE)="■","x","")</f>
        <v/>
      </c>
      <c r="P47" s="9" t="str">
        <f>IF(VLOOKUP($A47,Sheet1!$A$3:$AW$699,2,FALSE)="","",VLOOKUP($A47,Sheet1!$A$3:$AW$699,2,FALSE))</f>
        <v>P2.099</v>
      </c>
    </row>
    <row r="48" spans="1:16" ht="40.799999999999997" x14ac:dyDescent="0.3">
      <c r="A48" s="9">
        <v>259</v>
      </c>
      <c r="B48" s="9" t="str">
        <f>IF(VLOOKUP($A48,Sheet1!$A$3:$AW$699,20,FALSE)="","",VLOOKUP($A48,Sheet1!$A$3:$AW$699,20,FALSE))</f>
        <v>NotchFilter4QValue</v>
      </c>
      <c r="C48" s="9" t="str">
        <f>IF(VLOOKUP($A48,Sheet1!$A$3:$AW$699,25,FALSE)="","",VLOOKUP($A48,Sheet1!$A$3:$AW$699,25,FALSE))</f>
        <v>All</v>
      </c>
      <c r="D48" s="142">
        <f>IF(VLOOKUP($A48,Sheet1!$A$3:$AW$699,15,FALSE)="","",VLOOKUP($A48,Sheet1!$A$3:$AW$699,15,FALSE))</f>
        <v>1</v>
      </c>
      <c r="E48" s="142">
        <f>IF(VLOOKUP($A48,Sheet1!$A$3:$AW$699,16,FALSE)="","",VLOOKUP($A48,Sheet1!$A$3:$AW$699,16,FALSE))</f>
        <v>10</v>
      </c>
      <c r="F48" s="142">
        <f>IF(VLOOKUP($A48,Sheet1!$A$3:$AW$699,17,FALSE)="","",VLOOKUP($A48,Sheet1!$A$3:$AW$699,17,FALSE))</f>
        <v>5</v>
      </c>
      <c r="G48" s="142" t="str">
        <f>IF(VLOOKUP($A48,Sheet1!$A$3:$AW$699,18,FALSE)="","",VLOOKUP($A48,Sheet1!$A$3:$AW$699,18,FALSE))</f>
        <v/>
      </c>
      <c r="H48" s="142" t="str">
        <f>IF(VLOOKUP($A48,Sheet1!$A$3:$AW$699,19,FALSE)="","",VLOOKUP($A48,Sheet1!$A$3:$AW$699,19,FALSE))</f>
        <v/>
      </c>
      <c r="I48" s="9" t="str">
        <f>IF(VLOOKUP($A48,Sheet1!$A$3:$AW$699,5,FALSE)="","",VLOOKUP($A48,Sheet1!$A$3:$AW$699,5,FALSE))</f>
        <v>INT</v>
      </c>
      <c r="J48" s="11" t="s">
        <v>360</v>
      </c>
      <c r="K48" s="9" t="s">
        <v>309</v>
      </c>
      <c r="L48" s="146" t="str">
        <f>IF(VLOOKUP($A48,Sheet1!$A$3:$AW$699,7,FALSE)="★","x","")</f>
        <v/>
      </c>
      <c r="M48" s="146" t="str">
        <f>IF(VLOOKUP($A48,Sheet1!$A$3:$AW$699,8,FALSE)="▲","x","")</f>
        <v/>
      </c>
      <c r="N48" s="146" t="str">
        <f>IF(VLOOKUP($A48,Sheet1!$A$3:$AW$699,9,FALSE)="●","x","")</f>
        <v/>
      </c>
      <c r="O48" s="146" t="str">
        <f>IF(VLOOKUP($A48,Sheet1!$A$3:$AW$699,10,FALSE)="■","x","")</f>
        <v/>
      </c>
      <c r="P48" s="9" t="str">
        <f>IF(VLOOKUP($A48,Sheet1!$A$3:$AW$699,2,FALSE)="","",VLOOKUP($A48,Sheet1!$A$3:$AW$699,2,FALSE))</f>
        <v>P2.100</v>
      </c>
    </row>
    <row r="49" spans="1:16" ht="40.799999999999997" x14ac:dyDescent="0.3">
      <c r="A49" s="9">
        <v>260</v>
      </c>
      <c r="B49" s="9" t="str">
        <f>IF(VLOOKUP($A49,Sheet1!$A$3:$AW$699,20,FALSE)="","",VLOOKUP($A49,Sheet1!$A$3:$AW$699,20,FALSE))</f>
        <v>NotchFilter5Frequency</v>
      </c>
      <c r="C49" s="9" t="str">
        <f>IF(VLOOKUP($A49,Sheet1!$A$3:$AW$699,25,FALSE)="","",VLOOKUP($A49,Sheet1!$A$3:$AW$699,25,FALSE))</f>
        <v>All</v>
      </c>
      <c r="D49" s="142">
        <f>IF(VLOOKUP($A49,Sheet1!$A$3:$AW$699,15,FALSE)="","",VLOOKUP($A49,Sheet1!$A$3:$AW$699,15,FALSE))</f>
        <v>50</v>
      </c>
      <c r="E49" s="142">
        <f>IF(VLOOKUP($A49,Sheet1!$A$3:$AW$699,16,FALSE)="","",VLOOKUP($A49,Sheet1!$A$3:$AW$699,16,FALSE))</f>
        <v>5000</v>
      </c>
      <c r="F49" s="142">
        <f>IF(VLOOKUP($A49,Sheet1!$A$3:$AW$699,17,FALSE)="","",VLOOKUP($A49,Sheet1!$A$3:$AW$699,17,FALSE))</f>
        <v>1000</v>
      </c>
      <c r="G49" s="142" t="str">
        <f>IF(VLOOKUP($A49,Sheet1!$A$3:$AW$699,18,FALSE)="","",VLOOKUP($A49,Sheet1!$A$3:$AW$699,18,FALSE))</f>
        <v/>
      </c>
      <c r="H49" s="142" t="str">
        <f>IF(VLOOKUP($A49,Sheet1!$A$3:$AW$699,19,FALSE)="","",VLOOKUP($A49,Sheet1!$A$3:$AW$699,19,FALSE))</f>
        <v>Hz</v>
      </c>
      <c r="I49" s="9" t="str">
        <f>IF(VLOOKUP($A49,Sheet1!$A$3:$AW$699,5,FALSE)="","",VLOOKUP($A49,Sheet1!$A$3:$AW$699,5,FALSE))</f>
        <v>INT</v>
      </c>
      <c r="J49" s="11" t="s">
        <v>361</v>
      </c>
      <c r="K49" s="9" t="s">
        <v>312</v>
      </c>
      <c r="L49" s="146" t="str">
        <f>IF(VLOOKUP($A49,Sheet1!$A$3:$AW$699,7,FALSE)="★","x","")</f>
        <v/>
      </c>
      <c r="M49" s="146" t="str">
        <f>IF(VLOOKUP($A49,Sheet1!$A$3:$AW$699,8,FALSE)="▲","x","")</f>
        <v/>
      </c>
      <c r="N49" s="146" t="str">
        <f>IF(VLOOKUP($A49,Sheet1!$A$3:$AW$699,9,FALSE)="●","x","")</f>
        <v/>
      </c>
      <c r="O49" s="146" t="str">
        <f>IF(VLOOKUP($A49,Sheet1!$A$3:$AW$699,10,FALSE)="■","x","")</f>
        <v/>
      </c>
      <c r="P49" s="9" t="str">
        <f>IF(VLOOKUP($A49,Sheet1!$A$3:$AW$699,2,FALSE)="","",VLOOKUP($A49,Sheet1!$A$3:$AW$699,2,FALSE))</f>
        <v>P2.101</v>
      </c>
    </row>
    <row r="50" spans="1:16" ht="51" x14ac:dyDescent="0.3">
      <c r="A50" s="9">
        <v>261</v>
      </c>
      <c r="B50" s="9" t="str">
        <f>IF(VLOOKUP($A50,Sheet1!$A$3:$AW$699,20,FALSE)="","",VLOOKUP($A50,Sheet1!$A$3:$AW$699,20,FALSE))</f>
        <v>NotchFilter5Depth</v>
      </c>
      <c r="C50" s="9" t="str">
        <f>IF(VLOOKUP($A50,Sheet1!$A$3:$AW$699,25,FALSE)="","",VLOOKUP($A50,Sheet1!$A$3:$AW$699,25,FALSE))</f>
        <v>All</v>
      </c>
      <c r="D50" s="142">
        <f>IF(VLOOKUP($A50,Sheet1!$A$3:$AW$699,15,FALSE)="","",VLOOKUP($A50,Sheet1!$A$3:$AW$699,15,FALSE))</f>
        <v>0</v>
      </c>
      <c r="E50" s="142">
        <f>IF(VLOOKUP($A50,Sheet1!$A$3:$AW$699,16,FALSE)="","",VLOOKUP($A50,Sheet1!$A$3:$AW$699,16,FALSE))</f>
        <v>40</v>
      </c>
      <c r="F50" s="142">
        <f>IF(VLOOKUP($A50,Sheet1!$A$3:$AW$699,17,FALSE)="","",VLOOKUP($A50,Sheet1!$A$3:$AW$699,17,FALSE))</f>
        <v>0</v>
      </c>
      <c r="G50" s="142" t="str">
        <f>IF(VLOOKUP($A50,Sheet1!$A$3:$AW$699,18,FALSE)="","",VLOOKUP($A50,Sheet1!$A$3:$AW$699,18,FALSE))</f>
        <v/>
      </c>
      <c r="H50" s="142" t="str">
        <f>IF(VLOOKUP($A50,Sheet1!$A$3:$AW$699,19,FALSE)="","",VLOOKUP($A50,Sheet1!$A$3:$AW$699,19,FALSE))</f>
        <v>-dB</v>
      </c>
      <c r="I50" s="9" t="str">
        <f>IF(VLOOKUP($A50,Sheet1!$A$3:$AW$699,5,FALSE)="","",VLOOKUP($A50,Sheet1!$A$3:$AW$699,5,FALSE))</f>
        <v>INT</v>
      </c>
      <c r="J50" s="11" t="s">
        <v>362</v>
      </c>
      <c r="K50" s="9" t="s">
        <v>312</v>
      </c>
      <c r="L50" s="146" t="str">
        <f>IF(VLOOKUP($A50,Sheet1!$A$3:$AW$699,7,FALSE)="★","x","")</f>
        <v/>
      </c>
      <c r="M50" s="146" t="str">
        <f>IF(VLOOKUP($A50,Sheet1!$A$3:$AW$699,8,FALSE)="▲","x","")</f>
        <v/>
      </c>
      <c r="N50" s="146" t="str">
        <f>IF(VLOOKUP($A50,Sheet1!$A$3:$AW$699,9,FALSE)="●","x","")</f>
        <v/>
      </c>
      <c r="O50" s="146" t="str">
        <f>IF(VLOOKUP($A50,Sheet1!$A$3:$AW$699,10,FALSE)="■","x","")</f>
        <v/>
      </c>
      <c r="P50" s="9" t="str">
        <f>IF(VLOOKUP($A50,Sheet1!$A$3:$AW$699,2,FALSE)="","",VLOOKUP($A50,Sheet1!$A$3:$AW$699,2,FALSE))</f>
        <v>P2.102</v>
      </c>
    </row>
    <row r="51" spans="1:16" ht="40.799999999999997" x14ac:dyDescent="0.3">
      <c r="A51" s="9">
        <v>262</v>
      </c>
      <c r="B51" s="9" t="str">
        <f>IF(VLOOKUP($A51,Sheet1!$A$3:$AW$699,20,FALSE)="","",VLOOKUP($A51,Sheet1!$A$3:$AW$699,20,FALSE))</f>
        <v>NotchFilter5QValue</v>
      </c>
      <c r="C51" s="9" t="str">
        <f>IF(VLOOKUP($A51,Sheet1!$A$3:$AW$699,25,FALSE)="","",VLOOKUP($A51,Sheet1!$A$3:$AW$699,25,FALSE))</f>
        <v>All</v>
      </c>
      <c r="D51" s="142">
        <f>IF(VLOOKUP($A51,Sheet1!$A$3:$AW$699,15,FALSE)="","",VLOOKUP($A51,Sheet1!$A$3:$AW$699,15,FALSE))</f>
        <v>1</v>
      </c>
      <c r="E51" s="142">
        <f>IF(VLOOKUP($A51,Sheet1!$A$3:$AW$699,16,FALSE)="","",VLOOKUP($A51,Sheet1!$A$3:$AW$699,16,FALSE))</f>
        <v>10</v>
      </c>
      <c r="F51" s="142">
        <f>IF(VLOOKUP($A51,Sheet1!$A$3:$AW$699,17,FALSE)="","",VLOOKUP($A51,Sheet1!$A$3:$AW$699,17,FALSE))</f>
        <v>5</v>
      </c>
      <c r="G51" s="142" t="str">
        <f>IF(VLOOKUP($A51,Sheet1!$A$3:$AW$699,18,FALSE)="","",VLOOKUP($A51,Sheet1!$A$3:$AW$699,18,FALSE))</f>
        <v/>
      </c>
      <c r="H51" s="142" t="str">
        <f>IF(VLOOKUP($A51,Sheet1!$A$3:$AW$699,19,FALSE)="","",VLOOKUP($A51,Sheet1!$A$3:$AW$699,19,FALSE))</f>
        <v/>
      </c>
      <c r="I51" s="9" t="str">
        <f>IF(VLOOKUP($A51,Sheet1!$A$3:$AW$699,5,FALSE)="","",VLOOKUP($A51,Sheet1!$A$3:$AW$699,5,FALSE))</f>
        <v>INT</v>
      </c>
      <c r="J51" s="11" t="s">
        <v>363</v>
      </c>
      <c r="K51" s="9" t="s">
        <v>309</v>
      </c>
      <c r="L51" s="146" t="str">
        <f>IF(VLOOKUP($A51,Sheet1!$A$3:$AW$699,7,FALSE)="★","x","")</f>
        <v/>
      </c>
      <c r="M51" s="146" t="str">
        <f>IF(VLOOKUP($A51,Sheet1!$A$3:$AW$699,8,FALSE)="▲","x","")</f>
        <v/>
      </c>
      <c r="N51" s="146" t="str">
        <f>IF(VLOOKUP($A51,Sheet1!$A$3:$AW$699,9,FALSE)="●","x","")</f>
        <v/>
      </c>
      <c r="O51" s="146" t="str">
        <f>IF(VLOOKUP($A51,Sheet1!$A$3:$AW$699,10,FALSE)="■","x","")</f>
        <v/>
      </c>
      <c r="P51" s="9" t="str">
        <f>IF(VLOOKUP($A51,Sheet1!$A$3:$AW$699,2,FALSE)="","",VLOOKUP($A51,Sheet1!$A$3:$AW$699,2,FALSE))</f>
        <v>P2.103</v>
      </c>
    </row>
    <row r="52" spans="1:16" ht="71.400000000000006" x14ac:dyDescent="0.3">
      <c r="A52" s="9">
        <v>264</v>
      </c>
      <c r="B52" s="9" t="str">
        <f>IF(VLOOKUP($A52,Sheet1!$A$3:$AW$699,20,FALSE)="","",VLOOKUP($A52,Sheet1!$A$3:$AW$699,20,FALSE))</f>
        <v>AutoTuningBandwidth</v>
      </c>
      <c r="C52" s="9" t="str">
        <f>IF(VLOOKUP($A52,Sheet1!$A$3:$AW$699,25,FALSE)="","",VLOOKUP($A52,Sheet1!$A$3:$AW$699,25,FALSE))</f>
        <v>PT/PR/IO</v>
      </c>
      <c r="D52" s="142">
        <f>IF(VLOOKUP($A52,Sheet1!$A$3:$AW$699,15,FALSE)="","",VLOOKUP($A52,Sheet1!$A$3:$AW$699,15,FALSE))</f>
        <v>1</v>
      </c>
      <c r="E52" s="142">
        <f>IF(VLOOKUP($A52,Sheet1!$A$3:$AW$699,16,FALSE)="","",VLOOKUP($A52,Sheet1!$A$3:$AW$699,16,FALSE))</f>
        <v>21</v>
      </c>
      <c r="F52" s="142">
        <f>IF(VLOOKUP($A52,Sheet1!$A$3:$AW$699,17,FALSE)="","",VLOOKUP($A52,Sheet1!$A$3:$AW$699,17,FALSE))</f>
        <v>11</v>
      </c>
      <c r="G52" s="142" t="str">
        <f>IF(VLOOKUP($A52,Sheet1!$A$3:$AW$699,18,FALSE)="","",VLOOKUP($A52,Sheet1!$A$3:$AW$699,18,FALSE))</f>
        <v/>
      </c>
      <c r="H52" s="142" t="str">
        <f>IF(VLOOKUP($A52,Sheet1!$A$3:$AW$699,19,FALSE)="","",VLOOKUP($A52,Sheet1!$A$3:$AW$699,19,FALSE))</f>
        <v/>
      </c>
      <c r="I52" s="9" t="str">
        <f>IF(VLOOKUP($A52,Sheet1!$A$3:$AW$699,5,FALSE)="","",VLOOKUP($A52,Sheet1!$A$3:$AW$699,5,FALSE))</f>
        <v>INT</v>
      </c>
      <c r="J52" s="11" t="s">
        <v>364</v>
      </c>
      <c r="K52" s="9" t="s">
        <v>314</v>
      </c>
      <c r="L52" s="146" t="str">
        <f>IF(VLOOKUP($A52,Sheet1!$A$3:$AW$699,7,FALSE)="★","x","")</f>
        <v/>
      </c>
      <c r="M52" s="146" t="str">
        <f>IF(VLOOKUP($A52,Sheet1!$A$3:$AW$699,8,FALSE)="▲","x","")</f>
        <v/>
      </c>
      <c r="N52" s="146" t="str">
        <f>IF(VLOOKUP($A52,Sheet1!$A$3:$AW$699,9,FALSE)="●","x","")</f>
        <v/>
      </c>
      <c r="O52" s="146" t="str">
        <f>IF(VLOOKUP($A52,Sheet1!$A$3:$AW$699,10,FALSE)="■","x","")</f>
        <v/>
      </c>
      <c r="P52" s="9" t="str">
        <f>IF(VLOOKUP($A52,Sheet1!$A$3:$AW$699,2,FALSE)="","",VLOOKUP($A52,Sheet1!$A$3:$AW$699,2,FALSE))</f>
        <v>P2.105</v>
      </c>
    </row>
    <row r="53" spans="1:16" ht="81.599999999999994" x14ac:dyDescent="0.3">
      <c r="A53" s="9">
        <v>265</v>
      </c>
      <c r="B53" s="9" t="str">
        <f>IF(VLOOKUP($A53,Sheet1!$A$3:$AW$699,20,FALSE)="","",VLOOKUP($A53,Sheet1!$A$3:$AW$699,20,FALSE))</f>
        <v>AutoTuningOvershoot</v>
      </c>
      <c r="C53" s="9" t="str">
        <f>IF(VLOOKUP($A53,Sheet1!$A$3:$AW$699,25,FALSE)="","",VLOOKUP($A53,Sheet1!$A$3:$AW$699,25,FALSE))</f>
        <v>PT/PR/IO</v>
      </c>
      <c r="D53" s="142">
        <f>IF(VLOOKUP($A53,Sheet1!$A$3:$AW$699,15,FALSE)="","",VLOOKUP($A53,Sheet1!$A$3:$AW$699,15,FALSE))</f>
        <v>1</v>
      </c>
      <c r="E53" s="142">
        <f>IF(VLOOKUP($A53,Sheet1!$A$3:$AW$699,16,FALSE)="","",VLOOKUP($A53,Sheet1!$A$3:$AW$699,16,FALSE))</f>
        <v>50331648</v>
      </c>
      <c r="F53" s="142">
        <f>IF(VLOOKUP($A53,Sheet1!$A$3:$AW$699,17,FALSE)="","",VLOOKUP($A53,Sheet1!$A$3:$AW$699,17,FALSE))</f>
        <v>2000</v>
      </c>
      <c r="G53" s="142" t="str">
        <f>IF(VLOOKUP($A53,Sheet1!$A$3:$AW$699,18,FALSE)="","",VLOOKUP($A53,Sheet1!$A$3:$AW$699,18,FALSE))</f>
        <v/>
      </c>
      <c r="H53" s="142" t="str">
        <f>IF(VLOOKUP($A53,Sheet1!$A$3:$AW$699,19,FALSE)="","",VLOOKUP($A53,Sheet1!$A$3:$AW$699,19,FALSE))</f>
        <v/>
      </c>
      <c r="I53" s="9" t="str">
        <f>IF(VLOOKUP($A53,Sheet1!$A$3:$AW$699,5,FALSE)="","",VLOOKUP($A53,Sheet1!$A$3:$AW$699,5,FALSE))</f>
        <v>DINT</v>
      </c>
      <c r="J53" s="11" t="s">
        <v>365</v>
      </c>
      <c r="K53" s="9" t="s">
        <v>314</v>
      </c>
      <c r="L53" s="146" t="str">
        <f>IF(VLOOKUP($A53,Sheet1!$A$3:$AW$699,7,FALSE)="★","x","")</f>
        <v/>
      </c>
      <c r="M53" s="146" t="str">
        <f>IF(VLOOKUP($A53,Sheet1!$A$3:$AW$699,8,FALSE)="▲","x","")</f>
        <v/>
      </c>
      <c r="N53" s="146" t="str">
        <f>IF(VLOOKUP($A53,Sheet1!$A$3:$AW$699,9,FALSE)="●","x","")</f>
        <v/>
      </c>
      <c r="O53" s="146" t="str">
        <f>IF(VLOOKUP($A53,Sheet1!$A$3:$AW$699,10,FALSE)="■","x","")</f>
        <v/>
      </c>
      <c r="P53" s="9" t="str">
        <f>IF(VLOOKUP($A53,Sheet1!$A$3:$AW$699,2,FALSE)="","",VLOOKUP($A53,Sheet1!$A$3:$AW$699,2,FALSE))</f>
        <v>P2.106</v>
      </c>
    </row>
    <row r="54" spans="1:16" ht="51" x14ac:dyDescent="0.3">
      <c r="A54" s="9">
        <v>605</v>
      </c>
      <c r="B54" s="9" t="str">
        <f>IF(VLOOKUP($A54,Sheet1!$A$3:$AW$699,20,FALSE)="","",VLOOKUP($A54,Sheet1!$A$3:$AW$699,20,FALSE))</f>
        <v>CurrentLoopProportionalGain</v>
      </c>
      <c r="C54" s="9" t="str">
        <f>IF(VLOOKUP($A54,Sheet1!$A$3:$AW$699,25,FALSE)="","",VLOOKUP($A54,Sheet1!$A$3:$AW$699,25,FALSE))</f>
        <v>All</v>
      </c>
      <c r="D54" s="142">
        <f>IF(VLOOKUP($A54,Sheet1!$A$3:$AW$699,15,FALSE)="","",VLOOKUP($A54,Sheet1!$A$3:$AW$699,15,FALSE))</f>
        <v>0</v>
      </c>
      <c r="E54" s="142" t="str">
        <f>IF(VLOOKUP($A54,Sheet1!$A$3:$AW$699,16,FALSE)="","",VLOOKUP($A54,Sheet1!$A$3:$AW$699,16,FALSE))</f>
        <v>1023000
16383000</v>
      </c>
      <c r="F54" s="142">
        <f>IF(VLOOKUP($A54,Sheet1!$A$3:$AW$699,17,FALSE)="","",VLOOKUP($A54,Sheet1!$A$3:$AW$699,17,FALSE))</f>
        <v>0</v>
      </c>
      <c r="G54" s="142">
        <f>IF(VLOOKUP($A54,Sheet1!$A$3:$AW$699,18,FALSE)="","",VLOOKUP($A54,Sheet1!$A$3:$AW$699,18,FALSE))</f>
        <v>1E-3</v>
      </c>
      <c r="H54" s="142" t="str">
        <f>IF(VLOOKUP($A54,Sheet1!$A$3:$AW$699,19,FALSE)="","",VLOOKUP($A54,Sheet1!$A$3:$AW$699,19,FALSE))</f>
        <v/>
      </c>
      <c r="I54" s="9" t="str">
        <f>IF(VLOOKUP($A54,Sheet1!$A$3:$AW$699,5,FALSE)="","",VLOOKUP($A54,Sheet1!$A$3:$AW$699,5,FALSE))</f>
        <v>DINT</v>
      </c>
      <c r="J54" s="11" t="s">
        <v>366</v>
      </c>
      <c r="K54" s="9" t="s">
        <v>314</v>
      </c>
      <c r="L54" s="146" t="str">
        <f>IF(VLOOKUP($A54,Sheet1!$A$3:$AW$699,7,FALSE)="★","x","")</f>
        <v/>
      </c>
      <c r="M54" s="146" t="str">
        <f>IF(VLOOKUP($A54,Sheet1!$A$3:$AW$699,8,FALSE)="▲","x","")</f>
        <v/>
      </c>
      <c r="N54" s="146" t="str">
        <f>IF(VLOOKUP($A54,Sheet1!$A$3:$AW$699,9,FALSE)="●","x","")</f>
        <v/>
      </c>
      <c r="O54" s="146" t="str">
        <f>IF(VLOOKUP($A54,Sheet1!$A$3:$AW$699,10,FALSE)="■","x","")</f>
        <v/>
      </c>
      <c r="P54" s="9" t="str">
        <f>IF(VLOOKUP($A54,Sheet1!$A$3:$AW$699,2,FALSE)="","",VLOOKUP($A54,Sheet1!$A$3:$AW$699,2,FALSE))</f>
        <v>PM.015</v>
      </c>
    </row>
    <row r="55" spans="1:16" ht="51" x14ac:dyDescent="0.3">
      <c r="A55" s="9">
        <v>606</v>
      </c>
      <c r="B55" s="9" t="str">
        <f>IF(VLOOKUP($A55,Sheet1!$A$3:$AW$699,20,FALSE)="","",VLOOKUP($A55,Sheet1!$A$3:$AW$699,20,FALSE))</f>
        <v>CurrentLoopIntegralGain</v>
      </c>
      <c r="C55" s="9" t="str">
        <f>IF(VLOOKUP($A55,Sheet1!$A$3:$AW$699,25,FALSE)="","",VLOOKUP($A55,Sheet1!$A$3:$AW$699,25,FALSE))</f>
        <v>All</v>
      </c>
      <c r="D55" s="142">
        <f>IF(VLOOKUP($A55,Sheet1!$A$3:$AW$699,15,FALSE)="","",VLOOKUP($A55,Sheet1!$A$3:$AW$699,15,FALSE))</f>
        <v>0</v>
      </c>
      <c r="E55" s="142">
        <f>IF(VLOOKUP($A55,Sheet1!$A$3:$AW$699,16,FALSE)="","",VLOOKUP($A55,Sheet1!$A$3:$AW$699,16,FALSE))</f>
        <v>32767</v>
      </c>
      <c r="F55" s="142">
        <f>IF(VLOOKUP($A55,Sheet1!$A$3:$AW$699,17,FALSE)="","",VLOOKUP($A55,Sheet1!$A$3:$AW$699,17,FALSE))</f>
        <v>0</v>
      </c>
      <c r="G55" s="142" t="str">
        <f>IF(VLOOKUP($A55,Sheet1!$A$3:$AW$699,18,FALSE)="","",VLOOKUP($A55,Sheet1!$A$3:$AW$699,18,FALSE))</f>
        <v/>
      </c>
      <c r="H55" s="142" t="str">
        <f>IF(VLOOKUP($A55,Sheet1!$A$3:$AW$699,19,FALSE)="","",VLOOKUP($A55,Sheet1!$A$3:$AW$699,19,FALSE))</f>
        <v/>
      </c>
      <c r="I55" s="9" t="str">
        <f>IF(VLOOKUP($A55,Sheet1!$A$3:$AW$699,5,FALSE)="","",VLOOKUP($A55,Sheet1!$A$3:$AW$699,5,FALSE))</f>
        <v>INT</v>
      </c>
      <c r="J55" s="11" t="s">
        <v>367</v>
      </c>
      <c r="K55" s="9" t="s">
        <v>314</v>
      </c>
      <c r="L55" s="146" t="str">
        <f>IF(VLOOKUP($A55,Sheet1!$A$3:$AW$699,7,FALSE)="★","x","")</f>
        <v/>
      </c>
      <c r="M55" s="146" t="str">
        <f>IF(VLOOKUP($A55,Sheet1!$A$3:$AW$699,8,FALSE)="▲","x","")</f>
        <v/>
      </c>
      <c r="N55" s="146" t="str">
        <f>IF(VLOOKUP($A55,Sheet1!$A$3:$AW$699,9,FALSE)="●","x","")</f>
        <v/>
      </c>
      <c r="O55" s="146" t="str">
        <f>IF(VLOOKUP($A55,Sheet1!$A$3:$AW$699,10,FALSE)="■","x","")</f>
        <v/>
      </c>
      <c r="P55" s="9" t="str">
        <f>IF(VLOOKUP($A55,Sheet1!$A$3:$AW$699,2,FALSE)="","",VLOOKUP($A55,Sheet1!$A$3:$AW$699,2,FALSE))</f>
        <v>PM.016</v>
      </c>
    </row>
    <row r="56" spans="1:16" ht="316.2" x14ac:dyDescent="0.3">
      <c r="A56" s="9">
        <v>607</v>
      </c>
      <c r="B56" s="9" t="str">
        <f>IF(VLOOKUP($A56,Sheet1!$A$3:$AW$699,20,FALSE)="","",VLOOKUP($A56,Sheet1!$A$3:$AW$699,20,FALSE))</f>
        <v>OverloadRisingGain</v>
      </c>
      <c r="C56" s="9" t="str">
        <f>IF(VLOOKUP($A56,Sheet1!$A$3:$AW$699,25,FALSE)="","",VLOOKUP($A56,Sheet1!$A$3:$AW$699,25,FALSE))</f>
        <v>All</v>
      </c>
      <c r="D56" s="142">
        <f>IF(VLOOKUP($A56,Sheet1!$A$3:$AW$699,15,FALSE)="","",VLOOKUP($A56,Sheet1!$A$3:$AW$699,15,FALSE))</f>
        <v>0</v>
      </c>
      <c r="E56" s="142">
        <f>IF(VLOOKUP($A56,Sheet1!$A$3:$AW$699,16,FALSE)="","",VLOOKUP($A56,Sheet1!$A$3:$AW$699,16,FALSE))</f>
        <v>600</v>
      </c>
      <c r="F56" s="142">
        <f>IF(VLOOKUP($A56,Sheet1!$A$3:$AW$699,17,FALSE)="","",VLOOKUP($A56,Sheet1!$A$3:$AW$699,17,FALSE))</f>
        <v>100</v>
      </c>
      <c r="G56" s="142" t="str">
        <f>IF(VLOOKUP($A56,Sheet1!$A$3:$AW$699,18,FALSE)="","",VLOOKUP($A56,Sheet1!$A$3:$AW$699,18,FALSE))</f>
        <v/>
      </c>
      <c r="H56" s="142" t="str">
        <f>IF(VLOOKUP($A56,Sheet1!$A$3:$AW$699,19,FALSE)="","",VLOOKUP($A56,Sheet1!$A$3:$AW$699,19,FALSE))</f>
        <v>%</v>
      </c>
      <c r="I56" s="9" t="str">
        <f>IF(VLOOKUP($A56,Sheet1!$A$3:$AW$699,5,FALSE)="","",VLOOKUP($A56,Sheet1!$A$3:$AW$699,5,FALSE))</f>
        <v>INT</v>
      </c>
      <c r="J56" s="11" t="s">
        <v>368</v>
      </c>
      <c r="K56" s="9" t="s">
        <v>314</v>
      </c>
      <c r="L56" s="146" t="str">
        <f>IF(VLOOKUP($A56,Sheet1!$A$3:$AW$699,7,FALSE)="★","x","")</f>
        <v/>
      </c>
      <c r="M56" s="146" t="str">
        <f>IF(VLOOKUP($A56,Sheet1!$A$3:$AW$699,8,FALSE)="▲","x","")</f>
        <v>x</v>
      </c>
      <c r="N56" s="146" t="str">
        <f>IF(VLOOKUP($A56,Sheet1!$A$3:$AW$699,9,FALSE)="●","x","")</f>
        <v/>
      </c>
      <c r="O56" s="146" t="str">
        <f>IF(VLOOKUP($A56,Sheet1!$A$3:$AW$699,10,FALSE)="■","x","")</f>
        <v/>
      </c>
      <c r="P56" s="9" t="str">
        <f>IF(VLOOKUP($A56,Sheet1!$A$3:$AW$699,2,FALSE)="","",VLOOKUP($A56,Sheet1!$A$3:$AW$699,2,FALSE))</f>
        <v>PM.019</v>
      </c>
    </row>
    <row r="57" spans="1:16" ht="20.399999999999999" x14ac:dyDescent="0.3">
      <c r="A57" s="9">
        <v>608</v>
      </c>
      <c r="B57" s="9" t="str">
        <f>IF(VLOOKUP($A57,Sheet1!$A$3:$AW$699,20,FALSE)="","",VLOOKUP($A57,Sheet1!$A$3:$AW$699,20,FALSE))</f>
        <v>OverloadFallingGain</v>
      </c>
      <c r="C57" s="9" t="str">
        <f>IF(VLOOKUP($A57,Sheet1!$A$3:$AW$699,25,FALSE)="","",VLOOKUP($A57,Sheet1!$A$3:$AW$699,25,FALSE))</f>
        <v>All</v>
      </c>
      <c r="D57" s="142">
        <f>IF(VLOOKUP($A57,Sheet1!$A$3:$AW$699,15,FALSE)="","",VLOOKUP($A57,Sheet1!$A$3:$AW$699,15,FALSE))</f>
        <v>15</v>
      </c>
      <c r="E57" s="142">
        <f>IF(VLOOKUP($A57,Sheet1!$A$3:$AW$699,16,FALSE)="","",VLOOKUP($A57,Sheet1!$A$3:$AW$699,16,FALSE))</f>
        <v>600</v>
      </c>
      <c r="F57" s="142">
        <f>IF(VLOOKUP($A57,Sheet1!$A$3:$AW$699,17,FALSE)="","",VLOOKUP($A57,Sheet1!$A$3:$AW$699,17,FALSE))</f>
        <v>100</v>
      </c>
      <c r="G57" s="142" t="str">
        <f>IF(VLOOKUP($A57,Sheet1!$A$3:$AW$699,18,FALSE)="","",VLOOKUP($A57,Sheet1!$A$3:$AW$699,18,FALSE))</f>
        <v/>
      </c>
      <c r="H57" s="142" t="str">
        <f>IF(VLOOKUP($A57,Sheet1!$A$3:$AW$699,19,FALSE)="","",VLOOKUP($A57,Sheet1!$A$3:$AW$699,19,FALSE))</f>
        <v>%</v>
      </c>
      <c r="I57" s="9" t="str">
        <f>IF(VLOOKUP($A57,Sheet1!$A$3:$AW$699,5,FALSE)="","",VLOOKUP($A57,Sheet1!$A$3:$AW$699,5,FALSE))</f>
        <v>INT</v>
      </c>
      <c r="J57" s="11" t="s">
        <v>369</v>
      </c>
      <c r="K57" s="9" t="s">
        <v>314</v>
      </c>
      <c r="L57" s="146" t="str">
        <f>IF(VLOOKUP($A57,Sheet1!$A$3:$AW$699,7,FALSE)="★","x","")</f>
        <v/>
      </c>
      <c r="M57" s="146" t="str">
        <f>IF(VLOOKUP($A57,Sheet1!$A$3:$AW$699,8,FALSE)="▲","x","")</f>
        <v>x</v>
      </c>
      <c r="N57" s="146" t="str">
        <f>IF(VLOOKUP($A57,Sheet1!$A$3:$AW$699,9,FALSE)="●","x","")</f>
        <v/>
      </c>
      <c r="O57" s="146" t="str">
        <f>IF(VLOOKUP($A57,Sheet1!$A$3:$AW$699,10,FALSE)="■","x","")</f>
        <v/>
      </c>
      <c r="P57" s="9" t="str">
        <f>IF(VLOOKUP($A57,Sheet1!$A$3:$AW$699,2,FALSE)="","",VLOOKUP($A57,Sheet1!$A$3:$AW$699,2,FALSE))</f>
        <v>PM.020</v>
      </c>
    </row>
    <row r="58" spans="1:16" ht="20.399999999999999" x14ac:dyDescent="0.3">
      <c r="A58" s="9">
        <v>622</v>
      </c>
      <c r="B58" s="9" t="str">
        <f>IF(VLOOKUP($A58,Sheet1!$A$3:$AW$699,20,FALSE)="","",VLOOKUP($A58,Sheet1!$A$3:$AW$699,20,FALSE))</f>
        <v>InductionMotorFluxProportionalGain</v>
      </c>
      <c r="C58" s="9" t="str">
        <f>IF(VLOOKUP($A58,Sheet1!$A$3:$AW$699,25,FALSE)="","",VLOOKUP($A58,Sheet1!$A$3:$AW$699,25,FALSE))</f>
        <v>All</v>
      </c>
      <c r="D58" s="142">
        <f>IF(VLOOKUP($A58,Sheet1!$A$3:$AW$699,15,FALSE)="","",VLOOKUP($A58,Sheet1!$A$3:$AW$699,15,FALSE))</f>
        <v>0</v>
      </c>
      <c r="E58" s="142">
        <f>IF(VLOOKUP($A58,Sheet1!$A$3:$AW$699,16,FALSE)="","",VLOOKUP($A58,Sheet1!$A$3:$AW$699,16,FALSE))</f>
        <v>32767</v>
      </c>
      <c r="F58" s="142">
        <f>IF(VLOOKUP($A58,Sheet1!$A$3:$AW$699,17,FALSE)="","",VLOOKUP($A58,Sheet1!$A$3:$AW$699,17,FALSE))</f>
        <v>0</v>
      </c>
      <c r="G58" s="142" t="str">
        <f>IF(VLOOKUP($A58,Sheet1!$A$3:$AW$699,18,FALSE)="","",VLOOKUP($A58,Sheet1!$A$3:$AW$699,18,FALSE))</f>
        <v/>
      </c>
      <c r="H58" s="142" t="str">
        <f>IF(VLOOKUP($A58,Sheet1!$A$3:$AW$699,19,FALSE)="","",VLOOKUP($A58,Sheet1!$A$3:$AW$699,19,FALSE))</f>
        <v/>
      </c>
      <c r="I58" s="9" t="str">
        <f>IF(VLOOKUP($A58,Sheet1!$A$3:$AW$699,5,FALSE)="","",VLOOKUP($A58,Sheet1!$A$3:$AW$699,5,FALSE))</f>
        <v>INT</v>
      </c>
      <c r="J58" s="11" t="s">
        <v>370</v>
      </c>
      <c r="K58" s="9" t="s">
        <v>314</v>
      </c>
      <c r="L58" s="146" t="str">
        <f>IF(VLOOKUP($A58,Sheet1!$A$3:$AW$699,7,FALSE)="★","x","")</f>
        <v/>
      </c>
      <c r="M58" s="146" t="str">
        <f>IF(VLOOKUP($A58,Sheet1!$A$3:$AW$699,8,FALSE)="▲","x","")</f>
        <v/>
      </c>
      <c r="N58" s="146" t="str">
        <f>IF(VLOOKUP($A58,Sheet1!$A$3:$AW$699,9,FALSE)="●","x","")</f>
        <v/>
      </c>
      <c r="O58" s="146" t="str">
        <f>IF(VLOOKUP($A58,Sheet1!$A$3:$AW$699,10,FALSE)="■","x","")</f>
        <v/>
      </c>
      <c r="P58" s="9" t="str">
        <f>IF(VLOOKUP($A58,Sheet1!$A$3:$AW$699,2,FALSE)="","",VLOOKUP($A58,Sheet1!$A$3:$AW$699,2,FALSE))</f>
        <v>PM.079</v>
      </c>
    </row>
    <row r="59" spans="1:16" ht="20.399999999999999" x14ac:dyDescent="0.3">
      <c r="A59" s="9">
        <v>623</v>
      </c>
      <c r="B59" s="9" t="str">
        <f>IF(VLOOKUP($A59,Sheet1!$A$3:$AW$699,20,FALSE)="","",VLOOKUP($A59,Sheet1!$A$3:$AW$699,20,FALSE))</f>
        <v>InductionMotorFluxIntegralGain</v>
      </c>
      <c r="C59" s="9" t="str">
        <f>IF(VLOOKUP($A59,Sheet1!$A$3:$AW$699,25,FALSE)="","",VLOOKUP($A59,Sheet1!$A$3:$AW$699,25,FALSE))</f>
        <v>All</v>
      </c>
      <c r="D59" s="142">
        <f>IF(VLOOKUP($A59,Sheet1!$A$3:$AW$699,15,FALSE)="","",VLOOKUP($A59,Sheet1!$A$3:$AW$699,15,FALSE))</f>
        <v>0</v>
      </c>
      <c r="E59" s="142">
        <f>IF(VLOOKUP($A59,Sheet1!$A$3:$AW$699,16,FALSE)="","",VLOOKUP($A59,Sheet1!$A$3:$AW$699,16,FALSE))</f>
        <v>5119</v>
      </c>
      <c r="F59" s="142">
        <f>IF(VLOOKUP($A59,Sheet1!$A$3:$AW$699,17,FALSE)="","",VLOOKUP($A59,Sheet1!$A$3:$AW$699,17,FALSE))</f>
        <v>0</v>
      </c>
      <c r="G59" s="142">
        <f>IF(VLOOKUP($A59,Sheet1!$A$3:$AW$699,18,FALSE)="","",VLOOKUP($A59,Sheet1!$A$3:$AW$699,18,FALSE))</f>
        <v>0.1</v>
      </c>
      <c r="H59" s="142" t="str">
        <f>IF(VLOOKUP($A59,Sheet1!$A$3:$AW$699,19,FALSE)="","",VLOOKUP($A59,Sheet1!$A$3:$AW$699,19,FALSE))</f>
        <v/>
      </c>
      <c r="I59" s="9" t="str">
        <f>IF(VLOOKUP($A59,Sheet1!$A$3:$AW$699,5,FALSE)="","",VLOOKUP($A59,Sheet1!$A$3:$AW$699,5,FALSE))</f>
        <v>INT</v>
      </c>
      <c r="J59" s="11" t="s">
        <v>371</v>
      </c>
      <c r="K59" s="9" t="s">
        <v>314</v>
      </c>
      <c r="L59" s="146" t="str">
        <f>IF(VLOOKUP($A59,Sheet1!$A$3:$AW$699,7,FALSE)="★","x","")</f>
        <v/>
      </c>
      <c r="M59" s="146" t="str">
        <f>IF(VLOOKUP($A59,Sheet1!$A$3:$AW$699,8,FALSE)="▲","x","")</f>
        <v/>
      </c>
      <c r="N59" s="146" t="str">
        <f>IF(VLOOKUP($A59,Sheet1!$A$3:$AW$699,9,FALSE)="●","x","")</f>
        <v/>
      </c>
      <c r="O59" s="146" t="str">
        <f>IF(VLOOKUP($A59,Sheet1!$A$3:$AW$699,10,FALSE)="■","x","")</f>
        <v/>
      </c>
      <c r="P59" s="9" t="str">
        <f>IF(VLOOKUP($A59,Sheet1!$A$3:$AW$699,2,FALSE)="","",VLOOKUP($A59,Sheet1!$A$3:$AW$699,2,FALSE))</f>
        <v>PM.080</v>
      </c>
    </row>
    <row r="60" spans="1:16" ht="40.799999999999997" x14ac:dyDescent="0.3">
      <c r="A60" s="9">
        <v>654</v>
      </c>
      <c r="B60" s="9" t="str">
        <f>IF(VLOOKUP($A60,Sheet1!$A$3:$AW$699,20,FALSE)="","",VLOOKUP($A60,Sheet1!$A$3:$AW$699,20,FALSE))</f>
        <v>PositionLoopIzone</v>
      </c>
      <c r="C60" s="9" t="str">
        <f>IF(VLOOKUP($A60,Sheet1!$A$3:$AW$699,25,FALSE)="","",VLOOKUP($A60,Sheet1!$A$3:$AW$699,25,FALSE))</f>
        <v>PT/PR/IO</v>
      </c>
      <c r="D60" s="142">
        <f>IF(VLOOKUP($A60,Sheet1!$A$3:$AW$699,15,FALSE)="","",VLOOKUP($A60,Sheet1!$A$3:$AW$699,15,FALSE))</f>
        <v>0</v>
      </c>
      <c r="E60" s="142">
        <f>IF(VLOOKUP($A60,Sheet1!$A$3:$AW$699,16,FALSE)="","",VLOOKUP($A60,Sheet1!$A$3:$AW$699,16,FALSE))</f>
        <v>2147483647</v>
      </c>
      <c r="F60" s="142">
        <f>IF(VLOOKUP($A60,Sheet1!$A$3:$AW$699,17,FALSE)="","",VLOOKUP($A60,Sheet1!$A$3:$AW$699,17,FALSE))</f>
        <v>0</v>
      </c>
      <c r="G60" s="142" t="str">
        <f>IF(VLOOKUP($A60,Sheet1!$A$3:$AW$699,18,FALSE)="","",VLOOKUP($A60,Sheet1!$A$3:$AW$699,18,FALSE))</f>
        <v/>
      </c>
      <c r="H60" s="142" t="str">
        <f>IF(VLOOKUP($A60,Sheet1!$A$3:$AW$699,19,FALSE)="","",VLOOKUP($A60,Sheet1!$A$3:$AW$699,19,FALSE))</f>
        <v/>
      </c>
      <c r="I60" s="9" t="str">
        <f>IF(VLOOKUP($A60,Sheet1!$A$3:$AW$699,5,FALSE)="","",VLOOKUP($A60,Sheet1!$A$3:$AW$699,5,FALSE))</f>
        <v>DINT</v>
      </c>
      <c r="J60" s="11" t="s">
        <v>372</v>
      </c>
      <c r="K60" s="9" t="s">
        <v>314</v>
      </c>
      <c r="L60" s="146" t="str">
        <f>IF(VLOOKUP($A60,Sheet1!$A$3:$AW$699,7,FALSE)="★","x","")</f>
        <v/>
      </c>
      <c r="M60" s="146" t="str">
        <f>IF(VLOOKUP($A60,Sheet1!$A$3:$AW$699,8,FALSE)="▲","x","")</f>
        <v/>
      </c>
      <c r="N60" s="146" t="str">
        <f>IF(VLOOKUP($A60,Sheet1!$A$3:$AW$699,9,FALSE)="●","x","")</f>
        <v/>
      </c>
      <c r="O60" s="146" t="str">
        <f>IF(VLOOKUP($A60,Sheet1!$A$3:$AW$699,10,FALSE)="■","x","")</f>
        <v/>
      </c>
      <c r="P60" s="9" t="str">
        <f>IF(VLOOKUP($A60,Sheet1!$A$3:$AW$699,2,FALSE)="","",VLOOKUP($A60,Sheet1!$A$3:$AW$699,2,FALSE))</f>
        <v>P2.123</v>
      </c>
    </row>
    <row r="61" spans="1:16" ht="40.799999999999997" x14ac:dyDescent="0.3">
      <c r="A61" s="9">
        <v>677</v>
      </c>
      <c r="B61" s="9" t="str">
        <f>IF(VLOOKUP($A61,Sheet1!$A$3:$AW$699,20,FALSE)="","",VLOOKUP($A61,Sheet1!$A$3:$AW$699,20,FALSE))</f>
        <v>FullClosedLoopPositionErrorAutoResetThreshold</v>
      </c>
      <c r="C61" s="9" t="str">
        <f>IF(VLOOKUP($A61,Sheet1!$A$3:$AW$699,25,FALSE)="","",VLOOKUP($A61,Sheet1!$A$3:$AW$699,25,FALSE))</f>
        <v>PT</v>
      </c>
      <c r="D61" s="142">
        <f>IF(VLOOKUP($A61,Sheet1!$A$3:$AW$699,15,FALSE)="","",VLOOKUP($A61,Sheet1!$A$3:$AW$699,15,FALSE))</f>
        <v>0</v>
      </c>
      <c r="E61" s="142" t="str">
        <f>IF(VLOOKUP($A61,Sheet1!$A$3:$AW$699,16,FALSE)="","",VLOOKUP($A61,Sheet1!$A$3:$AW$699,16,FALSE))</f>
        <v>0x7FFF</v>
      </c>
      <c r="F61" s="142">
        <f>IF(VLOOKUP($A61,Sheet1!$A$3:$AW$699,17,FALSE)="","",VLOOKUP($A61,Sheet1!$A$3:$AW$699,17,FALSE))</f>
        <v>0</v>
      </c>
      <c r="G61" s="142" t="str">
        <f>IF(VLOOKUP($A61,Sheet1!$A$3:$AW$699,18,FALSE)="","",VLOOKUP($A61,Sheet1!$A$3:$AW$699,18,FALSE))</f>
        <v/>
      </c>
      <c r="H61" s="142" t="str">
        <f>IF(VLOOKUP($A61,Sheet1!$A$3:$AW$699,19,FALSE)="","",VLOOKUP($A61,Sheet1!$A$3:$AW$699,19,FALSE))</f>
        <v>Rev</v>
      </c>
      <c r="I61" s="9" t="str">
        <f>IF(VLOOKUP($A61,Sheet1!$A$3:$AW$699,5,FALSE)="","",VLOOKUP($A61,Sheet1!$A$3:$AW$699,5,FALSE))</f>
        <v>UINT</v>
      </c>
      <c r="J61" s="11" t="s">
        <v>373</v>
      </c>
      <c r="K61" s="9" t="s">
        <v>314</v>
      </c>
      <c r="L61" s="146" t="str">
        <f>IF(VLOOKUP($A61,Sheet1!$A$3:$AW$699,7,FALSE)="★","x","")</f>
        <v/>
      </c>
      <c r="M61" s="146" t="str">
        <f>IF(VLOOKUP($A61,Sheet1!$A$3:$AW$699,8,FALSE)="▲","x","")</f>
        <v/>
      </c>
      <c r="N61" s="146" t="str">
        <f>IF(VLOOKUP($A61,Sheet1!$A$3:$AW$699,9,FALSE)="●","x","")</f>
        <v/>
      </c>
      <c r="O61" s="146" t="str">
        <f>IF(VLOOKUP($A61,Sheet1!$A$3:$AW$699,10,FALSE)="■","x","")</f>
        <v/>
      </c>
      <c r="P61" s="9" t="str">
        <f>IF(VLOOKUP($A61,Sheet1!$A$3:$AW$699,2,FALSE)="","",VLOOKUP($A61,Sheet1!$A$3:$AW$699,2,FALSE))</f>
        <v>P1.085</v>
      </c>
    </row>
    <row r="62" spans="1:16" x14ac:dyDescent="0.3">
      <c r="A62" s="9">
        <v>683</v>
      </c>
      <c r="B62" s="9" t="str">
        <f>IF(VLOOKUP($A62,Sheet1!$A$3:$AW$699,20,FALSE)="","",VLOOKUP($A62,Sheet1!$A$3:$AW$699,20,FALSE))</f>
        <v>AnalogInputDeadbandToTorque</v>
      </c>
      <c r="C62" s="9" t="str">
        <f>IF(VLOOKUP($A62,Sheet1!$A$3:$AW$699,25,FALSE)="","",VLOOKUP($A62,Sheet1!$A$3:$AW$699,25,FALSE))</f>
        <v>T/Tz/IO</v>
      </c>
      <c r="D62" s="142">
        <f>IF(VLOOKUP($A62,Sheet1!$A$3:$AW$699,15,FALSE)="","",VLOOKUP($A62,Sheet1!$A$3:$AW$699,15,FALSE))</f>
        <v>0</v>
      </c>
      <c r="E62" s="142">
        <f>IF(VLOOKUP($A62,Sheet1!$A$3:$AW$699,16,FALSE)="","",VLOOKUP($A62,Sheet1!$A$3:$AW$699,16,FALSE))</f>
        <v>100</v>
      </c>
      <c r="F62" s="142">
        <f>IF(VLOOKUP($A62,Sheet1!$A$3:$AW$699,17,FALSE)="","",VLOOKUP($A62,Sheet1!$A$3:$AW$699,17,FALSE))</f>
        <v>0</v>
      </c>
      <c r="G62" s="142" t="str">
        <f>IF(VLOOKUP($A62,Sheet1!$A$3:$AW$699,18,FALSE)="","",VLOOKUP($A62,Sheet1!$A$3:$AW$699,18,FALSE))</f>
        <v/>
      </c>
      <c r="H62" s="142" t="str">
        <f>IF(VLOOKUP($A62,Sheet1!$A$3:$AW$699,19,FALSE)="","",VLOOKUP($A62,Sheet1!$A$3:$AW$699,19,FALSE))</f>
        <v>mV</v>
      </c>
      <c r="I62" s="9" t="str">
        <f>IF(VLOOKUP($A62,Sheet1!$A$3:$AW$699,5,FALSE)="","",VLOOKUP($A62,Sheet1!$A$3:$AW$699,5,FALSE))</f>
        <v>INT</v>
      </c>
      <c r="J62" s="9" t="s">
        <v>374</v>
      </c>
      <c r="K62" s="9" t="s">
        <v>314</v>
      </c>
      <c r="L62" s="146" t="str">
        <f>IF(VLOOKUP($A62,Sheet1!$A$3:$AW$699,7,FALSE)="★","x","")</f>
        <v/>
      </c>
      <c r="M62" s="146" t="str">
        <f>IF(VLOOKUP($A62,Sheet1!$A$3:$AW$699,8,FALSE)="▲","x","")</f>
        <v/>
      </c>
      <c r="N62" s="146" t="str">
        <f>IF(VLOOKUP($A62,Sheet1!$A$3:$AW$699,9,FALSE)="●","x","")</f>
        <v/>
      </c>
      <c r="O62" s="146" t="str">
        <f>IF(VLOOKUP($A62,Sheet1!$A$3:$AW$699,10,FALSE)="■","x","")</f>
        <v/>
      </c>
      <c r="P62" s="9" t="str">
        <f>IF(VLOOKUP($A62,Sheet1!$A$3:$AW$699,2,FALSE)="","",VLOOKUP($A62,Sheet1!$A$3:$AW$699,2,FALSE))</f>
        <v>P1.107</v>
      </c>
    </row>
    <row r="63" spans="1:16" ht="20.399999999999999" x14ac:dyDescent="0.3">
      <c r="A63" s="9">
        <v>684</v>
      </c>
      <c r="B63" s="9" t="str">
        <f>IF(VLOOKUP($A63,Sheet1!$A$3:$AW$699,20,FALSE)="","",VLOOKUP($A63,Sheet1!$A$3:$AW$699,20,FALSE))</f>
        <v>AnalogInputDeadbandToVelocityAndPosition</v>
      </c>
      <c r="C63" s="9" t="str">
        <f>IF(VLOOKUP($A63,Sheet1!$A$3:$AW$699,25,FALSE)="","",VLOOKUP($A63,Sheet1!$A$3:$AW$699,25,FALSE))</f>
        <v>PT/S/Sz//IO</v>
      </c>
      <c r="D63" s="142">
        <f>IF(VLOOKUP($A63,Sheet1!$A$3:$AW$699,15,FALSE)="","",VLOOKUP($A63,Sheet1!$A$3:$AW$699,15,FALSE))</f>
        <v>0</v>
      </c>
      <c r="E63" s="142">
        <f>IF(VLOOKUP($A63,Sheet1!$A$3:$AW$699,16,FALSE)="","",VLOOKUP($A63,Sheet1!$A$3:$AW$699,16,FALSE))</f>
        <v>100</v>
      </c>
      <c r="F63" s="142">
        <f>IF(VLOOKUP($A63,Sheet1!$A$3:$AW$699,17,FALSE)="","",VLOOKUP($A63,Sheet1!$A$3:$AW$699,17,FALSE))</f>
        <v>0</v>
      </c>
      <c r="G63" s="142" t="str">
        <f>IF(VLOOKUP($A63,Sheet1!$A$3:$AW$699,18,FALSE)="","",VLOOKUP($A63,Sheet1!$A$3:$AW$699,18,FALSE))</f>
        <v/>
      </c>
      <c r="H63" s="142" t="str">
        <f>IF(VLOOKUP($A63,Sheet1!$A$3:$AW$699,19,FALSE)="","",VLOOKUP($A63,Sheet1!$A$3:$AW$699,19,FALSE))</f>
        <v>mV</v>
      </c>
      <c r="I63" s="9" t="str">
        <f>IF(VLOOKUP($A63,Sheet1!$A$3:$AW$699,5,FALSE)="","",VLOOKUP($A63,Sheet1!$A$3:$AW$699,5,FALSE))</f>
        <v>INT</v>
      </c>
      <c r="J63" s="9" t="s">
        <v>375</v>
      </c>
      <c r="K63" s="9" t="s">
        <v>314</v>
      </c>
      <c r="L63" s="146" t="str">
        <f>IF(VLOOKUP($A63,Sheet1!$A$3:$AW$699,7,FALSE)="★","x","")</f>
        <v/>
      </c>
      <c r="M63" s="146" t="str">
        <f>IF(VLOOKUP($A63,Sheet1!$A$3:$AW$699,8,FALSE)="▲","x","")</f>
        <v/>
      </c>
      <c r="N63" s="146" t="str">
        <f>IF(VLOOKUP($A63,Sheet1!$A$3:$AW$699,9,FALSE)="●","x","")</f>
        <v/>
      </c>
      <c r="O63" s="146" t="str">
        <f>IF(VLOOKUP($A63,Sheet1!$A$3:$AW$699,10,FALSE)="■","x","")</f>
        <v/>
      </c>
      <c r="P63" s="9" t="str">
        <f>IF(VLOOKUP($A63,Sheet1!$A$3:$AW$699,2,FALSE)="","",VLOOKUP($A63,Sheet1!$A$3:$AW$699,2,FALSE))</f>
        <v>P1.110</v>
      </c>
    </row>
    <row r="64" spans="1:16" ht="20.399999999999999" x14ac:dyDescent="0.3">
      <c r="A64" s="9">
        <v>689</v>
      </c>
      <c r="B64" s="9" t="str">
        <f>IF(VLOOKUP($A64,Sheet1!$A$3:$AW$699,20,FALSE)="","",VLOOKUP($A64,Sheet1!$A$3:$AW$699,20,FALSE))</f>
        <v>PositionSpeedSwitchFunction</v>
      </c>
      <c r="C64" s="9" t="str">
        <f>IF(VLOOKUP($A64,Sheet1!$A$3:$AW$699,25,FALSE)="","",VLOOKUP($A64,Sheet1!$A$3:$AW$699,25,FALSE))</f>
        <v>PT/PR</v>
      </c>
      <c r="D64" s="142" t="str">
        <f>IF(VLOOKUP($A64,Sheet1!$A$3:$AW$699,15,FALSE)="","",VLOOKUP($A64,Sheet1!$A$3:$AW$699,15,FALSE))</f>
        <v>0x0000</v>
      </c>
      <c r="E64" s="142" t="str">
        <f>IF(VLOOKUP($A64,Sheet1!$A$3:$AW$699,16,FALSE)="","",VLOOKUP($A64,Sheet1!$A$3:$AW$699,16,FALSE))</f>
        <v>0x0001</v>
      </c>
      <c r="F64" s="142" t="str">
        <f>IF(VLOOKUP($A64,Sheet1!$A$3:$AW$699,17,FALSE)="","",VLOOKUP($A64,Sheet1!$A$3:$AW$699,17,FALSE))</f>
        <v>0x0000</v>
      </c>
      <c r="G64" s="142" t="str">
        <f>IF(VLOOKUP($A64,Sheet1!$A$3:$AW$699,18,FALSE)="","",VLOOKUP($A64,Sheet1!$A$3:$AW$699,18,FALSE))</f>
        <v/>
      </c>
      <c r="H64" s="142" t="str">
        <f>IF(VLOOKUP($A64,Sheet1!$A$3:$AW$699,19,FALSE)="","",VLOOKUP($A64,Sheet1!$A$3:$AW$699,19,FALSE))</f>
        <v/>
      </c>
      <c r="I64" s="9" t="str">
        <f>IF(VLOOKUP($A64,Sheet1!$A$3:$AW$699,5,FALSE)="","",VLOOKUP($A64,Sheet1!$A$3:$AW$699,5,FALSE))</f>
        <v>INT</v>
      </c>
      <c r="J64" s="9" t="s">
        <v>376</v>
      </c>
      <c r="K64" s="9" t="s">
        <v>377</v>
      </c>
      <c r="L64" s="146" t="str">
        <f>IF(VLOOKUP($A64,Sheet1!$A$3:$AW$699,7,FALSE)="★","x","")</f>
        <v/>
      </c>
      <c r="M64" s="146" t="str">
        <f>IF(VLOOKUP($A64,Sheet1!$A$3:$AW$699,8,FALSE)="▲","x","")</f>
        <v>x</v>
      </c>
      <c r="N64" s="146" t="str">
        <f>IF(VLOOKUP($A64,Sheet1!$A$3:$AW$699,9,FALSE)="●","x","")</f>
        <v>x</v>
      </c>
      <c r="O64" s="146" t="str">
        <f>IF(VLOOKUP($A64,Sheet1!$A$3:$AW$699,10,FALSE)="■","x","")</f>
        <v/>
      </c>
      <c r="P64" s="9" t="str">
        <f>IF(VLOOKUP($A64,Sheet1!$A$3:$AW$699,2,FALSE)="","",VLOOKUP($A64,Sheet1!$A$3:$AW$699,2,FALSE))</f>
        <v>P2.085</v>
      </c>
    </row>
    <row r="65" spans="1:16" ht="20.399999999999999" x14ac:dyDescent="0.3">
      <c r="A65" s="9">
        <v>690</v>
      </c>
      <c r="B65" s="9" t="str">
        <f>IF(VLOOKUP($A65,Sheet1!$A$3:$AW$699,20,FALSE)="","",VLOOKUP($A65,Sheet1!$A$3:$AW$699,20,FALSE))</f>
        <v>PositionSpeedSwitchLowLevel</v>
      </c>
      <c r="C65" s="9" t="str">
        <f>IF(VLOOKUP($A65,Sheet1!$A$3:$AW$699,25,FALSE)="","",VLOOKUP($A65,Sheet1!$A$3:$AW$699,25,FALSE))</f>
        <v>PT/PR</v>
      </c>
      <c r="D65" s="142">
        <f>IF(VLOOKUP($A65,Sheet1!$A$3:$AW$699,15,FALSE)="","",VLOOKUP($A65,Sheet1!$A$3:$AW$699,15,FALSE))</f>
        <v>10</v>
      </c>
      <c r="E65" s="142">
        <f>IF(VLOOKUP($A65,Sheet1!$A$3:$AW$699,16,FALSE)="","",VLOOKUP($A65,Sheet1!$A$3:$AW$699,16,FALSE))</f>
        <v>7000</v>
      </c>
      <c r="F65" s="142">
        <f>IF(VLOOKUP($A65,Sheet1!$A$3:$AW$699,17,FALSE)="","",VLOOKUP($A65,Sheet1!$A$3:$AW$699,17,FALSE))</f>
        <v>275</v>
      </c>
      <c r="G65" s="142" t="str">
        <f>IF(VLOOKUP($A65,Sheet1!$A$3:$AW$699,18,FALSE)="","",VLOOKUP($A65,Sheet1!$A$3:$AW$699,18,FALSE))</f>
        <v/>
      </c>
      <c r="H65" s="142" t="str">
        <f>IF(VLOOKUP($A65,Sheet1!$A$3:$AW$699,19,FALSE)="","",VLOOKUP($A65,Sheet1!$A$3:$AW$699,19,FALSE))</f>
        <v>RPM</v>
      </c>
      <c r="I65" s="9" t="str">
        <f>IF(VLOOKUP($A65,Sheet1!$A$3:$AW$699,5,FALSE)="","",VLOOKUP($A65,Sheet1!$A$3:$AW$699,5,FALSE))</f>
        <v>DINT</v>
      </c>
      <c r="J65" s="9" t="s">
        <v>378</v>
      </c>
      <c r="K65" s="9" t="s">
        <v>377</v>
      </c>
      <c r="L65" s="146" t="str">
        <f>IF(VLOOKUP($A65,Sheet1!$A$3:$AW$699,7,FALSE)="★","x","")</f>
        <v/>
      </c>
      <c r="M65" s="146" t="str">
        <f>IF(VLOOKUP($A65,Sheet1!$A$3:$AW$699,8,FALSE)="▲","x","")</f>
        <v>x</v>
      </c>
      <c r="N65" s="146" t="str">
        <f>IF(VLOOKUP($A65,Sheet1!$A$3:$AW$699,9,FALSE)="●","x","")</f>
        <v/>
      </c>
      <c r="O65" s="146" t="str">
        <f>IF(VLOOKUP($A65,Sheet1!$A$3:$AW$699,10,FALSE)="■","x","")</f>
        <v/>
      </c>
      <c r="P65" s="9" t="str">
        <f>IF(VLOOKUP($A65,Sheet1!$A$3:$AW$699,2,FALSE)="","",VLOOKUP($A65,Sheet1!$A$3:$AW$699,2,FALSE))</f>
        <v>P2.086</v>
      </c>
    </row>
    <row r="66" spans="1:16" ht="20.399999999999999" x14ac:dyDescent="0.3">
      <c r="A66" s="9">
        <v>691</v>
      </c>
      <c r="B66" s="9" t="str">
        <f>IF(VLOOKUP($A66,Sheet1!$A$3:$AW$699,20,FALSE)="","",VLOOKUP($A66,Sheet1!$A$3:$AW$699,20,FALSE))</f>
        <v>PositionSpeedSwitchHighLevel</v>
      </c>
      <c r="C66" s="9" t="str">
        <f>IF(VLOOKUP($A66,Sheet1!$A$3:$AW$699,25,FALSE)="","",VLOOKUP($A66,Sheet1!$A$3:$AW$699,25,FALSE))</f>
        <v>PT/PR</v>
      </c>
      <c r="D66" s="142">
        <f>IF(VLOOKUP($A66,Sheet1!$A$3:$AW$699,15,FALSE)="","",VLOOKUP($A66,Sheet1!$A$3:$AW$699,15,FALSE))</f>
        <v>300</v>
      </c>
      <c r="E66" s="142">
        <f>IF(VLOOKUP($A66,Sheet1!$A$3:$AW$699,16,FALSE)="","",VLOOKUP($A66,Sheet1!$A$3:$AW$699,16,FALSE))</f>
        <v>27500</v>
      </c>
      <c r="F66" s="142">
        <f>IF(VLOOKUP($A66,Sheet1!$A$3:$AW$699,17,FALSE)="","",VLOOKUP($A66,Sheet1!$A$3:$AW$699,17,FALSE))</f>
        <v>1575</v>
      </c>
      <c r="G66" s="142" t="str">
        <f>IF(VLOOKUP($A66,Sheet1!$A$3:$AW$699,18,FALSE)="","",VLOOKUP($A66,Sheet1!$A$3:$AW$699,18,FALSE))</f>
        <v/>
      </c>
      <c r="H66" s="142" t="str">
        <f>IF(VLOOKUP($A66,Sheet1!$A$3:$AW$699,19,FALSE)="","",VLOOKUP($A66,Sheet1!$A$3:$AW$699,19,FALSE))</f>
        <v>RPM</v>
      </c>
      <c r="I66" s="9" t="str">
        <f>IF(VLOOKUP($A66,Sheet1!$A$3:$AW$699,5,FALSE)="","",VLOOKUP($A66,Sheet1!$A$3:$AW$699,5,FALSE))</f>
        <v>DINT</v>
      </c>
      <c r="J66" s="9" t="s">
        <v>379</v>
      </c>
      <c r="K66" s="9" t="s">
        <v>377</v>
      </c>
      <c r="L66" s="146" t="str">
        <f>IF(VLOOKUP($A66,Sheet1!$A$3:$AW$699,7,FALSE)="★","x","")</f>
        <v/>
      </c>
      <c r="M66" s="146" t="str">
        <f>IF(VLOOKUP($A66,Sheet1!$A$3:$AW$699,8,FALSE)="▲","x","")</f>
        <v>x</v>
      </c>
      <c r="N66" s="146" t="str">
        <f>IF(VLOOKUP($A66,Sheet1!$A$3:$AW$699,9,FALSE)="●","x","")</f>
        <v/>
      </c>
      <c r="O66" s="146" t="str">
        <f>IF(VLOOKUP($A66,Sheet1!$A$3:$AW$699,10,FALSE)="■","x","")</f>
        <v/>
      </c>
      <c r="P66" s="9" t="str">
        <f>IF(VLOOKUP($A66,Sheet1!$A$3:$AW$699,2,FALSE)="","",VLOOKUP($A66,Sheet1!$A$3:$AW$699,2,FALSE))</f>
        <v>P2.087</v>
      </c>
    </row>
  </sheetData>
  <mergeCells count="2">
    <mergeCell ref="A1:B1"/>
    <mergeCell ref="A2:B2"/>
  </mergeCells>
  <hyperlinks>
    <hyperlink ref="A2" r:id="rId1" display="Kinetix 5100 Servo Drive User Manual, publication 2198-UM004" xr:uid="{E7C8F376-6183-4D76-AEC6-147BF8EA0200}"/>
  </hyperlinks>
  <pageMargins left="0.7" right="0.7" top="0.75" bottom="0.75" header="0.3" footer="0.3"/>
  <pageSetup paperSize="17" scale="99" fitToHeight="0" orientation="landscape"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A4166-391F-4710-A3D7-496C8AC7EA31}">
  <sheetPr>
    <pageSetUpPr fitToPage="1"/>
  </sheetPr>
  <dimension ref="A1:P29"/>
  <sheetViews>
    <sheetView zoomScaleNormal="100" workbookViewId="0">
      <pane xSplit="2" ySplit="4" topLeftCell="C5" activePane="bottomRight" state="frozen"/>
      <selection pane="topRight" activeCell="F18" sqref="F18"/>
      <selection pane="bottomLeft" activeCell="F18" sqref="F18"/>
      <selection pane="bottomRight" activeCell="G4" sqref="G4:G5"/>
    </sheetView>
  </sheetViews>
  <sheetFormatPr defaultColWidth="9.109375" defaultRowHeight="14.4" x14ac:dyDescent="0.3"/>
  <cols>
    <col min="1" max="1" width="5.6640625" style="144" customWidth="1"/>
    <col min="2" max="2" width="30.6640625" style="144" customWidth="1"/>
    <col min="3" max="3" width="9.109375" style="144"/>
    <col min="4" max="4" width="11.6640625" style="143" customWidth="1"/>
    <col min="5" max="5" width="12.33203125" style="143" customWidth="1"/>
    <col min="6" max="7" width="12.6640625" style="143" customWidth="1"/>
    <col min="8" max="8" width="9.109375" style="143"/>
    <col min="9" max="9" width="9.109375" style="144"/>
    <col min="10" max="10" width="45.6640625" style="105" customWidth="1"/>
    <col min="11" max="11" width="10.6640625" style="105" customWidth="1"/>
    <col min="12" max="15" width="9.109375" style="15"/>
    <col min="16" max="16384" width="9.109375" style="144"/>
  </cols>
  <sheetData>
    <row r="1" spans="1:16" ht="22.95" customHeight="1" x14ac:dyDescent="0.3">
      <c r="A1" s="224" t="s">
        <v>29</v>
      </c>
      <c r="B1" s="224"/>
      <c r="J1" s="212"/>
      <c r="K1" s="212"/>
    </row>
    <row r="2" spans="1:16" ht="28.2" customHeight="1" x14ac:dyDescent="0.3">
      <c r="A2" s="225" t="s">
        <v>30</v>
      </c>
      <c r="B2" s="225"/>
      <c r="J2" s="212"/>
      <c r="K2" s="212"/>
    </row>
    <row r="4" spans="1:16" ht="20.399999999999999" x14ac:dyDescent="0.3">
      <c r="A4" s="14" t="s">
        <v>31</v>
      </c>
      <c r="B4" s="14" t="s">
        <v>32</v>
      </c>
      <c r="C4" s="14" t="s">
        <v>33</v>
      </c>
      <c r="D4" s="14" t="s">
        <v>34</v>
      </c>
      <c r="E4" s="14" t="s">
        <v>35</v>
      </c>
      <c r="F4" s="14" t="s">
        <v>36</v>
      </c>
      <c r="G4" s="14" t="s">
        <v>37</v>
      </c>
      <c r="H4" s="14" t="s">
        <v>38</v>
      </c>
      <c r="I4" s="14" t="s">
        <v>39</v>
      </c>
      <c r="J4" s="4" t="s">
        <v>40</v>
      </c>
      <c r="K4" s="4" t="s">
        <v>41</v>
      </c>
      <c r="L4" s="14" t="s">
        <v>42</v>
      </c>
      <c r="M4" s="14" t="s">
        <v>43</v>
      </c>
      <c r="N4" s="14" t="s">
        <v>44</v>
      </c>
      <c r="O4" s="14" t="s">
        <v>45</v>
      </c>
      <c r="P4" s="14" t="s">
        <v>46</v>
      </c>
    </row>
    <row r="5" spans="1:16" ht="40.799999999999997" x14ac:dyDescent="0.3">
      <c r="A5" s="9">
        <v>194</v>
      </c>
      <c r="B5" s="9" t="str">
        <f>IF(VLOOKUP($A5,Sheet1!$A$3:$AW$699,20,FALSE)="","",VLOOKUP($A5,Sheet1!$A$3:$AW$699,20,FALSE))</f>
        <v>DIDebounceTime</v>
      </c>
      <c r="C5" s="9" t="str">
        <f>IF(VLOOKUP($A5,Sheet1!$A$3:$AW$699,25,FALSE)="","",VLOOKUP($A5,Sheet1!$A$3:$AW$699,25,FALSE))</f>
        <v>All</v>
      </c>
      <c r="D5" s="142">
        <f>IF(VLOOKUP($A5,Sheet1!$A$3:$AW$699,15,FALSE)="","",VLOOKUP($A5,Sheet1!$A$3:$AW$699,15,FALSE))</f>
        <v>0</v>
      </c>
      <c r="E5" s="142">
        <f>IF(VLOOKUP($A5,Sheet1!$A$3:$AW$699,16,FALSE)="","",VLOOKUP($A5,Sheet1!$A$3:$AW$699,16,FALSE))</f>
        <v>20</v>
      </c>
      <c r="F5" s="142">
        <f>IF(VLOOKUP($A5,Sheet1!$A$3:$AW$699,17,FALSE)="","",VLOOKUP($A5,Sheet1!$A$3:$AW$699,17,FALSE))</f>
        <v>2</v>
      </c>
      <c r="G5" s="142" t="str">
        <f>IF(VLOOKUP($A5,Sheet1!$A$3:$AW$699,18,FALSE)="","",VLOOKUP($A5,Sheet1!$A$3:$AW$699,18,FALSE))</f>
        <v/>
      </c>
      <c r="H5" s="142" t="str">
        <f>IF(VLOOKUP($A5,Sheet1!$A$3:$AW$699,19,FALSE)="","",VLOOKUP($A5,Sheet1!$A$3:$AW$699,19,FALSE))</f>
        <v>ms</v>
      </c>
      <c r="I5" s="9" t="str">
        <f>IF(VLOOKUP($A5,Sheet1!$A$3:$AW$699,5,FALSE)="","",VLOOKUP($A5,Sheet1!$A$3:$AW$699,5,FALSE))</f>
        <v>INT</v>
      </c>
      <c r="J5" s="217" t="s">
        <v>380</v>
      </c>
      <c r="K5" s="9" t="s">
        <v>381</v>
      </c>
      <c r="L5" s="146" t="str">
        <f>IF(VLOOKUP($A5,Sheet1!$A$3:$AW$699,7,FALSE)="★","x","")</f>
        <v/>
      </c>
      <c r="M5" s="146" t="str">
        <f>IF(VLOOKUP($A5,Sheet1!$A$3:$AW$699,8,FALSE)="▲","x","")</f>
        <v/>
      </c>
      <c r="N5" s="146" t="str">
        <f>IF(VLOOKUP($A5,Sheet1!$A$3:$AW$699,9,FALSE)="●","x","")</f>
        <v/>
      </c>
      <c r="O5" s="146" t="str">
        <f>IF(VLOOKUP($A5,Sheet1!$A$3:$AW$699,10,FALSE)="■","x","")</f>
        <v/>
      </c>
      <c r="P5" s="9" t="str">
        <f>IF(VLOOKUP($A5,Sheet1!$A$3:$AW$699,2,FALSE)="","",VLOOKUP($A5,Sheet1!$A$3:$AW$699,2,FALSE))</f>
        <v>P2.009</v>
      </c>
    </row>
    <row r="6" spans="1:16" ht="142.80000000000001" x14ac:dyDescent="0.3">
      <c r="A6" s="9">
        <v>195</v>
      </c>
      <c r="B6" s="9" t="str">
        <f>IF(VLOOKUP($A6,Sheet1!$A$3:$AW$699,20,FALSE)="","",VLOOKUP($A6,Sheet1!$A$3:$AW$699,20,FALSE))</f>
        <v>DI1Configuration</v>
      </c>
      <c r="C6" s="9" t="str">
        <f>IF(VLOOKUP($A6,Sheet1!$A$3:$AW$699,25,FALSE)="","",VLOOKUP($A6,Sheet1!$A$3:$AW$699,25,FALSE))</f>
        <v>All</v>
      </c>
      <c r="D6" s="142" t="str">
        <f>IF(VLOOKUP($A6,Sheet1!$A$3:$AW$699,15,FALSE)="","",VLOOKUP($A6,Sheet1!$A$3:$AW$699,15,FALSE))</f>
        <v>0x0000</v>
      </c>
      <c r="E6" s="142" t="str">
        <f>IF(VLOOKUP($A6,Sheet1!$A$3:$AW$699,16,FALSE)="","",VLOOKUP($A6,Sheet1!$A$3:$AW$699,16,FALSE))</f>
        <v>0x014F</v>
      </c>
      <c r="F6" s="142" t="str">
        <f>IF(VLOOKUP($A6,Sheet1!$A$3:$AW$699,17,FALSE)="","",VLOOKUP($A6,Sheet1!$A$3:$AW$699,17,FALSE))</f>
        <v>0x0100</v>
      </c>
      <c r="G6" s="142" t="str">
        <f>IF(VLOOKUP($A6,Sheet1!$A$3:$AW$699,18,FALSE)="","",VLOOKUP($A6,Sheet1!$A$3:$AW$699,18,FALSE))</f>
        <v/>
      </c>
      <c r="H6" s="142" t="str">
        <f>IF(VLOOKUP($A6,Sheet1!$A$3:$AW$699,19,FALSE)="","",VLOOKUP($A6,Sheet1!$A$3:$AW$699,19,FALSE))</f>
        <v/>
      </c>
      <c r="I6" s="9" t="str">
        <f>IF(VLOOKUP($A6,Sheet1!$A$3:$AW$699,5,FALSE)="","",VLOOKUP($A6,Sheet1!$A$3:$AW$699,5,FALSE))</f>
        <v>UINT</v>
      </c>
      <c r="J6" s="8" t="s">
        <v>382</v>
      </c>
      <c r="K6" s="9" t="s">
        <v>381</v>
      </c>
      <c r="L6" s="146" t="str">
        <f>IF(VLOOKUP($A6,Sheet1!$A$3:$AW$699,7,FALSE)="★","x","")</f>
        <v/>
      </c>
      <c r="M6" s="146" t="str">
        <f>IF(VLOOKUP($A6,Sheet1!$A$3:$AW$699,8,FALSE)="▲","x","")</f>
        <v/>
      </c>
      <c r="N6" s="146" t="str">
        <f>IF(VLOOKUP($A6,Sheet1!$A$3:$AW$699,9,FALSE)="●","x","")</f>
        <v/>
      </c>
      <c r="O6" s="146" t="str">
        <f>IF(VLOOKUP($A6,Sheet1!$A$3:$AW$699,10,FALSE)="■","x","")</f>
        <v/>
      </c>
      <c r="P6" s="9" t="str">
        <f>IF(VLOOKUP($A6,Sheet1!$A$3:$AW$699,2,FALSE)="","",VLOOKUP($A6,Sheet1!$A$3:$AW$699,2,FALSE))</f>
        <v>P2.010</v>
      </c>
    </row>
    <row r="7" spans="1:16" ht="142.80000000000001" x14ac:dyDescent="0.3">
      <c r="A7" s="9">
        <v>196</v>
      </c>
      <c r="B7" s="9" t="str">
        <f>IF(VLOOKUP($A7,Sheet1!$A$3:$AW$699,20,FALSE)="","",VLOOKUP($A7,Sheet1!$A$3:$AW$699,20,FALSE))</f>
        <v>DI2Configuration</v>
      </c>
      <c r="C7" s="9" t="str">
        <f>IF(VLOOKUP($A7,Sheet1!$A$3:$AW$699,25,FALSE)="","",VLOOKUP($A7,Sheet1!$A$3:$AW$699,25,FALSE))</f>
        <v>All</v>
      </c>
      <c r="D7" s="142" t="str">
        <f>IF(VLOOKUP($A7,Sheet1!$A$3:$AW$699,15,FALSE)="","",VLOOKUP($A7,Sheet1!$A$3:$AW$699,15,FALSE))</f>
        <v>0x0000</v>
      </c>
      <c r="E7" s="142" t="str">
        <f>IF(VLOOKUP($A7,Sheet1!$A$3:$AW$699,16,FALSE)="","",VLOOKUP($A7,Sheet1!$A$3:$AW$699,16,FALSE))</f>
        <v>0x014F</v>
      </c>
      <c r="F7" s="142" t="str">
        <f>IF(VLOOKUP($A7,Sheet1!$A$3:$AW$699,17,FALSE)="","",VLOOKUP($A7,Sheet1!$A$3:$AW$699,17,FALSE))</f>
        <v>0x0100</v>
      </c>
      <c r="G7" s="142" t="str">
        <f>IF(VLOOKUP($A7,Sheet1!$A$3:$AW$699,18,FALSE)="","",VLOOKUP($A7,Sheet1!$A$3:$AW$699,18,FALSE))</f>
        <v/>
      </c>
      <c r="H7" s="142" t="str">
        <f>IF(VLOOKUP($A7,Sheet1!$A$3:$AW$699,19,FALSE)="","",VLOOKUP($A7,Sheet1!$A$3:$AW$699,19,FALSE))</f>
        <v/>
      </c>
      <c r="I7" s="9" t="str">
        <f>IF(VLOOKUP($A7,Sheet1!$A$3:$AW$699,5,FALSE)="","",VLOOKUP($A7,Sheet1!$A$3:$AW$699,5,FALSE))</f>
        <v>UINT</v>
      </c>
      <c r="J7" s="8" t="s">
        <v>383</v>
      </c>
      <c r="K7" s="9" t="s">
        <v>381</v>
      </c>
      <c r="L7" s="146" t="str">
        <f>IF(VLOOKUP($A7,Sheet1!$A$3:$AW$699,7,FALSE)="★","x","")</f>
        <v/>
      </c>
      <c r="M7" s="146" t="str">
        <f>IF(VLOOKUP($A7,Sheet1!$A$3:$AW$699,8,FALSE)="▲","x","")</f>
        <v/>
      </c>
      <c r="N7" s="146" t="str">
        <f>IF(VLOOKUP($A7,Sheet1!$A$3:$AW$699,9,FALSE)="●","x","")</f>
        <v/>
      </c>
      <c r="O7" s="146" t="str">
        <f>IF(VLOOKUP($A7,Sheet1!$A$3:$AW$699,10,FALSE)="■","x","")</f>
        <v/>
      </c>
      <c r="P7" s="9" t="str">
        <f>IF(VLOOKUP($A7,Sheet1!$A$3:$AW$699,2,FALSE)="","",VLOOKUP($A7,Sheet1!$A$3:$AW$699,2,FALSE))</f>
        <v>P2.011</v>
      </c>
    </row>
    <row r="8" spans="1:16" ht="142.80000000000001" x14ac:dyDescent="0.3">
      <c r="A8" s="9">
        <v>197</v>
      </c>
      <c r="B8" s="9" t="str">
        <f>IF(VLOOKUP($A8,Sheet1!$A$3:$AW$699,20,FALSE)="","",VLOOKUP($A8,Sheet1!$A$3:$AW$699,20,FALSE))</f>
        <v>DI3Configuration</v>
      </c>
      <c r="C8" s="9" t="str">
        <f>IF(VLOOKUP($A8,Sheet1!$A$3:$AW$699,25,FALSE)="","",VLOOKUP($A8,Sheet1!$A$3:$AW$699,25,FALSE))</f>
        <v>All</v>
      </c>
      <c r="D8" s="142" t="str">
        <f>IF(VLOOKUP($A8,Sheet1!$A$3:$AW$699,15,FALSE)="","",VLOOKUP($A8,Sheet1!$A$3:$AW$699,15,FALSE))</f>
        <v>0x0000</v>
      </c>
      <c r="E8" s="142" t="str">
        <f>IF(VLOOKUP($A8,Sheet1!$A$3:$AW$699,16,FALSE)="","",VLOOKUP($A8,Sheet1!$A$3:$AW$699,16,FALSE))</f>
        <v>0x014F</v>
      </c>
      <c r="F8" s="142" t="str">
        <f>IF(VLOOKUP($A8,Sheet1!$A$3:$AW$699,17,FALSE)="","",VLOOKUP($A8,Sheet1!$A$3:$AW$699,17,FALSE))</f>
        <v>0x0100</v>
      </c>
      <c r="G8" s="142" t="str">
        <f>IF(VLOOKUP($A8,Sheet1!$A$3:$AW$699,18,FALSE)="","",VLOOKUP($A8,Sheet1!$A$3:$AW$699,18,FALSE))</f>
        <v/>
      </c>
      <c r="H8" s="142" t="str">
        <f>IF(VLOOKUP($A8,Sheet1!$A$3:$AW$699,19,FALSE)="","",VLOOKUP($A8,Sheet1!$A$3:$AW$699,19,FALSE))</f>
        <v/>
      </c>
      <c r="I8" s="9" t="str">
        <f>IF(VLOOKUP($A8,Sheet1!$A$3:$AW$699,5,FALSE)="","",VLOOKUP($A8,Sheet1!$A$3:$AW$699,5,FALSE))</f>
        <v>UINT</v>
      </c>
      <c r="J8" s="8" t="s">
        <v>384</v>
      </c>
      <c r="K8" s="9" t="s">
        <v>381</v>
      </c>
      <c r="L8" s="146" t="str">
        <f>IF(VLOOKUP($A8,Sheet1!$A$3:$AW$699,7,FALSE)="★","x","")</f>
        <v/>
      </c>
      <c r="M8" s="146" t="str">
        <f>IF(VLOOKUP($A8,Sheet1!$A$3:$AW$699,8,FALSE)="▲","x","")</f>
        <v/>
      </c>
      <c r="N8" s="146" t="str">
        <f>IF(VLOOKUP($A8,Sheet1!$A$3:$AW$699,9,FALSE)="●","x","")</f>
        <v/>
      </c>
      <c r="O8" s="146" t="str">
        <f>IF(VLOOKUP($A8,Sheet1!$A$3:$AW$699,10,FALSE)="■","x","")</f>
        <v/>
      </c>
      <c r="P8" s="9" t="str">
        <f>IF(VLOOKUP($A8,Sheet1!$A$3:$AW$699,2,FALSE)="","",VLOOKUP($A8,Sheet1!$A$3:$AW$699,2,FALSE))</f>
        <v>P2.012</v>
      </c>
    </row>
    <row r="9" spans="1:16" ht="142.80000000000001" x14ac:dyDescent="0.3">
      <c r="A9" s="9">
        <v>198</v>
      </c>
      <c r="B9" s="9" t="str">
        <f>IF(VLOOKUP($A9,Sheet1!$A$3:$AW$699,20,FALSE)="","",VLOOKUP($A9,Sheet1!$A$3:$AW$699,20,FALSE))</f>
        <v>DI4Configuration</v>
      </c>
      <c r="C9" s="9" t="str">
        <f>IF(VLOOKUP($A9,Sheet1!$A$3:$AW$699,25,FALSE)="","",VLOOKUP($A9,Sheet1!$A$3:$AW$699,25,FALSE))</f>
        <v>All</v>
      </c>
      <c r="D9" s="142" t="str">
        <f>IF(VLOOKUP($A9,Sheet1!$A$3:$AW$699,15,FALSE)="","",VLOOKUP($A9,Sheet1!$A$3:$AW$699,15,FALSE))</f>
        <v>0x0000</v>
      </c>
      <c r="E9" s="142" t="str">
        <f>IF(VLOOKUP($A9,Sheet1!$A$3:$AW$699,16,FALSE)="","",VLOOKUP($A9,Sheet1!$A$3:$AW$699,16,FALSE))</f>
        <v>0x014F</v>
      </c>
      <c r="F9" s="142" t="str">
        <f>IF(VLOOKUP($A9,Sheet1!$A$3:$AW$699,17,FALSE)="","",VLOOKUP($A9,Sheet1!$A$3:$AW$699,17,FALSE))</f>
        <v>0x0100</v>
      </c>
      <c r="G9" s="142" t="str">
        <f>IF(VLOOKUP($A9,Sheet1!$A$3:$AW$699,18,FALSE)="","",VLOOKUP($A9,Sheet1!$A$3:$AW$699,18,FALSE))</f>
        <v/>
      </c>
      <c r="H9" s="142" t="str">
        <f>IF(VLOOKUP($A9,Sheet1!$A$3:$AW$699,19,FALSE)="","",VLOOKUP($A9,Sheet1!$A$3:$AW$699,19,FALSE))</f>
        <v/>
      </c>
      <c r="I9" s="9" t="str">
        <f>IF(VLOOKUP($A9,Sheet1!$A$3:$AW$699,5,FALSE)="","",VLOOKUP($A9,Sheet1!$A$3:$AW$699,5,FALSE))</f>
        <v>UINT</v>
      </c>
      <c r="J9" s="8" t="s">
        <v>385</v>
      </c>
      <c r="K9" s="9" t="s">
        <v>381</v>
      </c>
      <c r="L9" s="146" t="str">
        <f>IF(VLOOKUP($A9,Sheet1!$A$3:$AW$699,7,FALSE)="★","x","")</f>
        <v/>
      </c>
      <c r="M9" s="146" t="str">
        <f>IF(VLOOKUP($A9,Sheet1!$A$3:$AW$699,8,FALSE)="▲","x","")</f>
        <v/>
      </c>
      <c r="N9" s="146" t="str">
        <f>IF(VLOOKUP($A9,Sheet1!$A$3:$AW$699,9,FALSE)="●","x","")</f>
        <v/>
      </c>
      <c r="O9" s="146" t="str">
        <f>IF(VLOOKUP($A9,Sheet1!$A$3:$AW$699,10,FALSE)="■","x","")</f>
        <v/>
      </c>
      <c r="P9" s="9" t="str">
        <f>IF(VLOOKUP($A9,Sheet1!$A$3:$AW$699,2,FALSE)="","",VLOOKUP($A9,Sheet1!$A$3:$AW$699,2,FALSE))</f>
        <v>P2.013</v>
      </c>
    </row>
    <row r="10" spans="1:16" ht="142.80000000000001" x14ac:dyDescent="0.3">
      <c r="A10" s="9">
        <v>199</v>
      </c>
      <c r="B10" s="9" t="str">
        <f>IF(VLOOKUP($A10,Sheet1!$A$3:$AW$699,20,FALSE)="","",VLOOKUP($A10,Sheet1!$A$3:$AW$699,20,FALSE))</f>
        <v>DI5Configuration</v>
      </c>
      <c r="C10" s="9" t="str">
        <f>IF(VLOOKUP($A10,Sheet1!$A$3:$AW$699,25,FALSE)="","",VLOOKUP($A10,Sheet1!$A$3:$AW$699,25,FALSE))</f>
        <v>All</v>
      </c>
      <c r="D10" s="142" t="str">
        <f>IF(VLOOKUP($A10,Sheet1!$A$3:$AW$699,15,FALSE)="","",VLOOKUP($A10,Sheet1!$A$3:$AW$699,15,FALSE))</f>
        <v>0x0000</v>
      </c>
      <c r="E10" s="142" t="str">
        <f>IF(VLOOKUP($A10,Sheet1!$A$3:$AW$699,16,FALSE)="","",VLOOKUP($A10,Sheet1!$A$3:$AW$699,16,FALSE))</f>
        <v>0x014F</v>
      </c>
      <c r="F10" s="142" t="str">
        <f>IF(VLOOKUP($A10,Sheet1!$A$3:$AW$699,17,FALSE)="","",VLOOKUP($A10,Sheet1!$A$3:$AW$699,17,FALSE))</f>
        <v>0x0100</v>
      </c>
      <c r="G10" s="142" t="str">
        <f>IF(VLOOKUP($A10,Sheet1!$A$3:$AW$699,18,FALSE)="","",VLOOKUP($A10,Sheet1!$A$3:$AW$699,18,FALSE))</f>
        <v/>
      </c>
      <c r="H10" s="142" t="str">
        <f>IF(VLOOKUP($A10,Sheet1!$A$3:$AW$699,19,FALSE)="","",VLOOKUP($A10,Sheet1!$A$3:$AW$699,19,FALSE))</f>
        <v/>
      </c>
      <c r="I10" s="9" t="str">
        <f>IF(VLOOKUP($A10,Sheet1!$A$3:$AW$699,5,FALSE)="","",VLOOKUP($A10,Sheet1!$A$3:$AW$699,5,FALSE))</f>
        <v>UINT</v>
      </c>
      <c r="J10" s="8" t="s">
        <v>386</v>
      </c>
      <c r="K10" s="9" t="s">
        <v>381</v>
      </c>
      <c r="L10" s="146" t="str">
        <f>IF(VLOOKUP($A10,Sheet1!$A$3:$AW$699,7,FALSE)="★","x","")</f>
        <v/>
      </c>
      <c r="M10" s="146" t="str">
        <f>IF(VLOOKUP($A10,Sheet1!$A$3:$AW$699,8,FALSE)="▲","x","")</f>
        <v/>
      </c>
      <c r="N10" s="146" t="str">
        <f>IF(VLOOKUP($A10,Sheet1!$A$3:$AW$699,9,FALSE)="●","x","")</f>
        <v/>
      </c>
      <c r="O10" s="146" t="str">
        <f>IF(VLOOKUP($A10,Sheet1!$A$3:$AW$699,10,FALSE)="■","x","")</f>
        <v/>
      </c>
      <c r="P10" s="9" t="str">
        <f>IF(VLOOKUP($A10,Sheet1!$A$3:$AW$699,2,FALSE)="","",VLOOKUP($A10,Sheet1!$A$3:$AW$699,2,FALSE))</f>
        <v>P2.014</v>
      </c>
    </row>
    <row r="11" spans="1:16" ht="142.80000000000001" x14ac:dyDescent="0.3">
      <c r="A11" s="9">
        <v>200</v>
      </c>
      <c r="B11" s="9" t="str">
        <f>IF(VLOOKUP($A11,Sheet1!$A$3:$AW$699,20,FALSE)="","",VLOOKUP($A11,Sheet1!$A$3:$AW$699,20,FALSE))</f>
        <v>DI6Configuration</v>
      </c>
      <c r="C11" s="9" t="str">
        <f>IF(VLOOKUP($A11,Sheet1!$A$3:$AW$699,25,FALSE)="","",VLOOKUP($A11,Sheet1!$A$3:$AW$699,25,FALSE))</f>
        <v>All</v>
      </c>
      <c r="D11" s="142" t="str">
        <f>IF(VLOOKUP($A11,Sheet1!$A$3:$AW$699,15,FALSE)="","",VLOOKUP($A11,Sheet1!$A$3:$AW$699,15,FALSE))</f>
        <v>0x0000</v>
      </c>
      <c r="E11" s="142" t="str">
        <f>IF(VLOOKUP($A11,Sheet1!$A$3:$AW$699,16,FALSE)="","",VLOOKUP($A11,Sheet1!$A$3:$AW$699,16,FALSE))</f>
        <v>0x014F</v>
      </c>
      <c r="F11" s="142" t="str">
        <f>IF(VLOOKUP($A11,Sheet1!$A$3:$AW$699,17,FALSE)="","",VLOOKUP($A11,Sheet1!$A$3:$AW$699,17,FALSE))</f>
        <v>0x0100</v>
      </c>
      <c r="G11" s="142" t="str">
        <f>IF(VLOOKUP($A11,Sheet1!$A$3:$AW$699,18,FALSE)="","",VLOOKUP($A11,Sheet1!$A$3:$AW$699,18,FALSE))</f>
        <v/>
      </c>
      <c r="H11" s="142" t="str">
        <f>IF(VLOOKUP($A11,Sheet1!$A$3:$AW$699,19,FALSE)="","",VLOOKUP($A11,Sheet1!$A$3:$AW$699,19,FALSE))</f>
        <v/>
      </c>
      <c r="I11" s="9" t="str">
        <f>IF(VLOOKUP($A11,Sheet1!$A$3:$AW$699,5,FALSE)="","",VLOOKUP($A11,Sheet1!$A$3:$AW$699,5,FALSE))</f>
        <v>UINT</v>
      </c>
      <c r="J11" s="8" t="s">
        <v>387</v>
      </c>
      <c r="K11" s="9" t="s">
        <v>381</v>
      </c>
      <c r="L11" s="146" t="str">
        <f>IF(VLOOKUP($A11,Sheet1!$A$3:$AW$699,7,FALSE)="★","x","")</f>
        <v/>
      </c>
      <c r="M11" s="146" t="str">
        <f>IF(VLOOKUP($A11,Sheet1!$A$3:$AW$699,8,FALSE)="▲","x","")</f>
        <v/>
      </c>
      <c r="N11" s="146" t="str">
        <f>IF(VLOOKUP($A11,Sheet1!$A$3:$AW$699,9,FALSE)="●","x","")</f>
        <v/>
      </c>
      <c r="O11" s="146" t="str">
        <f>IF(VLOOKUP($A11,Sheet1!$A$3:$AW$699,10,FALSE)="■","x","")</f>
        <v/>
      </c>
      <c r="P11" s="9" t="str">
        <f>IF(VLOOKUP($A11,Sheet1!$A$3:$AW$699,2,FALSE)="","",VLOOKUP($A11,Sheet1!$A$3:$AW$699,2,FALSE))</f>
        <v>P2.015</v>
      </c>
    </row>
    <row r="12" spans="1:16" ht="142.80000000000001" x14ac:dyDescent="0.3">
      <c r="A12" s="9">
        <v>201</v>
      </c>
      <c r="B12" s="9" t="str">
        <f>IF(VLOOKUP($A12,Sheet1!$A$3:$AW$699,20,FALSE)="","",VLOOKUP($A12,Sheet1!$A$3:$AW$699,20,FALSE))</f>
        <v>DI7Configuration</v>
      </c>
      <c r="C12" s="9" t="str">
        <f>IF(VLOOKUP($A12,Sheet1!$A$3:$AW$699,25,FALSE)="","",VLOOKUP($A12,Sheet1!$A$3:$AW$699,25,FALSE))</f>
        <v>All</v>
      </c>
      <c r="D12" s="142" t="str">
        <f>IF(VLOOKUP($A12,Sheet1!$A$3:$AW$699,15,FALSE)="","",VLOOKUP($A12,Sheet1!$A$3:$AW$699,15,FALSE))</f>
        <v>0x0000</v>
      </c>
      <c r="E12" s="142" t="str">
        <f>IF(VLOOKUP($A12,Sheet1!$A$3:$AW$699,16,FALSE)="","",VLOOKUP($A12,Sheet1!$A$3:$AW$699,16,FALSE))</f>
        <v>0x014F</v>
      </c>
      <c r="F12" s="142" t="str">
        <f>IF(VLOOKUP($A12,Sheet1!$A$3:$AW$699,17,FALSE)="","",VLOOKUP($A12,Sheet1!$A$3:$AW$699,17,FALSE))</f>
        <v>0x0100</v>
      </c>
      <c r="G12" s="142" t="str">
        <f>IF(VLOOKUP($A12,Sheet1!$A$3:$AW$699,18,FALSE)="","",VLOOKUP($A12,Sheet1!$A$3:$AW$699,18,FALSE))</f>
        <v/>
      </c>
      <c r="H12" s="142" t="str">
        <f>IF(VLOOKUP($A12,Sheet1!$A$3:$AW$699,19,FALSE)="","",VLOOKUP($A12,Sheet1!$A$3:$AW$699,19,FALSE))</f>
        <v/>
      </c>
      <c r="I12" s="9" t="str">
        <f>IF(VLOOKUP($A12,Sheet1!$A$3:$AW$699,5,FALSE)="","",VLOOKUP($A12,Sheet1!$A$3:$AW$699,5,FALSE))</f>
        <v>UINT</v>
      </c>
      <c r="J12" s="8" t="s">
        <v>388</v>
      </c>
      <c r="K12" s="9" t="s">
        <v>381</v>
      </c>
      <c r="L12" s="146" t="str">
        <f>IF(VLOOKUP($A12,Sheet1!$A$3:$AW$699,7,FALSE)="★","x","")</f>
        <v/>
      </c>
      <c r="M12" s="146" t="str">
        <f>IF(VLOOKUP($A12,Sheet1!$A$3:$AW$699,8,FALSE)="▲","x","")</f>
        <v/>
      </c>
      <c r="N12" s="146" t="str">
        <f>IF(VLOOKUP($A12,Sheet1!$A$3:$AW$699,9,FALSE)="●","x","")</f>
        <v/>
      </c>
      <c r="O12" s="146" t="str">
        <f>IF(VLOOKUP($A12,Sheet1!$A$3:$AW$699,10,FALSE)="■","x","")</f>
        <v/>
      </c>
      <c r="P12" s="9" t="str">
        <f>IF(VLOOKUP($A12,Sheet1!$A$3:$AW$699,2,FALSE)="","",VLOOKUP($A12,Sheet1!$A$3:$AW$699,2,FALSE))</f>
        <v>P2.016</v>
      </c>
    </row>
    <row r="13" spans="1:16" ht="142.80000000000001" x14ac:dyDescent="0.3">
      <c r="A13" s="9">
        <v>202</v>
      </c>
      <c r="B13" s="9" t="str">
        <f>IF(VLOOKUP($A13,Sheet1!$A$3:$AW$699,20,FALSE)="","",VLOOKUP($A13,Sheet1!$A$3:$AW$699,20,FALSE))</f>
        <v>DI8Configuration</v>
      </c>
      <c r="C13" s="9" t="str">
        <f>IF(VLOOKUP($A13,Sheet1!$A$3:$AW$699,25,FALSE)="","",VLOOKUP($A13,Sheet1!$A$3:$AW$699,25,FALSE))</f>
        <v>All</v>
      </c>
      <c r="D13" s="142" t="str">
        <f>IF(VLOOKUP($A13,Sheet1!$A$3:$AW$699,15,FALSE)="","",VLOOKUP($A13,Sheet1!$A$3:$AW$699,15,FALSE))</f>
        <v>0x0000</v>
      </c>
      <c r="E13" s="142" t="str">
        <f>IF(VLOOKUP($A13,Sheet1!$A$3:$AW$699,16,FALSE)="","",VLOOKUP($A13,Sheet1!$A$3:$AW$699,16,FALSE))</f>
        <v>0x014F</v>
      </c>
      <c r="F13" s="142" t="str">
        <f>IF(VLOOKUP($A13,Sheet1!$A$3:$AW$699,17,FALSE)="","",VLOOKUP($A13,Sheet1!$A$3:$AW$699,17,FALSE))</f>
        <v>0x0100</v>
      </c>
      <c r="G13" s="142" t="str">
        <f>IF(VLOOKUP($A13,Sheet1!$A$3:$AW$699,18,FALSE)="","",VLOOKUP($A13,Sheet1!$A$3:$AW$699,18,FALSE))</f>
        <v/>
      </c>
      <c r="H13" s="142" t="str">
        <f>IF(VLOOKUP($A13,Sheet1!$A$3:$AW$699,19,FALSE)="","",VLOOKUP($A13,Sheet1!$A$3:$AW$699,19,FALSE))</f>
        <v/>
      </c>
      <c r="I13" s="9" t="str">
        <f>IF(VLOOKUP($A13,Sheet1!$A$3:$AW$699,5,FALSE)="","",VLOOKUP($A13,Sheet1!$A$3:$AW$699,5,FALSE))</f>
        <v>UINT</v>
      </c>
      <c r="J13" s="8" t="s">
        <v>389</v>
      </c>
      <c r="K13" s="9" t="s">
        <v>381</v>
      </c>
      <c r="L13" s="146" t="str">
        <f>IF(VLOOKUP($A13,Sheet1!$A$3:$AW$699,7,FALSE)="★","x","")</f>
        <v/>
      </c>
      <c r="M13" s="146" t="str">
        <f>IF(VLOOKUP($A13,Sheet1!$A$3:$AW$699,8,FALSE)="▲","x","")</f>
        <v/>
      </c>
      <c r="N13" s="146" t="str">
        <f>IF(VLOOKUP($A13,Sheet1!$A$3:$AW$699,9,FALSE)="●","x","")</f>
        <v/>
      </c>
      <c r="O13" s="146" t="str">
        <f>IF(VLOOKUP($A13,Sheet1!$A$3:$AW$699,10,FALSE)="■","x","")</f>
        <v/>
      </c>
      <c r="P13" s="9" t="str">
        <f>IF(VLOOKUP($A13,Sheet1!$A$3:$AW$699,2,FALSE)="","",VLOOKUP($A13,Sheet1!$A$3:$AW$699,2,FALSE))</f>
        <v>P2.017</v>
      </c>
    </row>
    <row r="14" spans="1:16" ht="122.4" x14ac:dyDescent="0.3">
      <c r="A14" s="9">
        <v>203</v>
      </c>
      <c r="B14" s="9" t="str">
        <f>IF(VLOOKUP($A14,Sheet1!$A$3:$AW$699,20,FALSE)="","",VLOOKUP($A14,Sheet1!$A$3:$AW$699,20,FALSE))</f>
        <v>DO1Configuration</v>
      </c>
      <c r="C14" s="9" t="str">
        <f>IF(VLOOKUP($A14,Sheet1!$A$3:$AW$699,25,FALSE)="","",VLOOKUP($A14,Sheet1!$A$3:$AW$699,25,FALSE))</f>
        <v>All</v>
      </c>
      <c r="D14" s="142" t="str">
        <f>IF(VLOOKUP($A14,Sheet1!$A$3:$AW$699,15,FALSE)="","",VLOOKUP($A14,Sheet1!$A$3:$AW$699,15,FALSE))</f>
        <v>0x0000</v>
      </c>
      <c r="E14" s="142" t="str">
        <f>IF(VLOOKUP($A14,Sheet1!$A$3:$AW$699,16,FALSE)="","",VLOOKUP($A14,Sheet1!$A$3:$AW$699,16,FALSE))</f>
        <v>0x013F</v>
      </c>
      <c r="F14" s="142" t="str">
        <f>IF(VLOOKUP($A14,Sheet1!$A$3:$AW$699,17,FALSE)="","",VLOOKUP($A14,Sheet1!$A$3:$AW$699,17,FALSE))</f>
        <v>0x0100</v>
      </c>
      <c r="G14" s="142" t="str">
        <f>IF(VLOOKUP($A14,Sheet1!$A$3:$AW$699,18,FALSE)="","",VLOOKUP($A14,Sheet1!$A$3:$AW$699,18,FALSE))</f>
        <v/>
      </c>
      <c r="H14" s="142" t="str">
        <f>IF(VLOOKUP($A14,Sheet1!$A$3:$AW$699,19,FALSE)="","",VLOOKUP($A14,Sheet1!$A$3:$AW$699,19,FALSE))</f>
        <v/>
      </c>
      <c r="I14" s="9" t="str">
        <f>IF(VLOOKUP($A14,Sheet1!$A$3:$AW$699,5,FALSE)="","",VLOOKUP($A14,Sheet1!$A$3:$AW$699,5,FALSE))</f>
        <v>UINT</v>
      </c>
      <c r="J14" s="8" t="s">
        <v>390</v>
      </c>
      <c r="K14" s="9" t="s">
        <v>381</v>
      </c>
      <c r="L14" s="146" t="str">
        <f>IF(VLOOKUP($A14,Sheet1!$A$3:$AW$699,7,FALSE)="★","x","")</f>
        <v/>
      </c>
      <c r="M14" s="146" t="str">
        <f>IF(VLOOKUP($A14,Sheet1!$A$3:$AW$699,8,FALSE)="▲","x","")</f>
        <v/>
      </c>
      <c r="N14" s="146" t="str">
        <f>IF(VLOOKUP($A14,Sheet1!$A$3:$AW$699,9,FALSE)="●","x","")</f>
        <v/>
      </c>
      <c r="O14" s="146" t="str">
        <f>IF(VLOOKUP($A14,Sheet1!$A$3:$AW$699,10,FALSE)="■","x","")</f>
        <v/>
      </c>
      <c r="P14" s="9" t="str">
        <f>IF(VLOOKUP($A14,Sheet1!$A$3:$AW$699,2,FALSE)="","",VLOOKUP($A14,Sheet1!$A$3:$AW$699,2,FALSE))</f>
        <v>P2.018</v>
      </c>
    </row>
    <row r="15" spans="1:16" ht="122.4" x14ac:dyDescent="0.3">
      <c r="A15" s="9">
        <v>204</v>
      </c>
      <c r="B15" s="9" t="str">
        <f>IF(VLOOKUP($A15,Sheet1!$A$3:$AW$699,20,FALSE)="","",VLOOKUP($A15,Sheet1!$A$3:$AW$699,20,FALSE))</f>
        <v>DO2Configuration</v>
      </c>
      <c r="C15" s="9" t="str">
        <f>IF(VLOOKUP($A15,Sheet1!$A$3:$AW$699,25,FALSE)="","",VLOOKUP($A15,Sheet1!$A$3:$AW$699,25,FALSE))</f>
        <v>All</v>
      </c>
      <c r="D15" s="142" t="str">
        <f>IF(VLOOKUP($A15,Sheet1!$A$3:$AW$699,15,FALSE)="","",VLOOKUP($A15,Sheet1!$A$3:$AW$699,15,FALSE))</f>
        <v>0x0000</v>
      </c>
      <c r="E15" s="142" t="str">
        <f>IF(VLOOKUP($A15,Sheet1!$A$3:$AW$699,16,FALSE)="","",VLOOKUP($A15,Sheet1!$A$3:$AW$699,16,FALSE))</f>
        <v>0x013F</v>
      </c>
      <c r="F15" s="142" t="str">
        <f>IF(VLOOKUP($A15,Sheet1!$A$3:$AW$699,17,FALSE)="","",VLOOKUP($A15,Sheet1!$A$3:$AW$699,17,FALSE))</f>
        <v>0x0100</v>
      </c>
      <c r="G15" s="142" t="str">
        <f>IF(VLOOKUP($A15,Sheet1!$A$3:$AW$699,18,FALSE)="","",VLOOKUP($A15,Sheet1!$A$3:$AW$699,18,FALSE))</f>
        <v/>
      </c>
      <c r="H15" s="142" t="str">
        <f>IF(VLOOKUP($A15,Sheet1!$A$3:$AW$699,19,FALSE)="","",VLOOKUP($A15,Sheet1!$A$3:$AW$699,19,FALSE))</f>
        <v/>
      </c>
      <c r="I15" s="9" t="str">
        <f>IF(VLOOKUP($A15,Sheet1!$A$3:$AW$699,5,FALSE)="","",VLOOKUP($A15,Sheet1!$A$3:$AW$699,5,FALSE))</f>
        <v>UINT</v>
      </c>
      <c r="J15" s="8" t="s">
        <v>391</v>
      </c>
      <c r="K15" s="9" t="s">
        <v>381</v>
      </c>
      <c r="L15" s="146" t="str">
        <f>IF(VLOOKUP($A15,Sheet1!$A$3:$AW$699,7,FALSE)="★","x","")</f>
        <v/>
      </c>
      <c r="M15" s="146" t="str">
        <f>IF(VLOOKUP($A15,Sheet1!$A$3:$AW$699,8,FALSE)="▲","x","")</f>
        <v/>
      </c>
      <c r="N15" s="146" t="str">
        <f>IF(VLOOKUP($A15,Sheet1!$A$3:$AW$699,9,FALSE)="●","x","")</f>
        <v/>
      </c>
      <c r="O15" s="146" t="str">
        <f>IF(VLOOKUP($A15,Sheet1!$A$3:$AW$699,10,FALSE)="■","x","")</f>
        <v/>
      </c>
      <c r="P15" s="9" t="str">
        <f>IF(VLOOKUP($A15,Sheet1!$A$3:$AW$699,2,FALSE)="","",VLOOKUP($A15,Sheet1!$A$3:$AW$699,2,FALSE))</f>
        <v>P2.019</v>
      </c>
    </row>
    <row r="16" spans="1:16" ht="122.4" x14ac:dyDescent="0.3">
      <c r="A16" s="9">
        <v>205</v>
      </c>
      <c r="B16" s="9" t="str">
        <f>IF(VLOOKUP($A16,Sheet1!$A$3:$AW$699,20,FALSE)="","",VLOOKUP($A16,Sheet1!$A$3:$AW$699,20,FALSE))</f>
        <v>DO3Configuration</v>
      </c>
      <c r="C16" s="9" t="str">
        <f>IF(VLOOKUP($A16,Sheet1!$A$3:$AW$699,25,FALSE)="","",VLOOKUP($A16,Sheet1!$A$3:$AW$699,25,FALSE))</f>
        <v>All</v>
      </c>
      <c r="D16" s="142" t="str">
        <f>IF(VLOOKUP($A16,Sheet1!$A$3:$AW$699,15,FALSE)="","",VLOOKUP($A16,Sheet1!$A$3:$AW$699,15,FALSE))</f>
        <v>0x0000</v>
      </c>
      <c r="E16" s="142" t="str">
        <f>IF(VLOOKUP($A16,Sheet1!$A$3:$AW$699,16,FALSE)="","",VLOOKUP($A16,Sheet1!$A$3:$AW$699,16,FALSE))</f>
        <v>0x013F</v>
      </c>
      <c r="F16" s="142" t="str">
        <f>IF(VLOOKUP($A16,Sheet1!$A$3:$AW$699,17,FALSE)="","",VLOOKUP($A16,Sheet1!$A$3:$AW$699,17,FALSE))</f>
        <v>0x0100</v>
      </c>
      <c r="G16" s="142" t="str">
        <f>IF(VLOOKUP($A16,Sheet1!$A$3:$AW$699,18,FALSE)="","",VLOOKUP($A16,Sheet1!$A$3:$AW$699,18,FALSE))</f>
        <v/>
      </c>
      <c r="H16" s="142" t="str">
        <f>IF(VLOOKUP($A16,Sheet1!$A$3:$AW$699,19,FALSE)="","",VLOOKUP($A16,Sheet1!$A$3:$AW$699,19,FALSE))</f>
        <v/>
      </c>
      <c r="I16" s="9" t="str">
        <f>IF(VLOOKUP($A16,Sheet1!$A$3:$AW$699,5,FALSE)="","",VLOOKUP($A16,Sheet1!$A$3:$AW$699,5,FALSE))</f>
        <v>UINT</v>
      </c>
      <c r="J16" s="8" t="s">
        <v>392</v>
      </c>
      <c r="K16" s="9" t="s">
        <v>381</v>
      </c>
      <c r="L16" s="146" t="str">
        <f>IF(VLOOKUP($A16,Sheet1!$A$3:$AW$699,7,FALSE)="★","x","")</f>
        <v/>
      </c>
      <c r="M16" s="146" t="str">
        <f>IF(VLOOKUP($A16,Sheet1!$A$3:$AW$699,8,FALSE)="▲","x","")</f>
        <v/>
      </c>
      <c r="N16" s="146" t="str">
        <f>IF(VLOOKUP($A16,Sheet1!$A$3:$AW$699,9,FALSE)="●","x","")</f>
        <v/>
      </c>
      <c r="O16" s="146" t="str">
        <f>IF(VLOOKUP($A16,Sheet1!$A$3:$AW$699,10,FALSE)="■","x","")</f>
        <v/>
      </c>
      <c r="P16" s="9" t="str">
        <f>IF(VLOOKUP($A16,Sheet1!$A$3:$AW$699,2,FALSE)="","",VLOOKUP($A16,Sheet1!$A$3:$AW$699,2,FALSE))</f>
        <v>P2.020</v>
      </c>
    </row>
    <row r="17" spans="1:16" ht="122.4" x14ac:dyDescent="0.3">
      <c r="A17" s="9">
        <v>206</v>
      </c>
      <c r="B17" s="9" t="str">
        <f>IF(VLOOKUP($A17,Sheet1!$A$3:$AW$699,20,FALSE)="","",VLOOKUP($A17,Sheet1!$A$3:$AW$699,20,FALSE))</f>
        <v>DO4Configuration</v>
      </c>
      <c r="C17" s="9" t="str">
        <f>IF(VLOOKUP($A17,Sheet1!$A$3:$AW$699,25,FALSE)="","",VLOOKUP($A17,Sheet1!$A$3:$AW$699,25,FALSE))</f>
        <v>All</v>
      </c>
      <c r="D17" s="142" t="str">
        <f>IF(VLOOKUP($A17,Sheet1!$A$3:$AW$699,15,FALSE)="","",VLOOKUP($A17,Sheet1!$A$3:$AW$699,15,FALSE))</f>
        <v>0x0000</v>
      </c>
      <c r="E17" s="142" t="str">
        <f>IF(VLOOKUP($A17,Sheet1!$A$3:$AW$699,16,FALSE)="","",VLOOKUP($A17,Sheet1!$A$3:$AW$699,16,FALSE))</f>
        <v>0x013F</v>
      </c>
      <c r="F17" s="142" t="str">
        <f>IF(VLOOKUP($A17,Sheet1!$A$3:$AW$699,17,FALSE)="","",VLOOKUP($A17,Sheet1!$A$3:$AW$699,17,FALSE))</f>
        <v>0x0100</v>
      </c>
      <c r="G17" s="142" t="str">
        <f>IF(VLOOKUP($A17,Sheet1!$A$3:$AW$699,18,FALSE)="","",VLOOKUP($A17,Sheet1!$A$3:$AW$699,18,FALSE))</f>
        <v/>
      </c>
      <c r="H17" s="142" t="str">
        <f>IF(VLOOKUP($A17,Sheet1!$A$3:$AW$699,19,FALSE)="","",VLOOKUP($A17,Sheet1!$A$3:$AW$699,19,FALSE))</f>
        <v/>
      </c>
      <c r="I17" s="9" t="str">
        <f>IF(VLOOKUP($A17,Sheet1!$A$3:$AW$699,5,FALSE)="","",VLOOKUP($A17,Sheet1!$A$3:$AW$699,5,FALSE))</f>
        <v>UINT</v>
      </c>
      <c r="J17" s="8" t="s">
        <v>393</v>
      </c>
      <c r="K17" s="9" t="s">
        <v>381</v>
      </c>
      <c r="L17" s="146" t="str">
        <f>IF(VLOOKUP($A17,Sheet1!$A$3:$AW$699,7,FALSE)="★","x","")</f>
        <v/>
      </c>
      <c r="M17" s="146" t="str">
        <f>IF(VLOOKUP($A17,Sheet1!$A$3:$AW$699,8,FALSE)="▲","x","")</f>
        <v/>
      </c>
      <c r="N17" s="146" t="str">
        <f>IF(VLOOKUP($A17,Sheet1!$A$3:$AW$699,9,FALSE)="●","x","")</f>
        <v/>
      </c>
      <c r="O17" s="146" t="str">
        <f>IF(VLOOKUP($A17,Sheet1!$A$3:$AW$699,10,FALSE)="■","x","")</f>
        <v/>
      </c>
      <c r="P17" s="9" t="str">
        <f>IF(VLOOKUP($A17,Sheet1!$A$3:$AW$699,2,FALSE)="","",VLOOKUP($A17,Sheet1!$A$3:$AW$699,2,FALSE))</f>
        <v>P2.021</v>
      </c>
    </row>
    <row r="18" spans="1:16" ht="122.4" x14ac:dyDescent="0.3">
      <c r="A18" s="9">
        <v>207</v>
      </c>
      <c r="B18" s="9" t="str">
        <f>IF(VLOOKUP($A18,Sheet1!$A$3:$AW$699,20,FALSE)="","",VLOOKUP($A18,Sheet1!$A$3:$AW$699,20,FALSE))</f>
        <v>DO5Configuration</v>
      </c>
      <c r="C18" s="9" t="str">
        <f>IF(VLOOKUP($A18,Sheet1!$A$3:$AW$699,25,FALSE)="","",VLOOKUP($A18,Sheet1!$A$3:$AW$699,25,FALSE))</f>
        <v>All</v>
      </c>
      <c r="D18" s="142" t="str">
        <f>IF(VLOOKUP($A18,Sheet1!$A$3:$AW$699,15,FALSE)="","",VLOOKUP($A18,Sheet1!$A$3:$AW$699,15,FALSE))</f>
        <v>0x0000</v>
      </c>
      <c r="E18" s="142" t="str">
        <f>IF(VLOOKUP($A18,Sheet1!$A$3:$AW$699,16,FALSE)="","",VLOOKUP($A18,Sheet1!$A$3:$AW$699,16,FALSE))</f>
        <v>0x013F</v>
      </c>
      <c r="F18" s="142" t="str">
        <f>IF(VLOOKUP($A18,Sheet1!$A$3:$AW$699,17,FALSE)="","",VLOOKUP($A18,Sheet1!$A$3:$AW$699,17,FALSE))</f>
        <v>0x0100</v>
      </c>
      <c r="G18" s="142" t="str">
        <f>IF(VLOOKUP($A18,Sheet1!$A$3:$AW$699,18,FALSE)="","",VLOOKUP($A18,Sheet1!$A$3:$AW$699,18,FALSE))</f>
        <v/>
      </c>
      <c r="H18" s="142" t="str">
        <f>IF(VLOOKUP($A18,Sheet1!$A$3:$AW$699,19,FALSE)="","",VLOOKUP($A18,Sheet1!$A$3:$AW$699,19,FALSE))</f>
        <v/>
      </c>
      <c r="I18" s="9" t="str">
        <f>IF(VLOOKUP($A18,Sheet1!$A$3:$AW$699,5,FALSE)="","",VLOOKUP($A18,Sheet1!$A$3:$AW$699,5,FALSE))</f>
        <v>UINT</v>
      </c>
      <c r="J18" s="8" t="s">
        <v>394</v>
      </c>
      <c r="K18" s="9" t="s">
        <v>381</v>
      </c>
      <c r="L18" s="146" t="str">
        <f>IF(VLOOKUP($A18,Sheet1!$A$3:$AW$699,7,FALSE)="★","x","")</f>
        <v/>
      </c>
      <c r="M18" s="146" t="str">
        <f>IF(VLOOKUP($A18,Sheet1!$A$3:$AW$699,8,FALSE)="▲","x","")</f>
        <v/>
      </c>
      <c r="N18" s="146" t="str">
        <f>IF(VLOOKUP($A18,Sheet1!$A$3:$AW$699,9,FALSE)="●","x","")</f>
        <v/>
      </c>
      <c r="O18" s="146" t="str">
        <f>IF(VLOOKUP($A18,Sheet1!$A$3:$AW$699,10,FALSE)="■","x","")</f>
        <v/>
      </c>
      <c r="P18" s="9" t="str">
        <f>IF(VLOOKUP($A18,Sheet1!$A$3:$AW$699,2,FALSE)="","",VLOOKUP($A18,Sheet1!$A$3:$AW$699,2,FALSE))</f>
        <v>P2.022</v>
      </c>
    </row>
    <row r="19" spans="1:16" ht="142.80000000000001" x14ac:dyDescent="0.3">
      <c r="A19" s="9">
        <v>220</v>
      </c>
      <c r="B19" s="9" t="str">
        <f>IF(VLOOKUP($A19,Sheet1!$A$3:$AW$699,20,FALSE)="","",VLOOKUP($A19,Sheet1!$A$3:$AW$699,20,FALSE))</f>
        <v>DI9Configuration</v>
      </c>
      <c r="C19" s="9" t="str">
        <f>IF(VLOOKUP($A19,Sheet1!$A$3:$AW$699,25,FALSE)="","",VLOOKUP($A19,Sheet1!$A$3:$AW$699,25,FALSE))</f>
        <v>All</v>
      </c>
      <c r="D19" s="142" t="str">
        <f>IF(VLOOKUP($A19,Sheet1!$A$3:$AW$699,15,FALSE)="","",VLOOKUP($A19,Sheet1!$A$3:$AW$699,15,FALSE))</f>
        <v>0x0000</v>
      </c>
      <c r="E19" s="142" t="str">
        <f>IF(VLOOKUP($A19,Sheet1!$A$3:$AW$699,16,FALSE)="","",VLOOKUP($A19,Sheet1!$A$3:$AW$699,16,FALSE))</f>
        <v>0x014F</v>
      </c>
      <c r="F19" s="142" t="str">
        <f>IF(VLOOKUP($A19,Sheet1!$A$3:$AW$699,17,FALSE)="","",VLOOKUP($A19,Sheet1!$A$3:$AW$699,17,FALSE))</f>
        <v>0x0100</v>
      </c>
      <c r="G19" s="142" t="str">
        <f>IF(VLOOKUP($A19,Sheet1!$A$3:$AW$699,18,FALSE)="","",VLOOKUP($A19,Sheet1!$A$3:$AW$699,18,FALSE))</f>
        <v/>
      </c>
      <c r="H19" s="142" t="str">
        <f>IF(VLOOKUP($A19,Sheet1!$A$3:$AW$699,19,FALSE)="","",VLOOKUP($A19,Sheet1!$A$3:$AW$699,19,FALSE))</f>
        <v/>
      </c>
      <c r="I19" s="9" t="str">
        <f>IF(VLOOKUP($A19,Sheet1!$A$3:$AW$699,5,FALSE)="","",VLOOKUP($A19,Sheet1!$A$3:$AW$699,5,FALSE))</f>
        <v>UINT</v>
      </c>
      <c r="J19" s="8" t="s">
        <v>395</v>
      </c>
      <c r="K19" s="9" t="s">
        <v>381</v>
      </c>
      <c r="L19" s="146" t="str">
        <f>IF(VLOOKUP($A19,Sheet1!$A$3:$AW$699,7,FALSE)="★","x","")</f>
        <v/>
      </c>
      <c r="M19" s="146" t="str">
        <f>IF(VLOOKUP($A19,Sheet1!$A$3:$AW$699,8,FALSE)="▲","x","")</f>
        <v/>
      </c>
      <c r="N19" s="146" t="str">
        <f>IF(VLOOKUP($A19,Sheet1!$A$3:$AW$699,9,FALSE)="●","x","")</f>
        <v/>
      </c>
      <c r="O19" s="146" t="str">
        <f>IF(VLOOKUP($A19,Sheet1!$A$3:$AW$699,10,FALSE)="■","x","")</f>
        <v/>
      </c>
      <c r="P19" s="9" t="str">
        <f>IF(VLOOKUP($A19,Sheet1!$A$3:$AW$699,2,FALSE)="","",VLOOKUP($A19,Sheet1!$A$3:$AW$699,2,FALSE))</f>
        <v>P2.036</v>
      </c>
    </row>
    <row r="20" spans="1:16" ht="142.80000000000001" x14ac:dyDescent="0.3">
      <c r="A20" s="9">
        <v>221</v>
      </c>
      <c r="B20" s="9" t="str">
        <f>IF(VLOOKUP($A20,Sheet1!$A$3:$AW$699,20,FALSE)="","",VLOOKUP($A20,Sheet1!$A$3:$AW$699,20,FALSE))</f>
        <v>DI10Configuration</v>
      </c>
      <c r="C20" s="9" t="str">
        <f>IF(VLOOKUP($A20,Sheet1!$A$3:$AW$699,25,FALSE)="","",VLOOKUP($A20,Sheet1!$A$3:$AW$699,25,FALSE))</f>
        <v>All</v>
      </c>
      <c r="D20" s="142" t="str">
        <f>IF(VLOOKUP($A20,Sheet1!$A$3:$AW$699,15,FALSE)="","",VLOOKUP($A20,Sheet1!$A$3:$AW$699,15,FALSE))</f>
        <v>0x0000</v>
      </c>
      <c r="E20" s="142" t="str">
        <f>IF(VLOOKUP($A20,Sheet1!$A$3:$AW$699,16,FALSE)="","",VLOOKUP($A20,Sheet1!$A$3:$AW$699,16,FALSE))</f>
        <v>0x014F</v>
      </c>
      <c r="F20" s="142" t="str">
        <f>IF(VLOOKUP($A20,Sheet1!$A$3:$AW$699,17,FALSE)="","",VLOOKUP($A20,Sheet1!$A$3:$AW$699,17,FALSE))</f>
        <v>0x0100</v>
      </c>
      <c r="G20" s="142" t="str">
        <f>IF(VLOOKUP($A20,Sheet1!$A$3:$AW$699,18,FALSE)="","",VLOOKUP($A20,Sheet1!$A$3:$AW$699,18,FALSE))</f>
        <v/>
      </c>
      <c r="H20" s="142" t="str">
        <f>IF(VLOOKUP($A20,Sheet1!$A$3:$AW$699,19,FALSE)="","",VLOOKUP($A20,Sheet1!$A$3:$AW$699,19,FALSE))</f>
        <v/>
      </c>
      <c r="I20" s="9" t="str">
        <f>IF(VLOOKUP($A20,Sheet1!$A$3:$AW$699,5,FALSE)="","",VLOOKUP($A20,Sheet1!$A$3:$AW$699,5,FALSE))</f>
        <v>UINT</v>
      </c>
      <c r="J20" s="8" t="s">
        <v>396</v>
      </c>
      <c r="K20" s="9" t="s">
        <v>381</v>
      </c>
      <c r="L20" s="146" t="str">
        <f>IF(VLOOKUP($A20,Sheet1!$A$3:$AW$699,7,FALSE)="★","x","")</f>
        <v/>
      </c>
      <c r="M20" s="146" t="str">
        <f>IF(VLOOKUP($A20,Sheet1!$A$3:$AW$699,8,FALSE)="▲","x","")</f>
        <v/>
      </c>
      <c r="N20" s="146" t="str">
        <f>IF(VLOOKUP($A20,Sheet1!$A$3:$AW$699,9,FALSE)="●","x","")</f>
        <v/>
      </c>
      <c r="O20" s="146" t="str">
        <f>IF(VLOOKUP($A20,Sheet1!$A$3:$AW$699,10,FALSE)="■","x","")</f>
        <v/>
      </c>
      <c r="P20" s="9" t="str">
        <f>IF(VLOOKUP($A20,Sheet1!$A$3:$AW$699,2,FALSE)="","",VLOOKUP($A20,Sheet1!$A$3:$AW$699,2,FALSE))</f>
        <v>P2.037</v>
      </c>
    </row>
    <row r="21" spans="1:16" ht="142.80000000000001" x14ac:dyDescent="0.3">
      <c r="A21" s="9">
        <v>222</v>
      </c>
      <c r="B21" s="9" t="str">
        <f>IF(VLOOKUP($A21,Sheet1!$A$3:$AW$699,20,FALSE)="","",VLOOKUP($A21,Sheet1!$A$3:$AW$699,20,FALSE))</f>
        <v>VirtualDI11Configuration</v>
      </c>
      <c r="C21" s="9" t="str">
        <f>IF(VLOOKUP($A21,Sheet1!$A$3:$AW$699,25,FALSE)="","",VLOOKUP($A21,Sheet1!$A$3:$AW$699,25,FALSE))</f>
        <v>All</v>
      </c>
      <c r="D21" s="142" t="str">
        <f>IF(VLOOKUP($A21,Sheet1!$A$3:$AW$699,15,FALSE)="","",VLOOKUP($A21,Sheet1!$A$3:$AW$699,15,FALSE))</f>
        <v>0x0000</v>
      </c>
      <c r="E21" s="142" t="str">
        <f>IF(VLOOKUP($A21,Sheet1!$A$3:$AW$699,16,FALSE)="","",VLOOKUP($A21,Sheet1!$A$3:$AW$699,16,FALSE))</f>
        <v>0x014F</v>
      </c>
      <c r="F21" s="142" t="str">
        <f>IF(VLOOKUP($A21,Sheet1!$A$3:$AW$699,17,FALSE)="","",VLOOKUP($A21,Sheet1!$A$3:$AW$699,17,FALSE))</f>
        <v>0x0100</v>
      </c>
      <c r="G21" s="142" t="str">
        <f>IF(VLOOKUP($A21,Sheet1!$A$3:$AW$699,18,FALSE)="","",VLOOKUP($A21,Sheet1!$A$3:$AW$699,18,FALSE))</f>
        <v/>
      </c>
      <c r="H21" s="142" t="str">
        <f>IF(VLOOKUP($A21,Sheet1!$A$3:$AW$699,19,FALSE)="","",VLOOKUP($A21,Sheet1!$A$3:$AW$699,19,FALSE))</f>
        <v/>
      </c>
      <c r="I21" s="9" t="str">
        <f>IF(VLOOKUP($A21,Sheet1!$A$3:$AW$699,5,FALSE)="","",VLOOKUP($A21,Sheet1!$A$3:$AW$699,5,FALSE))</f>
        <v>UINT</v>
      </c>
      <c r="J21" s="8" t="s">
        <v>397</v>
      </c>
      <c r="K21" s="9" t="s">
        <v>381</v>
      </c>
      <c r="L21" s="146" t="str">
        <f>IF(VLOOKUP($A21,Sheet1!$A$3:$AW$699,7,FALSE)="★","x","")</f>
        <v/>
      </c>
      <c r="M21" s="146" t="str">
        <f>IF(VLOOKUP($A21,Sheet1!$A$3:$AW$699,8,FALSE)="▲","x","")</f>
        <v/>
      </c>
      <c r="N21" s="146" t="str">
        <f>IF(VLOOKUP($A21,Sheet1!$A$3:$AW$699,9,FALSE)="●","x","")</f>
        <v/>
      </c>
      <c r="O21" s="146" t="str">
        <f>IF(VLOOKUP($A21,Sheet1!$A$3:$AW$699,10,FALSE)="■","x","")</f>
        <v/>
      </c>
      <c r="P21" s="9" t="str">
        <f>IF(VLOOKUP($A21,Sheet1!$A$3:$AW$699,2,FALSE)="","",VLOOKUP($A21,Sheet1!$A$3:$AW$699,2,FALSE))</f>
        <v>P2.038</v>
      </c>
    </row>
    <row r="22" spans="1:16" ht="142.80000000000001" x14ac:dyDescent="0.3">
      <c r="A22" s="9">
        <v>223</v>
      </c>
      <c r="B22" s="9" t="str">
        <f>IF(VLOOKUP($A22,Sheet1!$A$3:$AW$699,20,FALSE)="","",VLOOKUP($A22,Sheet1!$A$3:$AW$699,20,FALSE))</f>
        <v>VirtualDI12Configuration</v>
      </c>
      <c r="C22" s="9" t="str">
        <f>IF(VLOOKUP($A22,Sheet1!$A$3:$AW$699,25,FALSE)="","",VLOOKUP($A22,Sheet1!$A$3:$AW$699,25,FALSE))</f>
        <v>All</v>
      </c>
      <c r="D22" s="142" t="str">
        <f>IF(VLOOKUP($A22,Sheet1!$A$3:$AW$699,15,FALSE)="","",VLOOKUP($A22,Sheet1!$A$3:$AW$699,15,FALSE))</f>
        <v>0x0000</v>
      </c>
      <c r="E22" s="142" t="str">
        <f>IF(VLOOKUP($A22,Sheet1!$A$3:$AW$699,16,FALSE)="","",VLOOKUP($A22,Sheet1!$A$3:$AW$699,16,FALSE))</f>
        <v>0x014F</v>
      </c>
      <c r="F22" s="142" t="str">
        <f>IF(VLOOKUP($A22,Sheet1!$A$3:$AW$699,17,FALSE)="","",VLOOKUP($A22,Sheet1!$A$3:$AW$699,17,FALSE))</f>
        <v>0x0100</v>
      </c>
      <c r="G22" s="142" t="str">
        <f>IF(VLOOKUP($A22,Sheet1!$A$3:$AW$699,18,FALSE)="","",VLOOKUP($A22,Sheet1!$A$3:$AW$699,18,FALSE))</f>
        <v/>
      </c>
      <c r="H22" s="142" t="str">
        <f>IF(VLOOKUP($A22,Sheet1!$A$3:$AW$699,19,FALSE)="","",VLOOKUP($A22,Sheet1!$A$3:$AW$699,19,FALSE))</f>
        <v/>
      </c>
      <c r="I22" s="9" t="str">
        <f>IF(VLOOKUP($A22,Sheet1!$A$3:$AW$699,5,FALSE)="","",VLOOKUP($A22,Sheet1!$A$3:$AW$699,5,FALSE))</f>
        <v>UINT</v>
      </c>
      <c r="J22" s="8" t="s">
        <v>398</v>
      </c>
      <c r="K22" s="9" t="s">
        <v>381</v>
      </c>
      <c r="L22" s="146" t="str">
        <f>IF(VLOOKUP($A22,Sheet1!$A$3:$AW$699,7,FALSE)="★","x","")</f>
        <v/>
      </c>
      <c r="M22" s="146" t="str">
        <f>IF(VLOOKUP($A22,Sheet1!$A$3:$AW$699,8,FALSE)="▲","x","")</f>
        <v/>
      </c>
      <c r="N22" s="146" t="str">
        <f>IF(VLOOKUP($A22,Sheet1!$A$3:$AW$699,9,FALSE)="●","x","")</f>
        <v/>
      </c>
      <c r="O22" s="146" t="str">
        <f>IF(VLOOKUP($A22,Sheet1!$A$3:$AW$699,10,FALSE)="■","x","")</f>
        <v/>
      </c>
      <c r="P22" s="9" t="str">
        <f>IF(VLOOKUP($A22,Sheet1!$A$3:$AW$699,2,FALSE)="","",VLOOKUP($A22,Sheet1!$A$3:$AW$699,2,FALSE))</f>
        <v>P2.039</v>
      </c>
    </row>
    <row r="23" spans="1:16" ht="142.80000000000001" x14ac:dyDescent="0.3">
      <c r="A23" s="9">
        <v>224</v>
      </c>
      <c r="B23" s="9" t="str">
        <f>IF(VLOOKUP($A23,Sheet1!$A$3:$AW$699,20,FALSE)="","",VLOOKUP($A23,Sheet1!$A$3:$AW$699,20,FALSE))</f>
        <v>VirtualDI13Configuration</v>
      </c>
      <c r="C23" s="9" t="str">
        <f>IF(VLOOKUP($A23,Sheet1!$A$3:$AW$699,25,FALSE)="","",VLOOKUP($A23,Sheet1!$A$3:$AW$699,25,FALSE))</f>
        <v>All</v>
      </c>
      <c r="D23" s="142" t="str">
        <f>IF(VLOOKUP($A23,Sheet1!$A$3:$AW$699,15,FALSE)="","",VLOOKUP($A23,Sheet1!$A$3:$AW$699,15,FALSE))</f>
        <v>0x0000</v>
      </c>
      <c r="E23" s="142" t="str">
        <f>IF(VLOOKUP($A23,Sheet1!$A$3:$AW$699,16,FALSE)="","",VLOOKUP($A23,Sheet1!$A$3:$AW$699,16,FALSE))</f>
        <v>0x014F</v>
      </c>
      <c r="F23" s="142" t="str">
        <f>IF(VLOOKUP($A23,Sheet1!$A$3:$AW$699,17,FALSE)="","",VLOOKUP($A23,Sheet1!$A$3:$AW$699,17,FALSE))</f>
        <v>0x0100</v>
      </c>
      <c r="G23" s="142" t="str">
        <f>IF(VLOOKUP($A23,Sheet1!$A$3:$AW$699,18,FALSE)="","",VLOOKUP($A23,Sheet1!$A$3:$AW$699,18,FALSE))</f>
        <v/>
      </c>
      <c r="H23" s="142" t="str">
        <f>IF(VLOOKUP($A23,Sheet1!$A$3:$AW$699,19,FALSE)="","",VLOOKUP($A23,Sheet1!$A$3:$AW$699,19,FALSE))</f>
        <v/>
      </c>
      <c r="I23" s="9" t="str">
        <f>IF(VLOOKUP($A23,Sheet1!$A$3:$AW$699,5,FALSE)="","",VLOOKUP($A23,Sheet1!$A$3:$AW$699,5,FALSE))</f>
        <v>UINT</v>
      </c>
      <c r="J23" s="8" t="s">
        <v>399</v>
      </c>
      <c r="K23" s="9" t="s">
        <v>381</v>
      </c>
      <c r="L23" s="146" t="str">
        <f>IF(VLOOKUP($A23,Sheet1!$A$3:$AW$699,7,FALSE)="★","x","")</f>
        <v/>
      </c>
      <c r="M23" s="146" t="str">
        <f>IF(VLOOKUP($A23,Sheet1!$A$3:$AW$699,8,FALSE)="▲","x","")</f>
        <v/>
      </c>
      <c r="N23" s="146" t="str">
        <f>IF(VLOOKUP($A23,Sheet1!$A$3:$AW$699,9,FALSE)="●","x","")</f>
        <v/>
      </c>
      <c r="O23" s="146" t="str">
        <f>IF(VLOOKUP($A23,Sheet1!$A$3:$AW$699,10,FALSE)="■","x","")</f>
        <v/>
      </c>
      <c r="P23" s="9" t="str">
        <f>IF(VLOOKUP($A23,Sheet1!$A$3:$AW$699,2,FALSE)="","",VLOOKUP($A23,Sheet1!$A$3:$AW$699,2,FALSE))</f>
        <v>P2.040</v>
      </c>
    </row>
    <row r="24" spans="1:16" ht="122.4" x14ac:dyDescent="0.3">
      <c r="A24" s="9">
        <v>225</v>
      </c>
      <c r="B24" s="9" t="str">
        <f>IF(VLOOKUP($A24,Sheet1!$A$3:$AW$699,20,FALSE)="","",VLOOKUP($A24,Sheet1!$A$3:$AW$699,20,FALSE))</f>
        <v>DO6Configuration</v>
      </c>
      <c r="C24" s="9" t="str">
        <f>IF(VLOOKUP($A24,Sheet1!$A$3:$AW$699,25,FALSE)="","",VLOOKUP($A24,Sheet1!$A$3:$AW$699,25,FALSE))</f>
        <v>All</v>
      </c>
      <c r="D24" s="142" t="str">
        <f>IF(VLOOKUP($A24,Sheet1!$A$3:$AW$699,15,FALSE)="","",VLOOKUP($A24,Sheet1!$A$3:$AW$699,15,FALSE))</f>
        <v>0x0000</v>
      </c>
      <c r="E24" s="142" t="str">
        <f>IF(VLOOKUP($A24,Sheet1!$A$3:$AW$699,16,FALSE)="","",VLOOKUP($A24,Sheet1!$A$3:$AW$699,16,FALSE))</f>
        <v>0x013F</v>
      </c>
      <c r="F24" s="142" t="str">
        <f>IF(VLOOKUP($A24,Sheet1!$A$3:$AW$699,17,FALSE)="","",VLOOKUP($A24,Sheet1!$A$3:$AW$699,17,FALSE))</f>
        <v>0x0100</v>
      </c>
      <c r="G24" s="142" t="str">
        <f>IF(VLOOKUP($A24,Sheet1!$A$3:$AW$699,18,FALSE)="","",VLOOKUP($A24,Sheet1!$A$3:$AW$699,18,FALSE))</f>
        <v/>
      </c>
      <c r="H24" s="142" t="str">
        <f>IF(VLOOKUP($A24,Sheet1!$A$3:$AW$699,19,FALSE)="","",VLOOKUP($A24,Sheet1!$A$3:$AW$699,19,FALSE))</f>
        <v/>
      </c>
      <c r="I24" s="9" t="str">
        <f>IF(VLOOKUP($A24,Sheet1!$A$3:$AW$699,5,FALSE)="","",VLOOKUP($A24,Sheet1!$A$3:$AW$699,5,FALSE))</f>
        <v>UINT</v>
      </c>
      <c r="J24" s="8" t="s">
        <v>400</v>
      </c>
      <c r="K24" s="9" t="s">
        <v>381</v>
      </c>
      <c r="L24" s="146" t="str">
        <f>IF(VLOOKUP($A24,Sheet1!$A$3:$AW$699,7,FALSE)="★","x","")</f>
        <v/>
      </c>
      <c r="M24" s="146" t="str">
        <f>IF(VLOOKUP($A24,Sheet1!$A$3:$AW$699,8,FALSE)="▲","x","")</f>
        <v/>
      </c>
      <c r="N24" s="146" t="str">
        <f>IF(VLOOKUP($A24,Sheet1!$A$3:$AW$699,9,FALSE)="●","x","")</f>
        <v/>
      </c>
      <c r="O24" s="146" t="str">
        <f>IF(VLOOKUP($A24,Sheet1!$A$3:$AW$699,10,FALSE)="■","x","")</f>
        <v/>
      </c>
      <c r="P24" s="9" t="str">
        <f>IF(VLOOKUP($A24,Sheet1!$A$3:$AW$699,2,FALSE)="","",VLOOKUP($A24,Sheet1!$A$3:$AW$699,2,FALSE))</f>
        <v>P2.041</v>
      </c>
    </row>
    <row r="25" spans="1:16" ht="71.400000000000006" x14ac:dyDescent="0.3">
      <c r="A25" s="9">
        <v>268</v>
      </c>
      <c r="B25" s="9" t="str">
        <f>IF(VLOOKUP($A25,Sheet1!$A$3:$AW$699,20,FALSE)="","",VLOOKUP($A25,Sheet1!$A$3:$AW$699,20,FALSE))</f>
        <v>DIControlSource</v>
      </c>
      <c r="C25" s="9" t="str">
        <f>IF(VLOOKUP($A25,Sheet1!$A$3:$AW$699,25,FALSE)="","",VLOOKUP($A25,Sheet1!$A$3:$AW$699,25,FALSE))</f>
        <v>All</v>
      </c>
      <c r="D25" s="142" t="str">
        <f>IF(VLOOKUP($A25,Sheet1!$A$3:$AW$699,15,FALSE)="","",VLOOKUP($A25,Sheet1!$A$3:$AW$699,15,FALSE))</f>
        <v>0x0000</v>
      </c>
      <c r="E25" s="142" t="str">
        <f>IF(VLOOKUP($A25,Sheet1!$A$3:$AW$699,16,FALSE)="","",VLOOKUP($A25,Sheet1!$A$3:$AW$699,16,FALSE))</f>
        <v>0x1FFF</v>
      </c>
      <c r="F25" s="142" t="str">
        <f>IF(VLOOKUP($A25,Sheet1!$A$3:$AW$699,17,FALSE)="","",VLOOKUP($A25,Sheet1!$A$3:$AW$699,17,FALSE))</f>
        <v>0x0000</v>
      </c>
      <c r="G25" s="142" t="str">
        <f>IF(VLOOKUP($A25,Sheet1!$A$3:$AW$699,18,FALSE)="","",VLOOKUP($A25,Sheet1!$A$3:$AW$699,18,FALSE))</f>
        <v/>
      </c>
      <c r="H25" s="142" t="str">
        <f>IF(VLOOKUP($A25,Sheet1!$A$3:$AW$699,19,FALSE)="","",VLOOKUP($A25,Sheet1!$A$3:$AW$699,19,FALSE))</f>
        <v/>
      </c>
      <c r="I25" s="9" t="str">
        <f>IF(VLOOKUP($A25,Sheet1!$A$3:$AW$699,5,FALSE)="","",VLOOKUP($A25,Sheet1!$A$3:$AW$699,5,FALSE))</f>
        <v>UINT</v>
      </c>
      <c r="J25" s="17" t="s">
        <v>401</v>
      </c>
      <c r="K25" s="9" t="s">
        <v>381</v>
      </c>
      <c r="L25" s="146" t="str">
        <f>IF(VLOOKUP($A25,Sheet1!$A$3:$AW$699,7,FALSE)="★","x","")</f>
        <v/>
      </c>
      <c r="M25" s="146" t="str">
        <f>IF(VLOOKUP($A25,Sheet1!$A$3:$AW$699,8,FALSE)="▲","x","")</f>
        <v/>
      </c>
      <c r="N25" s="146" t="str">
        <f>IF(VLOOKUP($A25,Sheet1!$A$3:$AW$699,9,FALSE)="●","x","")</f>
        <v/>
      </c>
      <c r="O25" s="146" t="str">
        <f>IF(VLOOKUP($A25,Sheet1!$A$3:$AW$699,10,FALSE)="■","x","")</f>
        <v>x</v>
      </c>
      <c r="P25" s="9" t="str">
        <f>IF(VLOOKUP($A25,Sheet1!$A$3:$AW$699,2,FALSE)="","",VLOOKUP($A25,Sheet1!$A$3:$AW$699,2,FALSE))</f>
        <v>P3.006</v>
      </c>
    </row>
    <row r="26" spans="1:16" ht="214.2" x14ac:dyDescent="0.3">
      <c r="A26" s="9">
        <v>280</v>
      </c>
      <c r="B26" s="9" t="str">
        <f>IF(VLOOKUP($A26,Sheet1!$A$3:$AW$699,20,FALSE)="","",VLOOKUP($A26,Sheet1!$A$3:$AW$699,20,FALSE))</f>
        <v>DOOverride</v>
      </c>
      <c r="C26" s="9" t="str">
        <f>IF(VLOOKUP($A26,Sheet1!$A$3:$AW$699,25,FALSE)="","",VLOOKUP($A26,Sheet1!$A$3:$AW$699,25,FALSE))</f>
        <v>All</v>
      </c>
      <c r="D26" s="142" t="str">
        <f>IF(VLOOKUP($A26,Sheet1!$A$3:$AW$699,15,FALSE)="","",VLOOKUP($A26,Sheet1!$A$3:$AW$699,15,FALSE))</f>
        <v>0x0000</v>
      </c>
      <c r="E26" s="142" t="str">
        <f>IF(VLOOKUP($A26,Sheet1!$A$3:$AW$699,16,FALSE)="","",VLOOKUP($A26,Sheet1!$A$3:$AW$699,16,FALSE))</f>
        <v>0x00FF</v>
      </c>
      <c r="F26" s="142" t="str">
        <f>IF(VLOOKUP($A26,Sheet1!$A$3:$AW$699,17,FALSE)="","",VLOOKUP($A26,Sheet1!$A$3:$AW$699,17,FALSE))</f>
        <v>0x0000</v>
      </c>
      <c r="G26" s="142" t="str">
        <f>IF(VLOOKUP($A26,Sheet1!$A$3:$AW$699,18,FALSE)="","",VLOOKUP($A26,Sheet1!$A$3:$AW$699,18,FALSE))</f>
        <v/>
      </c>
      <c r="H26" s="142" t="str">
        <f>IF(VLOOKUP($A26,Sheet1!$A$3:$AW$699,19,FALSE)="","",VLOOKUP($A26,Sheet1!$A$3:$AW$699,19,FALSE))</f>
        <v/>
      </c>
      <c r="I26" s="9" t="str">
        <f>IF(VLOOKUP($A26,Sheet1!$A$3:$AW$699,5,FALSE)="","",VLOOKUP($A26,Sheet1!$A$3:$AW$699,5,FALSE))</f>
        <v>UINT</v>
      </c>
      <c r="J26" s="17" t="s">
        <v>402</v>
      </c>
      <c r="K26" s="9" t="s">
        <v>381</v>
      </c>
      <c r="L26" s="146" t="str">
        <f>IF(VLOOKUP($A26,Sheet1!$A$3:$AW$699,7,FALSE)="★","x","")</f>
        <v/>
      </c>
      <c r="M26" s="146" t="str">
        <f>IF(VLOOKUP($A26,Sheet1!$A$3:$AW$699,8,FALSE)="▲","x","")</f>
        <v/>
      </c>
      <c r="N26" s="146" t="str">
        <f>IF(VLOOKUP($A26,Sheet1!$A$3:$AW$699,9,FALSE)="●","x","")</f>
        <v/>
      </c>
      <c r="O26" s="146" t="str">
        <f>IF(VLOOKUP($A26,Sheet1!$A$3:$AW$699,10,FALSE)="■","x","")</f>
        <v>x</v>
      </c>
      <c r="P26" s="9" t="str">
        <f>IF(VLOOKUP($A26,Sheet1!$A$3:$AW$699,2,FALSE)="","",VLOOKUP($A26,Sheet1!$A$3:$AW$699,2,FALSE))</f>
        <v>P4.006</v>
      </c>
    </row>
    <row r="27" spans="1:16" ht="91.8" x14ac:dyDescent="0.3">
      <c r="A27" s="9">
        <v>281</v>
      </c>
      <c r="B27" s="9" t="str">
        <f>IF(VLOOKUP($A27,Sheet1!$A$3:$AW$699,20,FALSE)="","",VLOOKUP($A27,Sheet1!$A$3:$AW$699,20,FALSE))</f>
        <v>DIOverride</v>
      </c>
      <c r="C27" s="9" t="str">
        <f>IF(VLOOKUP($A27,Sheet1!$A$3:$AW$699,25,FALSE)="","",VLOOKUP($A27,Sheet1!$A$3:$AW$699,25,FALSE))</f>
        <v>All</v>
      </c>
      <c r="D27" s="142" t="str">
        <f>IF(VLOOKUP($A27,Sheet1!$A$3:$AW$699,15,FALSE)="","",VLOOKUP($A27,Sheet1!$A$3:$AW$699,15,FALSE))</f>
        <v>0x0000</v>
      </c>
      <c r="E27" s="142" t="str">
        <f>IF(VLOOKUP($A27,Sheet1!$A$3:$AW$699,16,FALSE)="","",VLOOKUP($A27,Sheet1!$A$3:$AW$699,16,FALSE))</f>
        <v>0x1FFF</v>
      </c>
      <c r="F27" s="142" t="str">
        <f>IF(VLOOKUP($A27,Sheet1!$A$3:$AW$699,17,FALSE)="","",VLOOKUP($A27,Sheet1!$A$3:$AW$699,17,FALSE))</f>
        <v>0x0000</v>
      </c>
      <c r="G27" s="142" t="str">
        <f>IF(VLOOKUP($A27,Sheet1!$A$3:$AW$699,18,FALSE)="","",VLOOKUP($A27,Sheet1!$A$3:$AW$699,18,FALSE))</f>
        <v/>
      </c>
      <c r="H27" s="142" t="str">
        <f>IF(VLOOKUP($A27,Sheet1!$A$3:$AW$699,19,FALSE)="","",VLOOKUP($A27,Sheet1!$A$3:$AW$699,19,FALSE))</f>
        <v/>
      </c>
      <c r="I27" s="9" t="str">
        <f>IF(VLOOKUP($A27,Sheet1!$A$3:$AW$699,5,FALSE)="","",VLOOKUP($A27,Sheet1!$A$3:$AW$699,5,FALSE))</f>
        <v>UINT</v>
      </c>
      <c r="J27" s="17" t="s">
        <v>403</v>
      </c>
      <c r="K27" s="9" t="s">
        <v>381</v>
      </c>
      <c r="L27" s="146" t="str">
        <f>IF(VLOOKUP($A27,Sheet1!$A$3:$AW$699,7,FALSE)="★","x","")</f>
        <v/>
      </c>
      <c r="M27" s="146" t="str">
        <f>IF(VLOOKUP($A27,Sheet1!$A$3:$AW$699,8,FALSE)="▲","x","")</f>
        <v/>
      </c>
      <c r="N27" s="146" t="str">
        <f>IF(VLOOKUP($A27,Sheet1!$A$3:$AW$699,9,FALSE)="●","x","")</f>
        <v/>
      </c>
      <c r="O27" s="146" t="str">
        <f>IF(VLOOKUP($A27,Sheet1!$A$3:$AW$699,10,FALSE)="■","x","")</f>
        <v>x</v>
      </c>
      <c r="P27" s="9" t="str">
        <f>IF(VLOOKUP($A27,Sheet1!$A$3:$AW$699,2,FALSE)="","",VLOOKUP($A27,Sheet1!$A$3:$AW$699,2,FALSE))</f>
        <v>P4.007</v>
      </c>
    </row>
    <row r="28" spans="1:16" ht="30.6" x14ac:dyDescent="0.3">
      <c r="A28" s="9">
        <v>282</v>
      </c>
      <c r="B28" s="9" t="str">
        <f>IF(VLOOKUP($A28,Sheet1!$A$3:$AW$699,20,FALSE)="","",VLOOKUP($A28,Sheet1!$A$3:$AW$699,20,FALSE))</f>
        <v>KeypadInputStatus</v>
      </c>
      <c r="C28" s="9" t="str">
        <f>IF(VLOOKUP($A28,Sheet1!$A$3:$AW$699,25,FALSE)="","",VLOOKUP($A28,Sheet1!$A$3:$AW$699,25,FALSE))</f>
        <v>All</v>
      </c>
      <c r="D28" s="142" t="str">
        <f>IF(VLOOKUP($A28,Sheet1!$A$3:$AW$699,15,FALSE)="","",VLOOKUP($A28,Sheet1!$A$3:$AW$699,15,FALSE))</f>
        <v>0x0000</v>
      </c>
      <c r="E28" s="142" t="str">
        <f>IF(VLOOKUP($A28,Sheet1!$A$3:$AW$699,16,FALSE)="","",VLOOKUP($A28,Sheet1!$A$3:$AW$699,16,FALSE))</f>
        <v>0x00FF</v>
      </c>
      <c r="F28" s="142" t="str">
        <f>IF(VLOOKUP($A28,Sheet1!$A$3:$AW$699,17,FALSE)="","",VLOOKUP($A28,Sheet1!$A$3:$AW$699,17,FALSE))</f>
        <v>0x0000</v>
      </c>
      <c r="G28" s="142" t="str">
        <f>IF(VLOOKUP($A28,Sheet1!$A$3:$AW$699,18,FALSE)="","",VLOOKUP($A28,Sheet1!$A$3:$AW$699,18,FALSE))</f>
        <v/>
      </c>
      <c r="H28" s="142" t="str">
        <f>IF(VLOOKUP($A28,Sheet1!$A$3:$AW$699,19,FALSE)="","",VLOOKUP($A28,Sheet1!$A$3:$AW$699,19,FALSE))</f>
        <v/>
      </c>
      <c r="I28" s="9" t="str">
        <f>IF(VLOOKUP($A28,Sheet1!$A$3:$AW$699,5,FALSE)="","",VLOOKUP($A28,Sheet1!$A$3:$AW$699,5,FALSE))</f>
        <v>UINT</v>
      </c>
      <c r="J28" s="17" t="s">
        <v>404</v>
      </c>
      <c r="K28" s="9" t="s">
        <v>381</v>
      </c>
      <c r="L28" s="146" t="str">
        <f>IF(VLOOKUP($A28,Sheet1!$A$3:$AW$699,7,FALSE)="★","x","")</f>
        <v>x</v>
      </c>
      <c r="M28" s="146" t="str">
        <f>IF(VLOOKUP($A28,Sheet1!$A$3:$AW$699,8,FALSE)="▲","x","")</f>
        <v/>
      </c>
      <c r="N28" s="146" t="str">
        <f>IF(VLOOKUP($A28,Sheet1!$A$3:$AW$699,9,FALSE)="●","x","")</f>
        <v/>
      </c>
      <c r="O28" s="146" t="str">
        <f>IF(VLOOKUP($A28,Sheet1!$A$3:$AW$699,10,FALSE)="■","x","")</f>
        <v>x</v>
      </c>
      <c r="P28" s="9" t="str">
        <f>IF(VLOOKUP($A28,Sheet1!$A$3:$AW$699,2,FALSE)="","",VLOOKUP($A28,Sheet1!$A$3:$AW$699,2,FALSE))</f>
        <v>P4.008</v>
      </c>
    </row>
    <row r="29" spans="1:16" x14ac:dyDescent="0.3">
      <c r="A29" s="9">
        <v>283</v>
      </c>
      <c r="B29" s="9" t="str">
        <f>IF(VLOOKUP($A29,Sheet1!$A$3:$AW$699,20,FALSE)="","",VLOOKUP($A29,Sheet1!$A$3:$AW$699,20,FALSE))</f>
        <v>DOStatus</v>
      </c>
      <c r="C29" s="9" t="str">
        <f>IF(VLOOKUP($A29,Sheet1!$A$3:$AW$699,25,FALSE)="","",VLOOKUP($A29,Sheet1!$A$3:$AW$699,25,FALSE))</f>
        <v>All</v>
      </c>
      <c r="D29" s="142" t="str">
        <f>IF(VLOOKUP($A29,Sheet1!$A$3:$AW$699,15,FALSE)="","",VLOOKUP($A29,Sheet1!$A$3:$AW$699,15,FALSE))</f>
        <v>0x0000</v>
      </c>
      <c r="E29" s="142" t="str">
        <f>IF(VLOOKUP($A29,Sheet1!$A$3:$AW$699,16,FALSE)="","",VLOOKUP($A29,Sheet1!$A$3:$AW$699,16,FALSE))</f>
        <v>0x003F</v>
      </c>
      <c r="F29" s="142" t="str">
        <f>IF(VLOOKUP($A29,Sheet1!$A$3:$AW$699,17,FALSE)="","",VLOOKUP($A29,Sheet1!$A$3:$AW$699,17,FALSE))</f>
        <v>0x0000</v>
      </c>
      <c r="G29" s="142" t="str">
        <f>IF(VLOOKUP($A29,Sheet1!$A$3:$AW$699,18,FALSE)="","",VLOOKUP($A29,Sheet1!$A$3:$AW$699,18,FALSE))</f>
        <v/>
      </c>
      <c r="H29" s="142" t="str">
        <f>IF(VLOOKUP($A29,Sheet1!$A$3:$AW$699,19,FALSE)="","",VLOOKUP($A29,Sheet1!$A$3:$AW$699,19,FALSE))</f>
        <v/>
      </c>
      <c r="I29" s="9" t="str">
        <f>IF(VLOOKUP($A29,Sheet1!$A$3:$AW$699,5,FALSE)="","",VLOOKUP($A29,Sheet1!$A$3:$AW$699,5,FALSE))</f>
        <v>UINT</v>
      </c>
      <c r="J29" s="17" t="s">
        <v>405</v>
      </c>
      <c r="K29" s="9" t="s">
        <v>381</v>
      </c>
      <c r="L29" s="146" t="str">
        <f>IF(VLOOKUP($A29,Sheet1!$A$3:$AW$699,7,FALSE)="★","x","")</f>
        <v>x</v>
      </c>
      <c r="M29" s="146" t="str">
        <f>IF(VLOOKUP($A29,Sheet1!$A$3:$AW$699,8,FALSE)="▲","x","")</f>
        <v/>
      </c>
      <c r="N29" s="146" t="str">
        <f>IF(VLOOKUP($A29,Sheet1!$A$3:$AW$699,9,FALSE)="●","x","")</f>
        <v/>
      </c>
      <c r="O29" s="146" t="str">
        <f>IF(VLOOKUP($A29,Sheet1!$A$3:$AW$699,10,FALSE)="■","x","")</f>
        <v>x</v>
      </c>
      <c r="P29" s="9" t="str">
        <f>IF(VLOOKUP($A29,Sheet1!$A$3:$AW$699,2,FALSE)="","",VLOOKUP($A29,Sheet1!$A$3:$AW$699,2,FALSE))</f>
        <v>P4.009</v>
      </c>
    </row>
  </sheetData>
  <mergeCells count="2">
    <mergeCell ref="A1:B1"/>
    <mergeCell ref="A2:B2"/>
  </mergeCells>
  <hyperlinks>
    <hyperlink ref="A2" r:id="rId1" display="Kinetix 5100 Servo Drive User Manual, publication 2198-UM004" xr:uid="{6E54DCA7-AB35-440D-A977-DD388B0D6704}"/>
  </hyperlinks>
  <pageMargins left="0.7" right="0.7" top="0.75" bottom="0.75" header="0.3" footer="0.3"/>
  <pageSetup paperSize="17" fitToHeight="0" orientation="landscape"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E7CEA-8D81-4400-B759-16D32415A945}">
  <sheetPr>
    <pageSetUpPr fitToPage="1"/>
  </sheetPr>
  <dimension ref="A1:P11"/>
  <sheetViews>
    <sheetView workbookViewId="0">
      <pane xSplit="2" ySplit="4" topLeftCell="C5" activePane="bottomRight" state="frozen"/>
      <selection pane="topRight" activeCell="F18" sqref="F18"/>
      <selection pane="bottomLeft" activeCell="F18" sqref="F18"/>
      <selection pane="bottomRight" activeCell="G4" sqref="G4:G5"/>
    </sheetView>
  </sheetViews>
  <sheetFormatPr defaultColWidth="9.109375" defaultRowHeight="14.4" x14ac:dyDescent="0.3"/>
  <cols>
    <col min="1" max="1" width="5.6640625" style="149" customWidth="1"/>
    <col min="2" max="2" width="30.6640625" style="149" customWidth="1"/>
    <col min="3" max="3" width="10.6640625" style="149" customWidth="1"/>
    <col min="4" max="4" width="8.6640625" style="150" customWidth="1"/>
    <col min="5" max="5" width="10.6640625" style="150" customWidth="1"/>
    <col min="6" max="6" width="10.44140625" style="150" bestFit="1" customWidth="1"/>
    <col min="7" max="7" width="10.44140625" style="150" customWidth="1"/>
    <col min="8" max="8" width="10.6640625" style="150" customWidth="1"/>
    <col min="9" max="9" width="10.6640625" style="149" customWidth="1"/>
    <col min="10" max="10" width="48" style="149" customWidth="1"/>
    <col min="11" max="11" width="12.6640625" style="149" bestFit="1" customWidth="1"/>
    <col min="12" max="15" width="10.6640625" style="151" customWidth="1"/>
    <col min="16" max="16" width="10.6640625" style="149" customWidth="1"/>
    <col min="17" max="16384" width="9.109375" style="149"/>
  </cols>
  <sheetData>
    <row r="1" spans="1:16" ht="28.95" customHeight="1" x14ac:dyDescent="0.3">
      <c r="A1" s="226" t="s">
        <v>406</v>
      </c>
      <c r="B1" s="226"/>
      <c r="J1" s="213"/>
      <c r="K1" s="213"/>
    </row>
    <row r="2" spans="1:16" ht="31.2" customHeight="1" x14ac:dyDescent="0.3">
      <c r="A2" s="227" t="s">
        <v>30</v>
      </c>
      <c r="B2" s="227"/>
      <c r="J2" s="213"/>
      <c r="K2" s="213"/>
    </row>
    <row r="3" spans="1:16" x14ac:dyDescent="0.3">
      <c r="J3" s="213"/>
      <c r="K3" s="213"/>
    </row>
    <row r="4" spans="1:16" ht="20.399999999999999" x14ac:dyDescent="0.3">
      <c r="A4" s="18" t="s">
        <v>31</v>
      </c>
      <c r="B4" s="18" t="s">
        <v>32</v>
      </c>
      <c r="C4" s="18" t="s">
        <v>33</v>
      </c>
      <c r="D4" s="18" t="s">
        <v>34</v>
      </c>
      <c r="E4" s="18" t="s">
        <v>35</v>
      </c>
      <c r="F4" s="18" t="s">
        <v>36</v>
      </c>
      <c r="G4" s="18" t="s">
        <v>37</v>
      </c>
      <c r="H4" s="18" t="s">
        <v>38</v>
      </c>
      <c r="I4" s="18" t="s">
        <v>39</v>
      </c>
      <c r="J4" s="18" t="s">
        <v>40</v>
      </c>
      <c r="K4" s="18" t="s">
        <v>41</v>
      </c>
      <c r="L4" s="18" t="s">
        <v>42</v>
      </c>
      <c r="M4" s="18" t="s">
        <v>43</v>
      </c>
      <c r="N4" s="18" t="s">
        <v>44</v>
      </c>
      <c r="O4" s="18" t="s">
        <v>45</v>
      </c>
      <c r="P4" s="18" t="s">
        <v>46</v>
      </c>
    </row>
    <row r="5" spans="1:16" ht="30.6" x14ac:dyDescent="0.3">
      <c r="A5" s="19">
        <v>267</v>
      </c>
      <c r="B5" s="9" t="str">
        <f>IF(VLOOKUP($A5,Sheet1!$A$3:$AW$699,20,FALSE)="","",VLOOKUP($A5,Sheet1!$A$3:$AW$699,20,FALSE))</f>
        <v>USBCommTimeout</v>
      </c>
      <c r="C5" s="9" t="str">
        <f>IF(VLOOKUP($A5,Sheet1!$A$3:$AW$699,25,FALSE)="","",VLOOKUP($A5,Sheet1!$A$3:$AW$699,25,FALSE))</f>
        <v>All</v>
      </c>
      <c r="D5" s="142">
        <f>IF(VLOOKUP($A5,Sheet1!$A$3:$AW$699,15,FALSE)="","",VLOOKUP($A5,Sheet1!$A$3:$AW$699,15,FALSE))</f>
        <v>0</v>
      </c>
      <c r="E5" s="142">
        <f>IF(VLOOKUP($A5,Sheet1!$A$3:$AW$699,16,FALSE)="","",VLOOKUP($A5,Sheet1!$A$3:$AW$699,16,FALSE))</f>
        <v>20</v>
      </c>
      <c r="F5" s="142">
        <f>IF(VLOOKUP($A5,Sheet1!$A$3:$AW$699,17,FALSE)="","",VLOOKUP($A5,Sheet1!$A$3:$AW$699,17,FALSE))</f>
        <v>0</v>
      </c>
      <c r="G5" s="142" t="str">
        <f>IF(VLOOKUP($A5,Sheet1!$A$3:$AW$699,18,FALSE)="","",VLOOKUP($A5,Sheet1!$A$3:$AW$699,18,FALSE))</f>
        <v/>
      </c>
      <c r="H5" s="142" t="str">
        <f>IF(VLOOKUP($A5,Sheet1!$A$3:$AW$699,19,FALSE)="","",VLOOKUP($A5,Sheet1!$A$3:$AW$699,19,FALSE))</f>
        <v>s</v>
      </c>
      <c r="I5" s="9" t="str">
        <f>IF(VLOOKUP($A5,Sheet1!$A$3:$AW$699,5,FALSE)="","",VLOOKUP($A5,Sheet1!$A$3:$AW$699,5,FALSE))</f>
        <v>UINT</v>
      </c>
      <c r="J5" s="19" t="s">
        <v>407</v>
      </c>
      <c r="K5" s="19" t="s">
        <v>408</v>
      </c>
      <c r="L5" s="146" t="str">
        <f>IF(VLOOKUP($A5,Sheet1!$A$3:$AW$699,7,FALSE)="★","x","")</f>
        <v/>
      </c>
      <c r="M5" s="146" t="str">
        <f>IF(VLOOKUP($A5,Sheet1!$A$3:$AW$699,8,FALSE)="▲","x","")</f>
        <v/>
      </c>
      <c r="N5" s="146" t="str">
        <f>IF(VLOOKUP($A5,Sheet1!$A$3:$AW$699,9,FALSE)="●","x","")</f>
        <v/>
      </c>
      <c r="O5" s="146" t="str">
        <f>IF(VLOOKUP($A5,Sheet1!$A$3:$AW$699,10,FALSE)="■","x","")</f>
        <v/>
      </c>
      <c r="P5" s="9" t="str">
        <f>IF(VLOOKUP($A5,Sheet1!$A$3:$AW$699,2,FALSE)="","",VLOOKUP($A5,Sheet1!$A$3:$AW$699,2,FALSE))</f>
        <v>P3.004</v>
      </c>
    </row>
    <row r="6" spans="1:16" ht="40.799999999999997" x14ac:dyDescent="0.3">
      <c r="A6" s="19">
        <v>269</v>
      </c>
      <c r="B6" s="9" t="str">
        <f>IF(VLOOKUP($A6,Sheet1!$A$3:$AW$699,20,FALSE)="","",VLOOKUP($A6,Sheet1!$A$3:$AW$699,20,FALSE))</f>
        <v>USBCommRespDelayTime</v>
      </c>
      <c r="C6" s="9" t="str">
        <f>IF(VLOOKUP($A6,Sheet1!$A$3:$AW$699,25,FALSE)="","",VLOOKUP($A6,Sheet1!$A$3:$AW$699,25,FALSE))</f>
        <v>All</v>
      </c>
      <c r="D6" s="142">
        <f>IF(VLOOKUP($A6,Sheet1!$A$3:$AW$699,15,FALSE)="","",VLOOKUP($A6,Sheet1!$A$3:$AW$699,15,FALSE))</f>
        <v>0</v>
      </c>
      <c r="E6" s="142">
        <f>IF(VLOOKUP($A6,Sheet1!$A$3:$AW$699,16,FALSE)="","",VLOOKUP($A6,Sheet1!$A$3:$AW$699,16,FALSE))</f>
        <v>1000</v>
      </c>
      <c r="F6" s="142">
        <f>IF(VLOOKUP($A6,Sheet1!$A$3:$AW$699,17,FALSE)="","",VLOOKUP($A6,Sheet1!$A$3:$AW$699,17,FALSE))</f>
        <v>0</v>
      </c>
      <c r="G6" s="142" t="str">
        <f>IF(VLOOKUP($A6,Sheet1!$A$3:$AW$699,18,FALSE)="","",VLOOKUP($A6,Sheet1!$A$3:$AW$699,18,FALSE))</f>
        <v/>
      </c>
      <c r="H6" s="142" t="str">
        <f>IF(VLOOKUP($A6,Sheet1!$A$3:$AW$699,19,FALSE)="","",VLOOKUP($A6,Sheet1!$A$3:$AW$699,19,FALSE))</f>
        <v>0.5ms</v>
      </c>
      <c r="I6" s="9" t="str">
        <f>IF(VLOOKUP($A6,Sheet1!$A$3:$AW$699,5,FALSE)="","",VLOOKUP($A6,Sheet1!$A$3:$AW$699,5,FALSE))</f>
        <v>UINT</v>
      </c>
      <c r="J6" s="19" t="s">
        <v>409</v>
      </c>
      <c r="K6" s="19" t="s">
        <v>408</v>
      </c>
      <c r="L6" s="146" t="str">
        <f>IF(VLOOKUP($A6,Sheet1!$A$3:$AW$699,7,FALSE)="★","x","")</f>
        <v/>
      </c>
      <c r="M6" s="146" t="str">
        <f>IF(VLOOKUP($A6,Sheet1!$A$3:$AW$699,8,FALSE)="▲","x","")</f>
        <v/>
      </c>
      <c r="N6" s="146" t="str">
        <f>IF(VLOOKUP($A6,Sheet1!$A$3:$AW$699,9,FALSE)="●","x","")</f>
        <v/>
      </c>
      <c r="O6" s="146" t="str">
        <f>IF(VLOOKUP($A6,Sheet1!$A$3:$AW$699,10,FALSE)="■","x","")</f>
        <v/>
      </c>
      <c r="P6" s="9" t="str">
        <f>IF(VLOOKUP($A6,Sheet1!$A$3:$AW$699,2,FALSE)="","",VLOOKUP($A6,Sheet1!$A$3:$AW$699,2,FALSE))</f>
        <v>P3.007</v>
      </c>
    </row>
    <row r="7" spans="1:16" ht="20.399999999999999" x14ac:dyDescent="0.3">
      <c r="A7" s="19">
        <v>270</v>
      </c>
      <c r="B7" s="9" t="str">
        <f>IF(VLOOKUP($A7,Sheet1!$A$3:$AW$699,20,FALSE)="","",VLOOKUP($A7,Sheet1!$A$3:$AW$699,20,FALSE))</f>
        <v>IPAddress</v>
      </c>
      <c r="C7" s="9" t="str">
        <f>IF(VLOOKUP($A7,Sheet1!$A$3:$AW$699,25,FALSE)="","",VLOOKUP($A7,Sheet1!$A$3:$AW$699,25,FALSE))</f>
        <v>All</v>
      </c>
      <c r="D7" s="142">
        <f>IF(VLOOKUP($A7,Sheet1!$A$3:$AW$699,15,FALSE)="","",VLOOKUP($A7,Sheet1!$A$3:$AW$699,15,FALSE))</f>
        <v>0</v>
      </c>
      <c r="E7" s="142" t="str">
        <f>IF(VLOOKUP($A7,Sheet1!$A$3:$AW$699,16,FALSE)="","",VLOOKUP($A7,Sheet1!$A$3:$AW$699,16,FALSE))</f>
        <v>0xFFFFFFFF</v>
      </c>
      <c r="F7" s="142" t="str">
        <f>IF(VLOOKUP($A7,Sheet1!$A$3:$AW$699,17,FALSE)="","",VLOOKUP($A7,Sheet1!$A$3:$AW$699,17,FALSE))</f>
        <v>0xC0A80101</v>
      </c>
      <c r="G7" s="142" t="str">
        <f>IF(VLOOKUP($A7,Sheet1!$A$3:$AW$699,18,FALSE)="","",VLOOKUP($A7,Sheet1!$A$3:$AW$699,18,FALSE))</f>
        <v/>
      </c>
      <c r="H7" s="142" t="str">
        <f>IF(VLOOKUP($A7,Sheet1!$A$3:$AW$699,19,FALSE)="","",VLOOKUP($A7,Sheet1!$A$3:$AW$699,19,FALSE))</f>
        <v/>
      </c>
      <c r="I7" s="9" t="str">
        <f>IF(VLOOKUP($A7,Sheet1!$A$3:$AW$699,5,FALSE)="","",VLOOKUP($A7,Sheet1!$A$3:$AW$699,5,FALSE))</f>
        <v>UDINT</v>
      </c>
      <c r="J7" s="19" t="s">
        <v>410</v>
      </c>
      <c r="K7" s="19" t="s">
        <v>411</v>
      </c>
      <c r="L7" s="146" t="str">
        <f>IF(VLOOKUP($A7,Sheet1!$A$3:$AW$699,7,FALSE)="★","x","")</f>
        <v/>
      </c>
      <c r="M7" s="146" t="str">
        <f>IF(VLOOKUP($A7,Sheet1!$A$3:$AW$699,8,FALSE)="▲","x","")</f>
        <v>x</v>
      </c>
      <c r="N7" s="146" t="str">
        <f>IF(VLOOKUP($A7,Sheet1!$A$3:$AW$699,9,FALSE)="●","x","")</f>
        <v>x</v>
      </c>
      <c r="O7" s="146" t="str">
        <f>IF(VLOOKUP($A7,Sheet1!$A$3:$AW$699,10,FALSE)="■","x","")</f>
        <v/>
      </c>
      <c r="P7" s="9" t="str">
        <f>IF(VLOOKUP($A7,Sheet1!$A$3:$AW$699,2,FALSE)="","",VLOOKUP($A7,Sheet1!$A$3:$AW$699,2,FALSE))</f>
        <v>P3.039</v>
      </c>
    </row>
    <row r="8" spans="1:16" ht="20.399999999999999" x14ac:dyDescent="0.3">
      <c r="A8" s="19">
        <v>271</v>
      </c>
      <c r="B8" s="9" t="str">
        <f>IF(VLOOKUP($A8,Sheet1!$A$3:$AW$699,20,FALSE)="","",VLOOKUP($A8,Sheet1!$A$3:$AW$699,20,FALSE))</f>
        <v>SubnetMask</v>
      </c>
      <c r="C8" s="9" t="str">
        <f>IF(VLOOKUP($A8,Sheet1!$A$3:$AW$699,25,FALSE)="","",VLOOKUP($A8,Sheet1!$A$3:$AW$699,25,FALSE))</f>
        <v>All</v>
      </c>
      <c r="D8" s="142">
        <f>IF(VLOOKUP($A8,Sheet1!$A$3:$AW$699,15,FALSE)="","",VLOOKUP($A8,Sheet1!$A$3:$AW$699,15,FALSE))</f>
        <v>0</v>
      </c>
      <c r="E8" s="142" t="str">
        <f>IF(VLOOKUP($A8,Sheet1!$A$3:$AW$699,16,FALSE)="","",VLOOKUP($A8,Sheet1!$A$3:$AW$699,16,FALSE))</f>
        <v>0xFFFFFFFF</v>
      </c>
      <c r="F8" s="142" t="str">
        <f>IF(VLOOKUP($A8,Sheet1!$A$3:$AW$699,17,FALSE)="","",VLOOKUP($A8,Sheet1!$A$3:$AW$699,17,FALSE))</f>
        <v>0xFFFFFF00</v>
      </c>
      <c r="G8" s="142" t="str">
        <f>IF(VLOOKUP($A8,Sheet1!$A$3:$AW$699,18,FALSE)="","",VLOOKUP($A8,Sheet1!$A$3:$AW$699,18,FALSE))</f>
        <v/>
      </c>
      <c r="H8" s="142" t="str">
        <f>IF(VLOOKUP($A8,Sheet1!$A$3:$AW$699,19,FALSE)="","",VLOOKUP($A8,Sheet1!$A$3:$AW$699,19,FALSE))</f>
        <v/>
      </c>
      <c r="I8" s="9" t="str">
        <f>IF(VLOOKUP($A8,Sheet1!$A$3:$AW$699,5,FALSE)="","",VLOOKUP($A8,Sheet1!$A$3:$AW$699,5,FALSE))</f>
        <v>UDINT</v>
      </c>
      <c r="J8" s="19" t="s">
        <v>412</v>
      </c>
      <c r="K8" s="19" t="s">
        <v>411</v>
      </c>
      <c r="L8" s="146" t="str">
        <f>IF(VLOOKUP($A8,Sheet1!$A$3:$AW$699,7,FALSE)="★","x","")</f>
        <v/>
      </c>
      <c r="M8" s="146" t="str">
        <f>IF(VLOOKUP($A8,Sheet1!$A$3:$AW$699,8,FALSE)="▲","x","")</f>
        <v>x</v>
      </c>
      <c r="N8" s="146" t="str">
        <f>IF(VLOOKUP($A8,Sheet1!$A$3:$AW$699,9,FALSE)="●","x","")</f>
        <v>x</v>
      </c>
      <c r="O8" s="146" t="str">
        <f>IF(VLOOKUP($A8,Sheet1!$A$3:$AW$699,10,FALSE)="■","x","")</f>
        <v/>
      </c>
      <c r="P8" s="9" t="str">
        <f>IF(VLOOKUP($A8,Sheet1!$A$3:$AW$699,2,FALSE)="","",VLOOKUP($A8,Sheet1!$A$3:$AW$699,2,FALSE))</f>
        <v>P3.040</v>
      </c>
    </row>
    <row r="9" spans="1:16" ht="20.399999999999999" x14ac:dyDescent="0.3">
      <c r="A9" s="19">
        <v>272</v>
      </c>
      <c r="B9" s="9" t="str">
        <f>IF(VLOOKUP($A9,Sheet1!$A$3:$AW$699,20,FALSE)="","",VLOOKUP($A9,Sheet1!$A$3:$AW$699,20,FALSE))</f>
        <v>DefaultGateway</v>
      </c>
      <c r="C9" s="9" t="str">
        <f>IF(VLOOKUP($A9,Sheet1!$A$3:$AW$699,25,FALSE)="","",VLOOKUP($A9,Sheet1!$A$3:$AW$699,25,FALSE))</f>
        <v>All</v>
      </c>
      <c r="D9" s="142">
        <f>IF(VLOOKUP($A9,Sheet1!$A$3:$AW$699,15,FALSE)="","",VLOOKUP($A9,Sheet1!$A$3:$AW$699,15,FALSE))</f>
        <v>0</v>
      </c>
      <c r="E9" s="142" t="str">
        <f>IF(VLOOKUP($A9,Sheet1!$A$3:$AW$699,16,FALSE)="","",VLOOKUP($A9,Sheet1!$A$3:$AW$699,16,FALSE))</f>
        <v>0xFFFFFFFF</v>
      </c>
      <c r="F9" s="142" t="str">
        <f>IF(VLOOKUP($A9,Sheet1!$A$3:$AW$699,17,FALSE)="","",VLOOKUP($A9,Sheet1!$A$3:$AW$699,17,FALSE))</f>
        <v>0xC0A801FE</v>
      </c>
      <c r="G9" s="142" t="str">
        <f>IF(VLOOKUP($A9,Sheet1!$A$3:$AW$699,18,FALSE)="","",VLOOKUP($A9,Sheet1!$A$3:$AW$699,18,FALSE))</f>
        <v/>
      </c>
      <c r="H9" s="142" t="str">
        <f>IF(VLOOKUP($A9,Sheet1!$A$3:$AW$699,19,FALSE)="","",VLOOKUP($A9,Sheet1!$A$3:$AW$699,19,FALSE))</f>
        <v/>
      </c>
      <c r="I9" s="9" t="str">
        <f>IF(VLOOKUP($A9,Sheet1!$A$3:$AW$699,5,FALSE)="","",VLOOKUP($A9,Sheet1!$A$3:$AW$699,5,FALSE))</f>
        <v>UDINT</v>
      </c>
      <c r="J9" s="19" t="s">
        <v>413</v>
      </c>
      <c r="K9" s="19" t="s">
        <v>411</v>
      </c>
      <c r="L9" s="146" t="str">
        <f>IF(VLOOKUP($A9,Sheet1!$A$3:$AW$699,7,FALSE)="★","x","")</f>
        <v/>
      </c>
      <c r="M9" s="146" t="str">
        <f>IF(VLOOKUP($A9,Sheet1!$A$3:$AW$699,8,FALSE)="▲","x","")</f>
        <v>x</v>
      </c>
      <c r="N9" s="146" t="str">
        <f>IF(VLOOKUP($A9,Sheet1!$A$3:$AW$699,9,FALSE)="●","x","")</f>
        <v>x</v>
      </c>
      <c r="O9" s="146" t="str">
        <f>IF(VLOOKUP($A9,Sheet1!$A$3:$AW$699,10,FALSE)="■","x","")</f>
        <v/>
      </c>
      <c r="P9" s="9" t="str">
        <f>IF(VLOOKUP($A9,Sheet1!$A$3:$AW$699,2,FALSE)="","",VLOOKUP($A9,Sheet1!$A$3:$AW$699,2,FALSE))</f>
        <v>P3.041</v>
      </c>
    </row>
    <row r="10" spans="1:16" ht="30.6" x14ac:dyDescent="0.3">
      <c r="A10" s="19">
        <v>273</v>
      </c>
      <c r="B10" s="9" t="str">
        <f>IF(VLOOKUP($A10,Sheet1!$A$3:$AW$699,20,FALSE)="","",VLOOKUP($A10,Sheet1!$A$3:$AW$699,20,FALSE))</f>
        <v>DHCPEnable</v>
      </c>
      <c r="C10" s="9" t="str">
        <f>IF(VLOOKUP($A10,Sheet1!$A$3:$AW$699,25,FALSE)="","",VLOOKUP($A10,Sheet1!$A$3:$AW$699,25,FALSE))</f>
        <v>All</v>
      </c>
      <c r="D10" s="142">
        <f>IF(VLOOKUP($A10,Sheet1!$A$3:$AW$699,15,FALSE)="","",VLOOKUP($A10,Sheet1!$A$3:$AW$699,15,FALSE))</f>
        <v>0</v>
      </c>
      <c r="E10" s="142">
        <f>IF(VLOOKUP($A10,Sheet1!$A$3:$AW$699,16,FALSE)="","",VLOOKUP($A10,Sheet1!$A$3:$AW$699,16,FALSE))</f>
        <v>1</v>
      </c>
      <c r="F10" s="142">
        <f>IF(VLOOKUP($A10,Sheet1!$A$3:$AW$699,17,FALSE)="","",VLOOKUP($A10,Sheet1!$A$3:$AW$699,17,FALSE))</f>
        <v>0</v>
      </c>
      <c r="G10" s="142" t="str">
        <f>IF(VLOOKUP($A10,Sheet1!$A$3:$AW$699,18,FALSE)="","",VLOOKUP($A10,Sheet1!$A$3:$AW$699,18,FALSE))</f>
        <v/>
      </c>
      <c r="H10" s="142" t="str">
        <f>IF(VLOOKUP($A10,Sheet1!$A$3:$AW$699,19,FALSE)="","",VLOOKUP($A10,Sheet1!$A$3:$AW$699,19,FALSE))</f>
        <v/>
      </c>
      <c r="I10" s="9" t="str">
        <f>IF(VLOOKUP($A10,Sheet1!$A$3:$AW$699,5,FALSE)="","",VLOOKUP($A10,Sheet1!$A$3:$AW$699,5,FALSE))</f>
        <v>UDINT</v>
      </c>
      <c r="J10" s="19" t="s">
        <v>414</v>
      </c>
      <c r="K10" s="19" t="s">
        <v>411</v>
      </c>
      <c r="L10" s="146" t="str">
        <f>IF(VLOOKUP($A10,Sheet1!$A$3:$AW$699,7,FALSE)="★","x","")</f>
        <v/>
      </c>
      <c r="M10" s="146" t="str">
        <f>IF(VLOOKUP($A10,Sheet1!$A$3:$AW$699,8,FALSE)="▲","x","")</f>
        <v>x</v>
      </c>
      <c r="N10" s="146" t="str">
        <f>IF(VLOOKUP($A10,Sheet1!$A$3:$AW$699,9,FALSE)="●","x","")</f>
        <v>x</v>
      </c>
      <c r="O10" s="146" t="str">
        <f>IF(VLOOKUP($A10,Sheet1!$A$3:$AW$699,10,FALSE)="■","x","")</f>
        <v/>
      </c>
      <c r="P10" s="9" t="str">
        <f>IF(VLOOKUP($A10,Sheet1!$A$3:$AW$699,2,FALSE)="","",VLOOKUP($A10,Sheet1!$A$3:$AW$699,2,FALSE))</f>
        <v>P3.042</v>
      </c>
    </row>
    <row r="11" spans="1:16" ht="112.2" x14ac:dyDescent="0.3">
      <c r="A11" s="19">
        <v>650</v>
      </c>
      <c r="B11" s="9" t="str">
        <f>IF(VLOOKUP($A11,Sheet1!$A$3:$AW$699,20,FALSE)="","",VLOOKUP($A11,Sheet1!$A$3:$AW$699,20,FALSE))</f>
        <v>EnableCommunicationPorts</v>
      </c>
      <c r="C11" s="9" t="str">
        <f>IF(VLOOKUP($A11,Sheet1!$A$3:$AW$699,25,FALSE)="","",VLOOKUP($A11,Sheet1!$A$3:$AW$699,25,FALSE))</f>
        <v>All</v>
      </c>
      <c r="D11" s="142">
        <f>IF(VLOOKUP($A11,Sheet1!$A$3:$AW$699,15,FALSE)="","",VLOOKUP($A11,Sheet1!$A$3:$AW$699,15,FALSE))</f>
        <v>0</v>
      </c>
      <c r="E11" s="142" t="str">
        <f>IF(VLOOKUP($A11,Sheet1!$A$3:$AW$699,16,FALSE)="","",VLOOKUP($A11,Sheet1!$A$3:$AW$699,16,FALSE))</f>
        <v>0xC107</v>
      </c>
      <c r="F11" s="142" t="str">
        <f>IF(VLOOKUP($A11,Sheet1!$A$3:$AW$699,17,FALSE)="","",VLOOKUP($A11,Sheet1!$A$3:$AW$699,17,FALSE))</f>
        <v>0x0007</v>
      </c>
      <c r="G11" s="142" t="str">
        <f>IF(VLOOKUP($A11,Sheet1!$A$3:$AW$699,18,FALSE)="","",VLOOKUP($A11,Sheet1!$A$3:$AW$699,18,FALSE))</f>
        <v/>
      </c>
      <c r="H11" s="142" t="str">
        <f>IF(VLOOKUP($A11,Sheet1!$A$3:$AW$699,19,FALSE)="","",VLOOKUP($A11,Sheet1!$A$3:$AW$699,19,FALSE))</f>
        <v/>
      </c>
      <c r="I11" s="9" t="str">
        <f>IF(VLOOKUP($A11,Sheet1!$A$3:$AW$699,5,FALSE)="","",VLOOKUP($A11,Sheet1!$A$3:$AW$699,5,FALSE))</f>
        <v>UINT</v>
      </c>
      <c r="J11" s="19" t="s">
        <v>415</v>
      </c>
      <c r="K11" s="19" t="s">
        <v>408</v>
      </c>
      <c r="L11" s="146" t="str">
        <f>IF(VLOOKUP($A11,Sheet1!$A$3:$AW$699,7,FALSE)="★","x","")</f>
        <v/>
      </c>
      <c r="M11" s="146" t="str">
        <f>IF(VLOOKUP($A11,Sheet1!$A$3:$AW$699,8,FALSE)="▲","x","")</f>
        <v>x</v>
      </c>
      <c r="N11" s="146" t="str">
        <f>IF(VLOOKUP($A11,Sheet1!$A$3:$AW$699,9,FALSE)="●","x","")</f>
        <v/>
      </c>
      <c r="O11" s="146" t="str">
        <f>IF(VLOOKUP($A11,Sheet1!$A$3:$AW$699,10,FALSE)="■","x","")</f>
        <v/>
      </c>
      <c r="P11" s="9" t="str">
        <f>IF(VLOOKUP($A11,Sheet1!$A$3:$AW$699,2,FALSE)="","",VLOOKUP($A11,Sheet1!$A$3:$AW$699,2,FALSE))</f>
        <v>PN.026</v>
      </c>
    </row>
  </sheetData>
  <mergeCells count="2">
    <mergeCell ref="A1:B1"/>
    <mergeCell ref="A2:B2"/>
  </mergeCells>
  <hyperlinks>
    <hyperlink ref="A2" r:id="rId1" display="Kinetix 5100 Servo Drive User Manual, publication 2198-UM004" xr:uid="{14EEC2E0-B92E-4B89-8A7D-E54FAC09F483}"/>
  </hyperlinks>
  <pageMargins left="0.7" right="0.7" top="0.75" bottom="0.75" header="0.3" footer="0.3"/>
  <pageSetup paperSize="17" scale="94" fitToHeight="0" orientation="landscape"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FC137-1F4E-4FCC-9DD7-47C2D2E6FD5A}">
  <sheetPr>
    <pageSetUpPr fitToPage="1"/>
  </sheetPr>
  <dimension ref="A1:P13"/>
  <sheetViews>
    <sheetView zoomScaleNormal="100" workbookViewId="0">
      <pane xSplit="2" ySplit="4" topLeftCell="C5" activePane="bottomRight" state="frozen"/>
      <selection pane="topRight" activeCell="F18" sqref="F18"/>
      <selection pane="bottomLeft" activeCell="F18" sqref="F18"/>
      <selection pane="bottomRight" activeCell="G5" sqref="G5"/>
    </sheetView>
  </sheetViews>
  <sheetFormatPr defaultColWidth="9.109375" defaultRowHeight="14.4" x14ac:dyDescent="0.3"/>
  <cols>
    <col min="1" max="1" width="5.6640625" style="144" customWidth="1"/>
    <col min="2" max="2" width="30.6640625" style="144" customWidth="1"/>
    <col min="3" max="3" width="10.6640625" style="144" customWidth="1"/>
    <col min="4" max="4" width="11.33203125" style="143" customWidth="1"/>
    <col min="5" max="5" width="13.109375" style="143" customWidth="1"/>
    <col min="6" max="7" width="15.44140625" style="143" customWidth="1"/>
    <col min="8" max="8" width="10.6640625" style="143" customWidth="1"/>
    <col min="9" max="9" width="10.6640625" style="144" customWidth="1"/>
    <col min="10" max="10" width="45.6640625" style="144" customWidth="1"/>
    <col min="11" max="11" width="10.6640625" style="144" customWidth="1"/>
    <col min="12" max="15" width="10.6640625" style="15" customWidth="1"/>
    <col min="16" max="16" width="10.6640625" style="144" customWidth="1"/>
    <col min="17" max="16384" width="9.109375" style="144"/>
  </cols>
  <sheetData>
    <row r="1" spans="1:16" ht="30" customHeight="1" x14ac:dyDescent="0.3">
      <c r="A1" s="224" t="s">
        <v>29</v>
      </c>
      <c r="B1" s="224"/>
      <c r="C1" s="224"/>
      <c r="D1" s="224"/>
      <c r="E1" s="224"/>
      <c r="F1" s="224"/>
      <c r="G1" s="224"/>
      <c r="H1" s="224"/>
      <c r="I1" s="224"/>
      <c r="J1" s="224"/>
    </row>
    <row r="2" spans="1:16" ht="22.95" customHeight="1" x14ac:dyDescent="0.3">
      <c r="A2" s="225" t="s">
        <v>30</v>
      </c>
      <c r="B2" s="225"/>
      <c r="J2" s="212"/>
    </row>
    <row r="3" spans="1:16" x14ac:dyDescent="0.3">
      <c r="J3" s="212"/>
    </row>
    <row r="4" spans="1:16" ht="20.399999999999999" x14ac:dyDescent="0.3">
      <c r="A4" s="4" t="s">
        <v>31</v>
      </c>
      <c r="B4" s="4" t="s">
        <v>32</v>
      </c>
      <c r="C4" s="4" t="s">
        <v>33</v>
      </c>
      <c r="D4" s="4" t="s">
        <v>34</v>
      </c>
      <c r="E4" s="4" t="s">
        <v>35</v>
      </c>
      <c r="F4" s="4" t="s">
        <v>36</v>
      </c>
      <c r="G4" s="18" t="s">
        <v>37</v>
      </c>
      <c r="H4" s="4" t="s">
        <v>38</v>
      </c>
      <c r="I4" s="4" t="s">
        <v>39</v>
      </c>
      <c r="J4" s="4" t="s">
        <v>40</v>
      </c>
      <c r="K4" s="4" t="s">
        <v>41</v>
      </c>
      <c r="L4" s="4" t="s">
        <v>42</v>
      </c>
      <c r="M4" s="4" t="s">
        <v>43</v>
      </c>
      <c r="N4" s="4" t="s">
        <v>44</v>
      </c>
      <c r="O4" s="4" t="s">
        <v>45</v>
      </c>
      <c r="P4" s="4" t="s">
        <v>46</v>
      </c>
    </row>
    <row r="5" spans="1:16" ht="40.799999999999997" x14ac:dyDescent="0.3">
      <c r="A5" s="9">
        <v>101</v>
      </c>
      <c r="B5" s="9" t="str">
        <f>IF(VLOOKUP($A5,Sheet1!$A$3:$AW$699,20,FALSE)="","",VLOOKUP($A5,Sheet1!$A$3:$AW$699,20,FALSE))</f>
        <v>FltWarnCode</v>
      </c>
      <c r="C5" s="9" t="str">
        <f>IF(VLOOKUP($A5,Sheet1!$A$3:$AW$699,25,FALSE)="","",VLOOKUP($A5,Sheet1!$A$3:$AW$699,25,FALSE))</f>
        <v>All</v>
      </c>
      <c r="D5" s="142" t="str">
        <f>IF(VLOOKUP($A5,Sheet1!$A$3:$AW$699,15,FALSE)="","",VLOOKUP($A5,Sheet1!$A$3:$AW$699,15,FALSE))</f>
        <v>0x0000</v>
      </c>
      <c r="E5" s="142" t="str">
        <f>IF(VLOOKUP($A5,Sheet1!$A$3:$AW$699,16,FALSE)="","",VLOOKUP($A5,Sheet1!$A$3:$AW$699,16,FALSE))</f>
        <v>0xFFFF</v>
      </c>
      <c r="F5" s="142" t="str">
        <f>IF(VLOOKUP($A5,Sheet1!$A$3:$AW$699,17,FALSE)="","",VLOOKUP($A5,Sheet1!$A$3:$AW$699,17,FALSE))</f>
        <v>0x0000</v>
      </c>
      <c r="G5" s="142" t="str">
        <f>IF(VLOOKUP($A5,Sheet1!$A$3:$AW$699,18,FALSE)="","",VLOOKUP($A5,Sheet1!$A$3:$AW$699,18,FALSE))</f>
        <v/>
      </c>
      <c r="H5" s="142" t="str">
        <f>IF(VLOOKUP($A5,Sheet1!$A$3:$AW$699,19,FALSE)="","",VLOOKUP($A5,Sheet1!$A$3:$AW$699,19,FALSE))</f>
        <v/>
      </c>
      <c r="I5" s="9" t="str">
        <f>IF(VLOOKUP($A5,Sheet1!$A$3:$AW$699,5,FALSE)="","",VLOOKUP($A5,Sheet1!$A$3:$AW$699,5,FALSE))</f>
        <v>UINT</v>
      </c>
      <c r="J5" s="20" t="s">
        <v>416</v>
      </c>
      <c r="K5" s="9" t="s">
        <v>417</v>
      </c>
      <c r="L5" s="146" t="str">
        <f>IF(VLOOKUP($A5,Sheet1!$A$3:$AW$699,7,FALSE)="★","x","")</f>
        <v/>
      </c>
      <c r="M5" s="146" t="str">
        <f>IF(VLOOKUP($A5,Sheet1!$A$3:$AW$699,8,FALSE)="▲","x","")</f>
        <v/>
      </c>
      <c r="N5" s="146" t="str">
        <f>IF(VLOOKUP($A5,Sheet1!$A$3:$AW$699,9,FALSE)="●","x","")</f>
        <v/>
      </c>
      <c r="O5" s="146" t="str">
        <f>IF(VLOOKUP($A5,Sheet1!$A$3:$AW$699,10,FALSE)="■","x","")</f>
        <v>x</v>
      </c>
      <c r="P5" s="9" t="str">
        <f>IF(VLOOKUP($A5,Sheet1!$A$3:$AW$699,2,FALSE)="","",VLOOKUP($A5,Sheet1!$A$3:$AW$699,2,FALSE))</f>
        <v>P0.001</v>
      </c>
    </row>
    <row r="6" spans="1:16" ht="71.400000000000006" x14ac:dyDescent="0.3">
      <c r="A6" s="9">
        <v>104</v>
      </c>
      <c r="B6" s="9" t="str">
        <f>IF(VLOOKUP($A6,Sheet1!$A$3:$AW$699,20,FALSE)="","",VLOOKUP($A6,Sheet1!$A$3:$AW$699,20,FALSE))</f>
        <v>PowerOnTime</v>
      </c>
      <c r="C6" s="9" t="str">
        <f>IF(VLOOKUP($A6,Sheet1!$A$3:$AW$699,25,FALSE)="","",VLOOKUP($A6,Sheet1!$A$3:$AW$699,25,FALSE))</f>
        <v>All</v>
      </c>
      <c r="D6" s="142" t="str">
        <f>IF(VLOOKUP($A6,Sheet1!$A$3:$AW$699,15,FALSE)="","",VLOOKUP($A6,Sheet1!$A$3:$AW$699,15,FALSE))</f>
        <v>0x00000000</v>
      </c>
      <c r="E6" s="142" t="str">
        <f>IF(VLOOKUP($A6,Sheet1!$A$3:$AW$699,16,FALSE)="","",VLOOKUP($A6,Sheet1!$A$3:$AW$699,16,FALSE))</f>
        <v>0xFFFFFFFF</v>
      </c>
      <c r="F6" s="142" t="str">
        <f>IF(VLOOKUP($A6,Sheet1!$A$3:$AW$699,17,FALSE)="","",VLOOKUP($A6,Sheet1!$A$3:$AW$699,17,FALSE))</f>
        <v>0x00000000</v>
      </c>
      <c r="G6" s="142" t="str">
        <f>IF(VLOOKUP($A6,Sheet1!$A$3:$AW$699,18,FALSE)="","",VLOOKUP($A6,Sheet1!$A$3:$AW$699,18,FALSE))</f>
        <v/>
      </c>
      <c r="H6" s="142" t="str">
        <f>IF(VLOOKUP($A6,Sheet1!$A$3:$AW$699,19,FALSE)="","",VLOOKUP($A6,Sheet1!$A$3:$AW$699,19,FALSE))</f>
        <v>Hour</v>
      </c>
      <c r="I6" s="9" t="str">
        <f>IF(VLOOKUP($A6,Sheet1!$A$3:$AW$699,5,FALSE)="","",VLOOKUP($A6,Sheet1!$A$3:$AW$699,5,FALSE))</f>
        <v>UDINT</v>
      </c>
      <c r="J6" s="21" t="s">
        <v>418</v>
      </c>
      <c r="K6" s="9" t="s">
        <v>417</v>
      </c>
      <c r="L6" s="146" t="str">
        <f>IF(VLOOKUP($A6,Sheet1!$A$3:$AW$699,7,FALSE)="★","x","")</f>
        <v>x</v>
      </c>
      <c r="M6" s="146" t="str">
        <f>IF(VLOOKUP($A6,Sheet1!$A$3:$AW$699,8,FALSE)="▲","x","")</f>
        <v/>
      </c>
      <c r="N6" s="146" t="str">
        <f>IF(VLOOKUP($A6,Sheet1!$A$3:$AW$699,9,FALSE)="●","x","")</f>
        <v/>
      </c>
      <c r="O6" s="146" t="str">
        <f>IF(VLOOKUP($A6,Sheet1!$A$3:$AW$699,10,FALSE)="■","x","")</f>
        <v/>
      </c>
      <c r="P6" s="9" t="str">
        <f>IF(VLOOKUP($A6,Sheet1!$A$3:$AW$699,2,FALSE)="","",VLOOKUP($A6,Sheet1!$A$3:$AW$699,2,FALSE))</f>
        <v>P0.008</v>
      </c>
    </row>
    <row r="7" spans="1:16" ht="183.6" x14ac:dyDescent="0.3">
      <c r="A7" s="9">
        <v>109</v>
      </c>
      <c r="B7" s="9" t="str">
        <f>IF(VLOOKUP($A7,Sheet1!$A$3:$AW$699,20,FALSE)="","",VLOOKUP($A7,Sheet1!$A$3:$AW$699,20,FALSE))</f>
        <v>AbsSysStatus</v>
      </c>
      <c r="C7" s="9" t="str">
        <f>IF(VLOOKUP($A7,Sheet1!$A$3:$AW$699,25,FALSE)="","",VLOOKUP($A7,Sheet1!$A$3:$AW$699,25,FALSE))</f>
        <v>All</v>
      </c>
      <c r="D7" s="142" t="str">
        <f>IF(VLOOKUP($A7,Sheet1!$A$3:$AW$699,15,FALSE)="","",VLOOKUP($A7,Sheet1!$A$3:$AW$699,15,FALSE))</f>
        <v>0x0000</v>
      </c>
      <c r="E7" s="142" t="str">
        <f>IF(VLOOKUP($A7,Sheet1!$A$3:$AW$699,16,FALSE)="","",VLOOKUP($A7,Sheet1!$A$3:$AW$699,16,FALSE))</f>
        <v>0x001F</v>
      </c>
      <c r="F7" s="142" t="str">
        <f>IF(VLOOKUP($A7,Sheet1!$A$3:$AW$699,17,FALSE)="","",VLOOKUP($A7,Sheet1!$A$3:$AW$699,17,FALSE))</f>
        <v>0x0000</v>
      </c>
      <c r="G7" s="142" t="str">
        <f>IF(VLOOKUP($A7,Sheet1!$A$3:$AW$699,18,FALSE)="","",VLOOKUP($A7,Sheet1!$A$3:$AW$699,18,FALSE))</f>
        <v/>
      </c>
      <c r="H7" s="142" t="str">
        <f>IF(VLOOKUP($A7,Sheet1!$A$3:$AW$699,19,FALSE)="","",VLOOKUP($A7,Sheet1!$A$3:$AW$699,19,FALSE))</f>
        <v/>
      </c>
      <c r="I7" s="9" t="str">
        <f>IF(VLOOKUP($A7,Sheet1!$A$3:$AW$699,5,FALSE)="","",VLOOKUP($A7,Sheet1!$A$3:$AW$699,5,FALSE))</f>
        <v>UINT</v>
      </c>
      <c r="J7" s="22" t="s">
        <v>419</v>
      </c>
      <c r="K7" s="9" t="s">
        <v>417</v>
      </c>
      <c r="L7" s="146" t="str">
        <f>IF(VLOOKUP($A7,Sheet1!$A$3:$AW$699,7,FALSE)="★","x","")</f>
        <v>x</v>
      </c>
      <c r="M7" s="146" t="str">
        <f>IF(VLOOKUP($A7,Sheet1!$A$3:$AW$699,8,FALSE)="▲","x","")</f>
        <v/>
      </c>
      <c r="N7" s="146" t="str">
        <f>IF(VLOOKUP($A7,Sheet1!$A$3:$AW$699,9,FALSE)="●","x","")</f>
        <v/>
      </c>
      <c r="O7" s="146" t="str">
        <f>IF(VLOOKUP($A7,Sheet1!$A$3:$AW$699,10,FALSE)="■","x","")</f>
        <v>x</v>
      </c>
      <c r="P7" s="9" t="str">
        <f>IF(VLOOKUP($A7,Sheet1!$A$3:$AW$699,2,FALSE)="","",VLOOKUP($A7,Sheet1!$A$3:$AW$699,2,FALSE))</f>
        <v>P0.050</v>
      </c>
    </row>
    <row r="8" spans="1:16" ht="20.399999999999999" x14ac:dyDescent="0.3">
      <c r="A8" s="9">
        <v>115</v>
      </c>
      <c r="B8" s="9" t="str">
        <f>IF(VLOOKUP($A8,Sheet1!$A$3:$AW$699,20,FALSE)="","",VLOOKUP($A8,Sheet1!$A$3:$AW$699,20,FALSE))</f>
        <v>Exceed400VDuration</v>
      </c>
      <c r="C8" s="9" t="str">
        <f>IF(VLOOKUP($A8,Sheet1!$A$3:$AW$699,25,FALSE)="","",VLOOKUP($A8,Sheet1!$A$3:$AW$699,25,FALSE))</f>
        <v>All</v>
      </c>
      <c r="D8" s="142">
        <f>IF(VLOOKUP($A8,Sheet1!$A$3:$AW$699,15,FALSE)="","",VLOOKUP($A8,Sheet1!$A$3:$AW$699,15,FALSE))</f>
        <v>0</v>
      </c>
      <c r="E8" s="142">
        <f>IF(VLOOKUP($A8,Sheet1!$A$3:$AW$699,16,FALSE)="","",VLOOKUP($A8,Sheet1!$A$3:$AW$699,16,FALSE))</f>
        <v>2147483647</v>
      </c>
      <c r="F8" s="142">
        <f>IF(VLOOKUP($A8,Sheet1!$A$3:$AW$699,17,FALSE)="","",VLOOKUP($A8,Sheet1!$A$3:$AW$699,17,FALSE))</f>
        <v>0</v>
      </c>
      <c r="G8" s="142" t="str">
        <f>IF(VLOOKUP($A8,Sheet1!$A$3:$AW$699,18,FALSE)="","",VLOOKUP($A8,Sheet1!$A$3:$AW$699,18,FALSE))</f>
        <v/>
      </c>
      <c r="H8" s="142" t="str">
        <f>IF(VLOOKUP($A8,Sheet1!$A$3:$AW$699,19,FALSE)="","",VLOOKUP($A8,Sheet1!$A$3:$AW$699,19,FALSE))</f>
        <v>ms</v>
      </c>
      <c r="I8" s="9" t="str">
        <f>IF(VLOOKUP($A8,Sheet1!$A$3:$AW$699,5,FALSE)="","",VLOOKUP($A8,Sheet1!$A$3:$AW$699,5,FALSE))</f>
        <v>DINT</v>
      </c>
      <c r="J8" s="20" t="s">
        <v>420</v>
      </c>
      <c r="K8" s="9" t="s">
        <v>417</v>
      </c>
      <c r="L8" s="146" t="str">
        <f>IF(VLOOKUP($A8,Sheet1!$A$3:$AW$699,7,FALSE)="★","x","")</f>
        <v>x</v>
      </c>
      <c r="M8" s="146" t="str">
        <f>IF(VLOOKUP($A8,Sheet1!$A$3:$AW$699,8,FALSE)="▲","x","")</f>
        <v/>
      </c>
      <c r="N8" s="146" t="str">
        <f>IF(VLOOKUP($A8,Sheet1!$A$3:$AW$699,9,FALSE)="●","x","")</f>
        <v/>
      </c>
      <c r="O8" s="146" t="str">
        <f>IF(VLOOKUP($A8,Sheet1!$A$3:$AW$699,10,FALSE)="■","x","")</f>
        <v/>
      </c>
      <c r="P8" s="9" t="str">
        <f>IF(VLOOKUP($A8,Sheet1!$A$3:$AW$699,2,FALSE)="","",VLOOKUP($A8,Sheet1!$A$3:$AW$699,2,FALSE))</f>
        <v>P0.063</v>
      </c>
    </row>
    <row r="9" spans="1:16" ht="61.2" x14ac:dyDescent="0.3">
      <c r="A9" s="9">
        <v>274</v>
      </c>
      <c r="B9" s="9" t="str">
        <f>IF(VLOOKUP($A9,Sheet1!$A$3:$AW$699,20,FALSE)="","",VLOOKUP($A9,Sheet1!$A$3:$AW$699,20,FALSE))</f>
        <v>FaultRecordN</v>
      </c>
      <c r="C9" s="9" t="str">
        <f>IF(VLOOKUP($A9,Sheet1!$A$3:$AW$699,25,FALSE)="","",VLOOKUP($A9,Sheet1!$A$3:$AW$699,25,FALSE))</f>
        <v>All</v>
      </c>
      <c r="D9" s="142" t="str">
        <f>IF(VLOOKUP($A9,Sheet1!$A$3:$AW$699,15,FALSE)="","",VLOOKUP($A9,Sheet1!$A$3:$AW$699,15,FALSE))</f>
        <v>0x00000000</v>
      </c>
      <c r="E9" s="142" t="str">
        <f>IF(VLOOKUP($A9,Sheet1!$A$3:$AW$699,16,FALSE)="","",VLOOKUP($A9,Sheet1!$A$3:$AW$699,16,FALSE))</f>
        <v>0xFFFFFFFF</v>
      </c>
      <c r="F9" s="142" t="str">
        <f>IF(VLOOKUP($A9,Sheet1!$A$3:$AW$699,17,FALSE)="","",VLOOKUP($A9,Sheet1!$A$3:$AW$699,17,FALSE))</f>
        <v>0x00000000</v>
      </c>
      <c r="G9" s="142" t="str">
        <f>IF(VLOOKUP($A9,Sheet1!$A$3:$AW$699,18,FALSE)="","",VLOOKUP($A9,Sheet1!$A$3:$AW$699,18,FALSE))</f>
        <v/>
      </c>
      <c r="H9" s="142" t="str">
        <f>IF(VLOOKUP($A9,Sheet1!$A$3:$AW$699,19,FALSE)="","",VLOOKUP($A9,Sheet1!$A$3:$AW$699,19,FALSE))</f>
        <v/>
      </c>
      <c r="I9" s="9" t="str">
        <f>IF(VLOOKUP($A9,Sheet1!$A$3:$AW$699,5,FALSE)="","",VLOOKUP($A9,Sheet1!$A$3:$AW$699,5,FALSE))</f>
        <v>UDINT</v>
      </c>
      <c r="J9" s="20" t="s">
        <v>421</v>
      </c>
      <c r="K9" s="9" t="s">
        <v>417</v>
      </c>
      <c r="L9" s="146" t="str">
        <f>IF(VLOOKUP($A9,Sheet1!$A$3:$AW$699,7,FALSE)="★","x","")</f>
        <v/>
      </c>
      <c r="M9" s="146" t="str">
        <f>IF(VLOOKUP($A9,Sheet1!$A$3:$AW$699,8,FALSE)="▲","x","")</f>
        <v/>
      </c>
      <c r="N9" s="146" t="str">
        <f>IF(VLOOKUP($A9,Sheet1!$A$3:$AW$699,9,FALSE)="●","x","")</f>
        <v/>
      </c>
      <c r="O9" s="146" t="str">
        <f>IF(VLOOKUP($A9,Sheet1!$A$3:$AW$699,10,FALSE)="■","x","")</f>
        <v>x</v>
      </c>
      <c r="P9" s="9" t="str">
        <f>IF(VLOOKUP($A9,Sheet1!$A$3:$AW$699,2,FALSE)="","",VLOOKUP($A9,Sheet1!$A$3:$AW$699,2,FALSE))</f>
        <v>P4.000</v>
      </c>
    </row>
    <row r="10" spans="1:16" ht="51" x14ac:dyDescent="0.3">
      <c r="A10" s="9">
        <v>275</v>
      </c>
      <c r="B10" s="9" t="str">
        <f>IF(VLOOKUP($A10,Sheet1!$A$3:$AW$699,20,FALSE)="","",VLOOKUP($A10,Sheet1!$A$3:$AW$699,20,FALSE))</f>
        <v>FaultRecordN1</v>
      </c>
      <c r="C10" s="9" t="str">
        <f>IF(VLOOKUP($A10,Sheet1!$A$3:$AW$699,25,FALSE)="","",VLOOKUP($A10,Sheet1!$A$3:$AW$699,25,FALSE))</f>
        <v>All</v>
      </c>
      <c r="D10" s="142" t="str">
        <f>IF(VLOOKUP($A10,Sheet1!$A$3:$AW$699,15,FALSE)="","",VLOOKUP($A10,Sheet1!$A$3:$AW$699,15,FALSE))</f>
        <v>0x00000000</v>
      </c>
      <c r="E10" s="142" t="str">
        <f>IF(VLOOKUP($A10,Sheet1!$A$3:$AW$699,16,FALSE)="","",VLOOKUP($A10,Sheet1!$A$3:$AW$699,16,FALSE))</f>
        <v>0xFFFFFFFF</v>
      </c>
      <c r="F10" s="142" t="str">
        <f>IF(VLOOKUP($A10,Sheet1!$A$3:$AW$699,17,FALSE)="","",VLOOKUP($A10,Sheet1!$A$3:$AW$699,17,FALSE))</f>
        <v>0x00000000</v>
      </c>
      <c r="G10" s="142" t="str">
        <f>IF(VLOOKUP($A10,Sheet1!$A$3:$AW$699,18,FALSE)="","",VLOOKUP($A10,Sheet1!$A$3:$AW$699,18,FALSE))</f>
        <v/>
      </c>
      <c r="H10" s="142" t="str">
        <f>IF(VLOOKUP($A10,Sheet1!$A$3:$AW$699,19,FALSE)="","",VLOOKUP($A10,Sheet1!$A$3:$AW$699,19,FALSE))</f>
        <v/>
      </c>
      <c r="I10" s="9" t="str">
        <f>IF(VLOOKUP($A10,Sheet1!$A$3:$AW$699,5,FALSE)="","",VLOOKUP($A10,Sheet1!$A$3:$AW$699,5,FALSE))</f>
        <v>UDINT</v>
      </c>
      <c r="J10" s="20" t="s">
        <v>422</v>
      </c>
      <c r="K10" s="9" t="s">
        <v>417</v>
      </c>
      <c r="L10" s="146" t="str">
        <f>IF(VLOOKUP($A10,Sheet1!$A$3:$AW$699,7,FALSE)="★","x","")</f>
        <v>x</v>
      </c>
      <c r="M10" s="146" t="str">
        <f>IF(VLOOKUP($A10,Sheet1!$A$3:$AW$699,8,FALSE)="▲","x","")</f>
        <v/>
      </c>
      <c r="N10" s="146" t="str">
        <f>IF(VLOOKUP($A10,Sheet1!$A$3:$AW$699,9,FALSE)="●","x","")</f>
        <v/>
      </c>
      <c r="O10" s="146" t="str">
        <f>IF(VLOOKUP($A10,Sheet1!$A$3:$AW$699,10,FALSE)="■","x","")</f>
        <v>x</v>
      </c>
      <c r="P10" s="9" t="str">
        <f>IF(VLOOKUP($A10,Sheet1!$A$3:$AW$699,2,FALSE)="","",VLOOKUP($A10,Sheet1!$A$3:$AW$699,2,FALSE))</f>
        <v>P4.001</v>
      </c>
    </row>
    <row r="11" spans="1:16" ht="51" x14ac:dyDescent="0.3">
      <c r="A11" s="9">
        <v>276</v>
      </c>
      <c r="B11" s="9" t="str">
        <f>IF(VLOOKUP($A11,Sheet1!$A$3:$AW$699,20,FALSE)="","",VLOOKUP($A11,Sheet1!$A$3:$AW$699,20,FALSE))</f>
        <v>FaultRecordN2</v>
      </c>
      <c r="C11" s="9" t="str">
        <f>IF(VLOOKUP($A11,Sheet1!$A$3:$AW$699,25,FALSE)="","",VLOOKUP($A11,Sheet1!$A$3:$AW$699,25,FALSE))</f>
        <v>All</v>
      </c>
      <c r="D11" s="142" t="str">
        <f>IF(VLOOKUP($A11,Sheet1!$A$3:$AW$699,15,FALSE)="","",VLOOKUP($A11,Sheet1!$A$3:$AW$699,15,FALSE))</f>
        <v>0x00000000</v>
      </c>
      <c r="E11" s="142" t="str">
        <f>IF(VLOOKUP($A11,Sheet1!$A$3:$AW$699,16,FALSE)="","",VLOOKUP($A11,Sheet1!$A$3:$AW$699,16,FALSE))</f>
        <v>0xFFFFFFFF</v>
      </c>
      <c r="F11" s="142" t="str">
        <f>IF(VLOOKUP($A11,Sheet1!$A$3:$AW$699,17,FALSE)="","",VLOOKUP($A11,Sheet1!$A$3:$AW$699,17,FALSE))</f>
        <v>0x00000000</v>
      </c>
      <c r="G11" s="142" t="str">
        <f>IF(VLOOKUP($A11,Sheet1!$A$3:$AW$699,18,FALSE)="","",VLOOKUP($A11,Sheet1!$A$3:$AW$699,18,FALSE))</f>
        <v/>
      </c>
      <c r="H11" s="142" t="str">
        <f>IF(VLOOKUP($A11,Sheet1!$A$3:$AW$699,19,FALSE)="","",VLOOKUP($A11,Sheet1!$A$3:$AW$699,19,FALSE))</f>
        <v/>
      </c>
      <c r="I11" s="9" t="str">
        <f>IF(VLOOKUP($A11,Sheet1!$A$3:$AW$699,5,FALSE)="","",VLOOKUP($A11,Sheet1!$A$3:$AW$699,5,FALSE))</f>
        <v>UDINT</v>
      </c>
      <c r="J11" s="20" t="s">
        <v>423</v>
      </c>
      <c r="K11" s="9" t="s">
        <v>417</v>
      </c>
      <c r="L11" s="146" t="str">
        <f>IF(VLOOKUP($A11,Sheet1!$A$3:$AW$699,7,FALSE)="★","x","")</f>
        <v>x</v>
      </c>
      <c r="M11" s="146" t="str">
        <f>IF(VLOOKUP($A11,Sheet1!$A$3:$AW$699,8,FALSE)="▲","x","")</f>
        <v/>
      </c>
      <c r="N11" s="146" t="str">
        <f>IF(VLOOKUP($A11,Sheet1!$A$3:$AW$699,9,FALSE)="●","x","")</f>
        <v/>
      </c>
      <c r="O11" s="146" t="str">
        <f>IF(VLOOKUP($A11,Sheet1!$A$3:$AW$699,10,FALSE)="■","x","")</f>
        <v>x</v>
      </c>
      <c r="P11" s="9" t="str">
        <f>IF(VLOOKUP($A11,Sheet1!$A$3:$AW$699,2,FALSE)="","",VLOOKUP($A11,Sheet1!$A$3:$AW$699,2,FALSE))</f>
        <v>P4.002</v>
      </c>
    </row>
    <row r="12" spans="1:16" ht="51" x14ac:dyDescent="0.3">
      <c r="A12" s="9">
        <v>277</v>
      </c>
      <c r="B12" s="9" t="str">
        <f>IF(VLOOKUP($A12,Sheet1!$A$3:$AW$699,20,FALSE)="","",VLOOKUP($A12,Sheet1!$A$3:$AW$699,20,FALSE))</f>
        <v>FaultRecordN3</v>
      </c>
      <c r="C12" s="9" t="str">
        <f>IF(VLOOKUP($A12,Sheet1!$A$3:$AW$699,25,FALSE)="","",VLOOKUP($A12,Sheet1!$A$3:$AW$699,25,FALSE))</f>
        <v>All</v>
      </c>
      <c r="D12" s="142" t="str">
        <f>IF(VLOOKUP($A12,Sheet1!$A$3:$AW$699,15,FALSE)="","",VLOOKUP($A12,Sheet1!$A$3:$AW$699,15,FALSE))</f>
        <v>0x00000000</v>
      </c>
      <c r="E12" s="142" t="str">
        <f>IF(VLOOKUP($A12,Sheet1!$A$3:$AW$699,16,FALSE)="","",VLOOKUP($A12,Sheet1!$A$3:$AW$699,16,FALSE))</f>
        <v>0xFFFFFFFF</v>
      </c>
      <c r="F12" s="142" t="str">
        <f>IF(VLOOKUP($A12,Sheet1!$A$3:$AW$699,17,FALSE)="","",VLOOKUP($A12,Sheet1!$A$3:$AW$699,17,FALSE))</f>
        <v>0x00000000</v>
      </c>
      <c r="G12" s="142" t="str">
        <f>IF(VLOOKUP($A12,Sheet1!$A$3:$AW$699,18,FALSE)="","",VLOOKUP($A12,Sheet1!$A$3:$AW$699,18,FALSE))</f>
        <v/>
      </c>
      <c r="H12" s="142" t="str">
        <f>IF(VLOOKUP($A12,Sheet1!$A$3:$AW$699,19,FALSE)="","",VLOOKUP($A12,Sheet1!$A$3:$AW$699,19,FALSE))</f>
        <v/>
      </c>
      <c r="I12" s="9" t="str">
        <f>IF(VLOOKUP($A12,Sheet1!$A$3:$AW$699,5,FALSE)="","",VLOOKUP($A12,Sheet1!$A$3:$AW$699,5,FALSE))</f>
        <v>UDINT</v>
      </c>
      <c r="J12" s="20" t="s">
        <v>424</v>
      </c>
      <c r="K12" s="9" t="s">
        <v>417</v>
      </c>
      <c r="L12" s="146" t="str">
        <f>IF(VLOOKUP($A12,Sheet1!$A$3:$AW$699,7,FALSE)="★","x","")</f>
        <v>x</v>
      </c>
      <c r="M12" s="146" t="str">
        <f>IF(VLOOKUP($A12,Sheet1!$A$3:$AW$699,8,FALSE)="▲","x","")</f>
        <v/>
      </c>
      <c r="N12" s="146" t="str">
        <f>IF(VLOOKUP($A12,Sheet1!$A$3:$AW$699,9,FALSE)="●","x","")</f>
        <v/>
      </c>
      <c r="O12" s="146" t="str">
        <f>IF(VLOOKUP($A12,Sheet1!$A$3:$AW$699,10,FALSE)="■","x","")</f>
        <v>x</v>
      </c>
      <c r="P12" s="9" t="str">
        <f>IF(VLOOKUP($A12,Sheet1!$A$3:$AW$699,2,FALSE)="","",VLOOKUP($A12,Sheet1!$A$3:$AW$699,2,FALSE))</f>
        <v>P4.003</v>
      </c>
    </row>
    <row r="13" spans="1:16" ht="51" x14ac:dyDescent="0.3">
      <c r="A13" s="9">
        <v>278</v>
      </c>
      <c r="B13" s="9" t="str">
        <f>IF(VLOOKUP($A13,Sheet1!$A$3:$AW$699,20,FALSE)="","",VLOOKUP($A13,Sheet1!$A$3:$AW$699,20,FALSE))</f>
        <v>FaultRecordN4</v>
      </c>
      <c r="C13" s="9" t="str">
        <f>IF(VLOOKUP($A13,Sheet1!$A$3:$AW$699,25,FALSE)="","",VLOOKUP($A13,Sheet1!$A$3:$AW$699,25,FALSE))</f>
        <v>All</v>
      </c>
      <c r="D13" s="142" t="str">
        <f>IF(VLOOKUP($A13,Sheet1!$A$3:$AW$699,15,FALSE)="","",VLOOKUP($A13,Sheet1!$A$3:$AW$699,15,FALSE))</f>
        <v>0x00000000</v>
      </c>
      <c r="E13" s="142" t="str">
        <f>IF(VLOOKUP($A13,Sheet1!$A$3:$AW$699,16,FALSE)="","",VLOOKUP($A13,Sheet1!$A$3:$AW$699,16,FALSE))</f>
        <v>0xFFFFFFFF</v>
      </c>
      <c r="F13" s="142" t="str">
        <f>IF(VLOOKUP($A13,Sheet1!$A$3:$AW$699,17,FALSE)="","",VLOOKUP($A13,Sheet1!$A$3:$AW$699,17,FALSE))</f>
        <v>0x00000000</v>
      </c>
      <c r="G13" s="142" t="str">
        <f>IF(VLOOKUP($A13,Sheet1!$A$3:$AW$699,18,FALSE)="","",VLOOKUP($A13,Sheet1!$A$3:$AW$699,18,FALSE))</f>
        <v/>
      </c>
      <c r="H13" s="142" t="str">
        <f>IF(VLOOKUP($A13,Sheet1!$A$3:$AW$699,19,FALSE)="","",VLOOKUP($A13,Sheet1!$A$3:$AW$699,19,FALSE))</f>
        <v/>
      </c>
      <c r="I13" s="9" t="str">
        <f>IF(VLOOKUP($A13,Sheet1!$A$3:$AW$699,5,FALSE)="","",VLOOKUP($A13,Sheet1!$A$3:$AW$699,5,FALSE))</f>
        <v>UDINT</v>
      </c>
      <c r="J13" s="20" t="s">
        <v>425</v>
      </c>
      <c r="K13" s="9" t="s">
        <v>417</v>
      </c>
      <c r="L13" s="146" t="str">
        <f>IF(VLOOKUP($A13,Sheet1!$A$3:$AW$699,7,FALSE)="★","x","")</f>
        <v>x</v>
      </c>
      <c r="M13" s="146" t="str">
        <f>IF(VLOOKUP($A13,Sheet1!$A$3:$AW$699,8,FALSE)="▲","x","")</f>
        <v/>
      </c>
      <c r="N13" s="146" t="str">
        <f>IF(VLOOKUP($A13,Sheet1!$A$3:$AW$699,9,FALSE)="●","x","")</f>
        <v/>
      </c>
      <c r="O13" s="146" t="str">
        <f>IF(VLOOKUP($A13,Sheet1!$A$3:$AW$699,10,FALSE)="■","x","")</f>
        <v>x</v>
      </c>
      <c r="P13" s="9" t="str">
        <f>IF(VLOOKUP($A13,Sheet1!$A$3:$AW$699,2,FALSE)="","",VLOOKUP($A13,Sheet1!$A$3:$AW$699,2,FALSE))</f>
        <v>P4.004</v>
      </c>
    </row>
  </sheetData>
  <mergeCells count="2">
    <mergeCell ref="A1:J1"/>
    <mergeCell ref="A2:B2"/>
  </mergeCells>
  <phoneticPr fontId="25" type="noConversion"/>
  <hyperlinks>
    <hyperlink ref="A2" r:id="rId1" display="Kinetix 5100 Servo Drive User Manual, publication 2198-UM004" xr:uid="{E5B828C0-F32A-4F38-BE7D-66551A987B50}"/>
  </hyperlinks>
  <pageMargins left="0.7" right="0.7" top="0.75" bottom="0.75" header="0.3" footer="0.3"/>
  <pageSetup paperSize="17" scale="97" fitToHeight="0" orientation="landscape"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E9D64-BEA1-485C-AE7E-AEFDBC3E6D59}">
  <sheetPr filterMode="1">
    <pageSetUpPr fitToPage="1"/>
  </sheetPr>
  <dimension ref="A1:P323"/>
  <sheetViews>
    <sheetView zoomScaleNormal="100" workbookViewId="0">
      <pane xSplit="2" ySplit="4" topLeftCell="C35" activePane="bottomRight" state="frozen"/>
      <selection pane="topRight" activeCell="F18" sqref="F18"/>
      <selection pane="bottomLeft" activeCell="F18" sqref="F18"/>
      <selection pane="bottomRight" activeCell="A323" sqref="A323:XFD323"/>
    </sheetView>
  </sheetViews>
  <sheetFormatPr defaultColWidth="9.109375" defaultRowHeight="14.4" x14ac:dyDescent="0.3"/>
  <cols>
    <col min="1" max="1" width="5.6640625" style="1" customWidth="1"/>
    <col min="2" max="2" width="30.6640625" style="1" customWidth="1"/>
    <col min="3" max="3" width="10.6640625" style="1" customWidth="1"/>
    <col min="4" max="4" width="12.5546875" style="2" customWidth="1"/>
    <col min="5" max="5" width="16.33203125" style="2" customWidth="1"/>
    <col min="6" max="7" width="14.88671875" style="2" customWidth="1"/>
    <col min="8" max="8" width="10.6640625" style="143" customWidth="1"/>
    <col min="9" max="9" width="10.6640625" style="1" customWidth="1"/>
    <col min="10" max="10" width="70.33203125" style="12" customWidth="1"/>
    <col min="11" max="11" width="12.5546875" style="12" customWidth="1"/>
    <col min="12" max="13" width="10.6640625" style="3" customWidth="1"/>
    <col min="14" max="15" width="9.88671875" style="3" customWidth="1"/>
    <col min="16" max="16" width="9.88671875" style="1" customWidth="1"/>
    <col min="17" max="16384" width="9.109375" style="1"/>
  </cols>
  <sheetData>
    <row r="1" spans="1:16" ht="25.95" customHeight="1" x14ac:dyDescent="0.3">
      <c r="A1" s="224" t="s">
        <v>29</v>
      </c>
      <c r="B1" s="224"/>
      <c r="J1" s="212"/>
    </row>
    <row r="2" spans="1:16" ht="29.4" customHeight="1" x14ac:dyDescent="0.3">
      <c r="A2" s="225" t="s">
        <v>30</v>
      </c>
      <c r="B2" s="228"/>
      <c r="J2" s="212"/>
    </row>
    <row r="3" spans="1:16" x14ac:dyDescent="0.3">
      <c r="J3" s="212"/>
    </row>
    <row r="4" spans="1:16" s="5" customFormat="1" ht="20.399999999999999" x14ac:dyDescent="0.3">
      <c r="A4" s="4" t="s">
        <v>31</v>
      </c>
      <c r="B4" s="4" t="s">
        <v>32</v>
      </c>
      <c r="C4" s="4" t="s">
        <v>33</v>
      </c>
      <c r="D4" s="4" t="s">
        <v>34</v>
      </c>
      <c r="E4" s="4" t="s">
        <v>35</v>
      </c>
      <c r="F4" s="4" t="s">
        <v>36</v>
      </c>
      <c r="G4" s="18" t="s">
        <v>37</v>
      </c>
      <c r="H4" s="4" t="s">
        <v>38</v>
      </c>
      <c r="I4" s="4" t="s">
        <v>39</v>
      </c>
      <c r="J4" s="4" t="s">
        <v>40</v>
      </c>
      <c r="K4" s="4" t="s">
        <v>41</v>
      </c>
      <c r="L4" s="4" t="s">
        <v>42</v>
      </c>
      <c r="M4" s="4" t="s">
        <v>43</v>
      </c>
      <c r="N4" s="4" t="s">
        <v>44</v>
      </c>
      <c r="O4" s="4" t="s">
        <v>45</v>
      </c>
      <c r="P4" s="4" t="s">
        <v>46</v>
      </c>
    </row>
    <row r="5" spans="1:16" ht="153" x14ac:dyDescent="0.3">
      <c r="A5" s="6">
        <v>131</v>
      </c>
      <c r="B5" s="6" t="s">
        <v>426</v>
      </c>
      <c r="C5" s="9" t="str">
        <f>IF(VLOOKUP($A5,Sheet1!$A$3:$AW$699,25,FALSE)="","",VLOOKUP($A5,Sheet1!$A$3:$AW$699,25,FALSE))</f>
        <v>All</v>
      </c>
      <c r="D5" s="142" t="str">
        <f>IF(VLOOKUP($A5,Sheet1!$A$3:$AW$699,15,FALSE)="","",VLOOKUP($A5,Sheet1!$A$3:$AW$699,15,FALSE))</f>
        <v>0x00000000</v>
      </c>
      <c r="E5" s="142" t="str">
        <f>IF(VLOOKUP($A5,Sheet1!$A$3:$AW$699,16,FALSE)="","",VLOOKUP($A5,Sheet1!$A$3:$AW$699,16,FALSE))</f>
        <v>0x6F000101</v>
      </c>
      <c r="F5" s="142" t="str">
        <f>IF(VLOOKUP($A5,Sheet1!$A$3:$AW$699,17,FALSE)="","",VLOOKUP($A5,Sheet1!$A$3:$AW$699,17,FALSE))</f>
        <v>0x2D000000</v>
      </c>
      <c r="G5" s="142" t="str">
        <f>IF(VLOOKUP($A5,Sheet1!$A$3:$AW$699,18,FALSE)="","",VLOOKUP($A5,Sheet1!$A$3:$AW$699,18,FALSE))</f>
        <v/>
      </c>
      <c r="H5" s="142" t="str">
        <f>IF(VLOOKUP($A5,Sheet1!$A$3:$AW$699,19,FALSE)="","",VLOOKUP($A5,Sheet1!$A$3:$AW$699,19,FALSE))</f>
        <v/>
      </c>
      <c r="I5" s="9" t="str">
        <f>IF(VLOOKUP($A5,Sheet1!$A$3:$AW$699,5,FALSE)="","",VLOOKUP($A5,Sheet1!$A$3:$AW$699,5,FALSE))</f>
        <v>UDINT</v>
      </c>
      <c r="J5" s="8" t="s">
        <v>427</v>
      </c>
      <c r="K5" s="9" t="s">
        <v>428</v>
      </c>
      <c r="L5" s="146" t="str">
        <f>IF(VLOOKUP($A5,Sheet1!$A$3:$AW$699,7,FALSE)="★","x","")</f>
        <v/>
      </c>
      <c r="M5" s="146" t="str">
        <f>IF(VLOOKUP($A5,Sheet1!$A$3:$AW$699,8,FALSE)="▲","x","")</f>
        <v/>
      </c>
      <c r="N5" s="146" t="str">
        <f>IF(VLOOKUP($A5,Sheet1!$A$3:$AW$699,9,FALSE)="●","x","")</f>
        <v/>
      </c>
      <c r="O5" s="146" t="str">
        <f>IF(VLOOKUP($A5,Sheet1!$A$3:$AW$699,10,FALSE)="■","x","")</f>
        <v/>
      </c>
      <c r="P5" s="9" t="str">
        <f>IF(VLOOKUP($A5,Sheet1!$A$3:$AW$699,2,FALSE)="","",VLOOKUP($A5,Sheet1!$A$3:$AW$699,2,FALSE))</f>
        <v>P1.019</v>
      </c>
    </row>
    <row r="6" spans="1:16" ht="61.2" x14ac:dyDescent="0.3">
      <c r="A6" s="6">
        <v>132</v>
      </c>
      <c r="B6" s="6" t="s">
        <v>429</v>
      </c>
      <c r="C6" s="9" t="str">
        <f>IF(VLOOKUP($A6,Sheet1!$A$3:$AW$699,25,FALSE)="","",VLOOKUP($A6,Sheet1!$A$3:$AW$699,25,FALSE))</f>
        <v>All</v>
      </c>
      <c r="D6" s="142">
        <f>IF(VLOOKUP($A6,Sheet1!$A$3:$AW$699,15,FALSE)="","",VLOOKUP($A6,Sheet1!$A$3:$AW$699,15,FALSE))</f>
        <v>0</v>
      </c>
      <c r="E6" s="142">
        <f>IF(VLOOKUP($A6,Sheet1!$A$3:$AW$699,16,FALSE)="","",VLOOKUP($A6,Sheet1!$A$3:$AW$699,16,FALSE))</f>
        <v>100000000</v>
      </c>
      <c r="F6" s="142">
        <f>IF(VLOOKUP($A6,Sheet1!$A$3:$AW$699,17,FALSE)="","",VLOOKUP($A6,Sheet1!$A$3:$AW$699,17,FALSE))</f>
        <v>0</v>
      </c>
      <c r="G6" s="142" t="str">
        <f>IF(VLOOKUP($A6,Sheet1!$A$3:$AW$699,18,FALSE)="","",VLOOKUP($A6,Sheet1!$A$3:$AW$699,18,FALSE))</f>
        <v/>
      </c>
      <c r="H6" s="142" t="str">
        <f>IF(VLOOKUP($A6,Sheet1!$A$3:$AW$699,19,FALSE)="","",VLOOKUP($A6,Sheet1!$A$3:$AW$699,19,FALSE))</f>
        <v/>
      </c>
      <c r="I6" s="9" t="str">
        <f>IF(VLOOKUP($A6,Sheet1!$A$3:$AW$699,5,FALSE)="","",VLOOKUP($A6,Sheet1!$A$3:$AW$699,5,FALSE))</f>
        <v>DINT</v>
      </c>
      <c r="J6" s="7" t="s">
        <v>430</v>
      </c>
      <c r="K6" s="9" t="s">
        <v>428</v>
      </c>
      <c r="L6" s="146" t="str">
        <f>IF(VLOOKUP($A6,Sheet1!$A$3:$AW$699,7,FALSE)="★","x","")</f>
        <v/>
      </c>
      <c r="M6" s="146" t="str">
        <f>IF(VLOOKUP($A6,Sheet1!$A$3:$AW$699,8,FALSE)="▲","x","")</f>
        <v/>
      </c>
      <c r="N6" s="146" t="str">
        <f>IF(VLOOKUP($A6,Sheet1!$A$3:$AW$699,9,FALSE)="●","x","")</f>
        <v/>
      </c>
      <c r="O6" s="146" t="str">
        <f>IF(VLOOKUP($A6,Sheet1!$A$3:$AW$699,10,FALSE)="■","x","")</f>
        <v/>
      </c>
      <c r="P6" s="9" t="str">
        <f>IF(VLOOKUP($A6,Sheet1!$A$3:$AW$699,2,FALSE)="","",VLOOKUP($A6,Sheet1!$A$3:$AW$699,2,FALSE))</f>
        <v>P1.020</v>
      </c>
    </row>
    <row r="7" spans="1:16" ht="40.799999999999997" x14ac:dyDescent="0.3">
      <c r="A7" s="6">
        <v>133</v>
      </c>
      <c r="B7" s="6" t="s">
        <v>431</v>
      </c>
      <c r="C7" s="9" t="str">
        <f>IF(VLOOKUP($A7,Sheet1!$A$3:$AW$699,25,FALSE)="","",VLOOKUP($A7,Sheet1!$A$3:$AW$699,25,FALSE))</f>
        <v>All</v>
      </c>
      <c r="D7" s="142">
        <f>IF(VLOOKUP($A7,Sheet1!$A$3:$AW$699,15,FALSE)="","",VLOOKUP($A7,Sheet1!$A$3:$AW$699,15,FALSE))</f>
        <v>-10000000</v>
      </c>
      <c r="E7" s="142">
        <f>IF(VLOOKUP($A7,Sheet1!$A$3:$AW$699,16,FALSE)="","",VLOOKUP($A7,Sheet1!$A$3:$AW$699,16,FALSE))</f>
        <v>10000000</v>
      </c>
      <c r="F7" s="142">
        <f>IF(VLOOKUP($A7,Sheet1!$A$3:$AW$699,17,FALSE)="","",VLOOKUP($A7,Sheet1!$A$3:$AW$699,17,FALSE))</f>
        <v>0</v>
      </c>
      <c r="G7" s="142" t="str">
        <f>IF(VLOOKUP($A7,Sheet1!$A$3:$AW$699,18,FALSE)="","",VLOOKUP($A7,Sheet1!$A$3:$AW$699,18,FALSE))</f>
        <v/>
      </c>
      <c r="H7" s="142" t="str">
        <f>IF(VLOOKUP($A7,Sheet1!$A$3:$AW$699,19,FALSE)="","",VLOOKUP($A7,Sheet1!$A$3:$AW$699,19,FALSE))</f>
        <v/>
      </c>
      <c r="I7" s="9" t="str">
        <f>IF(VLOOKUP($A7,Sheet1!$A$3:$AW$699,5,FALSE)="","",VLOOKUP($A7,Sheet1!$A$3:$AW$699,5,FALSE))</f>
        <v>DINT</v>
      </c>
      <c r="J7" s="8" t="s">
        <v>432</v>
      </c>
      <c r="K7" s="6" t="s">
        <v>433</v>
      </c>
      <c r="L7" s="146" t="str">
        <f>IF(VLOOKUP($A7,Sheet1!$A$3:$AW$699,7,FALSE)="★","x","")</f>
        <v/>
      </c>
      <c r="M7" s="146" t="str">
        <f>IF(VLOOKUP($A7,Sheet1!$A$3:$AW$699,8,FALSE)="▲","x","")</f>
        <v/>
      </c>
      <c r="N7" s="146" t="str">
        <f>IF(VLOOKUP($A7,Sheet1!$A$3:$AW$699,9,FALSE)="●","x","")</f>
        <v/>
      </c>
      <c r="O7" s="146" t="str">
        <f>IF(VLOOKUP($A7,Sheet1!$A$3:$AW$699,10,FALSE)="■","x","")</f>
        <v/>
      </c>
      <c r="P7" s="9" t="str">
        <f>IF(VLOOKUP($A7,Sheet1!$A$3:$AW$699,2,FALSE)="","",VLOOKUP($A7,Sheet1!$A$3:$AW$699,2,FALSE))</f>
        <v>P1.023</v>
      </c>
    </row>
    <row r="8" spans="1:16" ht="40.799999999999997" x14ac:dyDescent="0.3">
      <c r="A8" s="6">
        <v>134</v>
      </c>
      <c r="B8" s="6" t="s">
        <v>434</v>
      </c>
      <c r="C8" s="9" t="str">
        <f>IF(VLOOKUP($A8,Sheet1!$A$3:$AW$699,25,FALSE)="","",VLOOKUP($A8,Sheet1!$A$3:$AW$699,25,FALSE))</f>
        <v>All</v>
      </c>
      <c r="D8" s="142">
        <f>IF(VLOOKUP($A8,Sheet1!$A$3:$AW$699,15,FALSE)="","",VLOOKUP($A8,Sheet1!$A$3:$AW$699,15,FALSE))</f>
        <v>-32768</v>
      </c>
      <c r="E8" s="142">
        <f>IF(VLOOKUP($A8,Sheet1!$A$3:$AW$699,16,FALSE)="","",VLOOKUP($A8,Sheet1!$A$3:$AW$699,16,FALSE))</f>
        <v>32767</v>
      </c>
      <c r="F8" s="142">
        <f>IF(VLOOKUP($A8,Sheet1!$A$3:$AW$699,17,FALSE)="","",VLOOKUP($A8,Sheet1!$A$3:$AW$699,17,FALSE))</f>
        <v>0</v>
      </c>
      <c r="G8" s="142" t="str">
        <f>IF(VLOOKUP($A8,Sheet1!$A$3:$AW$699,18,FALSE)="","",VLOOKUP($A8,Sheet1!$A$3:$AW$699,18,FALSE))</f>
        <v/>
      </c>
      <c r="H8" s="142" t="str">
        <f>IF(VLOOKUP($A8,Sheet1!$A$3:$AW$699,19,FALSE)="","",VLOOKUP($A8,Sheet1!$A$3:$AW$699,19,FALSE))</f>
        <v/>
      </c>
      <c r="I8" s="9" t="str">
        <f>IF(VLOOKUP($A8,Sheet1!$A$3:$AW$699,5,FALSE)="","",VLOOKUP($A8,Sheet1!$A$3:$AW$699,5,FALSE))</f>
        <v>INT</v>
      </c>
      <c r="J8" s="8" t="s">
        <v>435</v>
      </c>
      <c r="K8" s="6" t="s">
        <v>433</v>
      </c>
      <c r="L8" s="146" t="str">
        <f>IF(VLOOKUP($A8,Sheet1!$A$3:$AW$699,7,FALSE)="★","x","")</f>
        <v/>
      </c>
      <c r="M8" s="146" t="str">
        <f>IF(VLOOKUP($A8,Sheet1!$A$3:$AW$699,8,FALSE)="▲","x","")</f>
        <v/>
      </c>
      <c r="N8" s="146" t="str">
        <f>IF(VLOOKUP($A8,Sheet1!$A$3:$AW$699,9,FALSE)="●","x","")</f>
        <v/>
      </c>
      <c r="O8" s="146" t="str">
        <f>IF(VLOOKUP($A8,Sheet1!$A$3:$AW$699,10,FALSE)="■","x","")</f>
        <v>x</v>
      </c>
      <c r="P8" s="9" t="str">
        <f>IF(VLOOKUP($A8,Sheet1!$A$3:$AW$699,2,FALSE)="","",VLOOKUP($A8,Sheet1!$A$3:$AW$699,2,FALSE))</f>
        <v>P1.024</v>
      </c>
    </row>
    <row r="9" spans="1:16" ht="71.400000000000006" x14ac:dyDescent="0.3">
      <c r="A9" s="6">
        <v>177</v>
      </c>
      <c r="B9" s="6" t="s">
        <v>436</v>
      </c>
      <c r="C9" s="9" t="str">
        <f>IF(VLOOKUP($A9,Sheet1!$A$3:$AW$699,25,FALSE)="","",VLOOKUP($A9,Sheet1!$A$3:$AW$699,25,FALSE))</f>
        <v>PR/IO</v>
      </c>
      <c r="D9" s="142">
        <f>IF(VLOOKUP($A9,Sheet1!$A$3:$AW$699,15,FALSE)="","",VLOOKUP($A9,Sheet1!$A$3:$AW$699,15,FALSE))</f>
        <v>1</v>
      </c>
      <c r="E9" s="142">
        <f>IF(VLOOKUP($A9,Sheet1!$A$3:$AW$699,16,FALSE)="","",VLOOKUP($A9,Sheet1!$A$3:$AW$699,16,FALSE))</f>
        <v>300</v>
      </c>
      <c r="F9" s="142">
        <f>IF(VLOOKUP($A9,Sheet1!$A$3:$AW$699,17,FALSE)="","",VLOOKUP($A9,Sheet1!$A$3:$AW$699,17,FALSE))</f>
        <v>1</v>
      </c>
      <c r="G9" s="142" t="str">
        <f>IF(VLOOKUP($A9,Sheet1!$A$3:$AW$699,18,FALSE)="","",VLOOKUP($A9,Sheet1!$A$3:$AW$699,18,FALSE))</f>
        <v/>
      </c>
      <c r="H9" s="142" t="str">
        <f>IF(VLOOKUP($A9,Sheet1!$A$3:$AW$699,19,FALSE)="","",VLOOKUP($A9,Sheet1!$A$3:$AW$699,19,FALSE))</f>
        <v>%</v>
      </c>
      <c r="I9" s="9" t="str">
        <f>IF(VLOOKUP($A9,Sheet1!$A$3:$AW$699,5,FALSE)="","",VLOOKUP($A9,Sheet1!$A$3:$AW$699,5,FALSE))</f>
        <v>INT</v>
      </c>
      <c r="J9" s="8" t="s">
        <v>437</v>
      </c>
      <c r="K9" s="6" t="s">
        <v>433</v>
      </c>
      <c r="L9" s="146" t="str">
        <f>IF(VLOOKUP($A9,Sheet1!$A$3:$AW$699,7,FALSE)="★","x","")</f>
        <v/>
      </c>
      <c r="M9" s="146" t="str">
        <f>IF(VLOOKUP($A9,Sheet1!$A$3:$AW$699,8,FALSE)="▲","x","")</f>
        <v/>
      </c>
      <c r="N9" s="146" t="str">
        <f>IF(VLOOKUP($A9,Sheet1!$A$3:$AW$699,9,FALSE)="●","x","")</f>
        <v/>
      </c>
      <c r="O9" s="146" t="str">
        <f>IF(VLOOKUP($A9,Sheet1!$A$3:$AW$699,10,FALSE)="■","x","")</f>
        <v/>
      </c>
      <c r="P9" s="9" t="str">
        <f>IF(VLOOKUP($A9,Sheet1!$A$3:$AW$699,2,FALSE)="","",VLOOKUP($A9,Sheet1!$A$3:$AW$699,2,FALSE))</f>
        <v>P1.087</v>
      </c>
    </row>
    <row r="10" spans="1:16" ht="30.6" x14ac:dyDescent="0.3">
      <c r="A10" s="6">
        <v>178</v>
      </c>
      <c r="B10" s="9" t="s">
        <v>438</v>
      </c>
      <c r="C10" s="9" t="str">
        <f>IF(VLOOKUP($A10,Sheet1!$A$3:$AW$699,25,FALSE)="","",VLOOKUP($A10,Sheet1!$A$3:$AW$699,25,FALSE))</f>
        <v>PR/IO</v>
      </c>
      <c r="D10" s="142">
        <f>IF(VLOOKUP($A10,Sheet1!$A$3:$AW$699,15,FALSE)="","",VLOOKUP($A10,Sheet1!$A$3:$AW$699,15,FALSE))</f>
        <v>2</v>
      </c>
      <c r="E10" s="142">
        <f>IF(VLOOKUP($A10,Sheet1!$A$3:$AW$699,16,FALSE)="","",VLOOKUP($A10,Sheet1!$A$3:$AW$699,16,FALSE))</f>
        <v>2000</v>
      </c>
      <c r="F10" s="142">
        <f>IF(VLOOKUP($A10,Sheet1!$A$3:$AW$699,17,FALSE)="","",VLOOKUP($A10,Sheet1!$A$3:$AW$699,17,FALSE))</f>
        <v>2000</v>
      </c>
      <c r="G10" s="142" t="str">
        <f>IF(VLOOKUP($A10,Sheet1!$A$3:$AW$699,18,FALSE)="","",VLOOKUP($A10,Sheet1!$A$3:$AW$699,18,FALSE))</f>
        <v/>
      </c>
      <c r="H10" s="142" t="str">
        <f>IF(VLOOKUP($A10,Sheet1!$A$3:$AW$699,19,FALSE)="","",VLOOKUP($A10,Sheet1!$A$3:$AW$699,19,FALSE))</f>
        <v>ms</v>
      </c>
      <c r="I10" s="9" t="str">
        <f>IF(VLOOKUP($A10,Sheet1!$A$3:$AW$699,5,FALSE)="","",VLOOKUP($A10,Sheet1!$A$3:$AW$699,5,FALSE))</f>
        <v>INT</v>
      </c>
      <c r="J10" s="8" t="s">
        <v>439</v>
      </c>
      <c r="K10" s="6" t="s">
        <v>433</v>
      </c>
      <c r="L10" s="146" t="str">
        <f>IF(VLOOKUP($A10,Sheet1!$A$3:$AW$699,7,FALSE)="★","x","")</f>
        <v/>
      </c>
      <c r="M10" s="146" t="str">
        <f>IF(VLOOKUP($A10,Sheet1!$A$3:$AW$699,8,FALSE)="▲","x","")</f>
        <v/>
      </c>
      <c r="N10" s="146" t="str">
        <f>IF(VLOOKUP($A10,Sheet1!$A$3:$AW$699,9,FALSE)="●","x","")</f>
        <v/>
      </c>
      <c r="O10" s="146" t="str">
        <f>IF(VLOOKUP($A10,Sheet1!$A$3:$AW$699,10,FALSE)="■","x","")</f>
        <v/>
      </c>
      <c r="P10" s="9" t="str">
        <f>IF(VLOOKUP($A10,Sheet1!$A$3:$AW$699,2,FALSE)="","",VLOOKUP($A10,Sheet1!$A$3:$AW$699,2,FALSE))</f>
        <v>P1.088</v>
      </c>
    </row>
    <row r="11" spans="1:16" ht="112.2" x14ac:dyDescent="0.3">
      <c r="A11" s="6">
        <v>183</v>
      </c>
      <c r="B11" s="6" t="s">
        <v>440</v>
      </c>
      <c r="C11" s="9" t="str">
        <f>IF(VLOOKUP($A11,Sheet1!$A$3:$AW$699,25,FALSE)="","",VLOOKUP($A11,Sheet1!$A$3:$AW$699,25,FALSE))</f>
        <v>All</v>
      </c>
      <c r="D11" s="142" t="str">
        <f>IF(VLOOKUP($A11,Sheet1!$A$3:$AW$699,15,FALSE)="","",VLOOKUP($A11,Sheet1!$A$3:$AW$699,15,FALSE))</f>
        <v>0x00000000</v>
      </c>
      <c r="E11" s="142" t="str">
        <f>IF(VLOOKUP($A11,Sheet1!$A$3:$AW$699,16,FALSE)="","",VLOOKUP($A11,Sheet1!$A$3:$AW$699,16,FALSE))</f>
        <v>0x00000101</v>
      </c>
      <c r="F11" s="142" t="str">
        <f>IF(VLOOKUP($A11,Sheet1!$A$3:$AW$699,17,FALSE)="","",VLOOKUP($A11,Sheet1!$A$3:$AW$699,17,FALSE))</f>
        <v>0x00000000</v>
      </c>
      <c r="G11" s="142" t="str">
        <f>IF(VLOOKUP($A11,Sheet1!$A$3:$AW$699,18,FALSE)="","",VLOOKUP($A11,Sheet1!$A$3:$AW$699,18,FALSE))</f>
        <v/>
      </c>
      <c r="H11" s="142" t="str">
        <f>IF(VLOOKUP($A11,Sheet1!$A$3:$AW$699,19,FALSE)="","",VLOOKUP($A11,Sheet1!$A$3:$AW$699,19,FALSE))</f>
        <v/>
      </c>
      <c r="I11" s="9" t="str">
        <f>IF(VLOOKUP($A11,Sheet1!$A$3:$AW$699,5,FALSE)="","",VLOOKUP($A11,Sheet1!$A$3:$AW$699,5,FALSE))</f>
        <v>UDINT</v>
      </c>
      <c r="J11" s="8" t="s">
        <v>441</v>
      </c>
      <c r="K11" s="9" t="s">
        <v>428</v>
      </c>
      <c r="L11" s="146" t="str">
        <f>IF(VLOOKUP($A11,Sheet1!$A$3:$AW$699,7,FALSE)="★","x","")</f>
        <v/>
      </c>
      <c r="M11" s="146" t="str">
        <f>IF(VLOOKUP($A11,Sheet1!$A$3:$AW$699,8,FALSE)="▲","x","")</f>
        <v/>
      </c>
      <c r="N11" s="146" t="str">
        <f>IF(VLOOKUP($A11,Sheet1!$A$3:$AW$699,9,FALSE)="●","x","")</f>
        <v/>
      </c>
      <c r="O11" s="146" t="str">
        <f>IF(VLOOKUP($A11,Sheet1!$A$3:$AW$699,10,FALSE)="■","x","")</f>
        <v/>
      </c>
      <c r="P11" s="9" t="str">
        <f>IF(VLOOKUP($A11,Sheet1!$A$3:$AW$699,2,FALSE)="","",VLOOKUP($A11,Sheet1!$A$3:$AW$699,2,FALSE))</f>
        <v>P1.103</v>
      </c>
    </row>
    <row r="12" spans="1:16" ht="61.2" x14ac:dyDescent="0.3">
      <c r="A12" s="6">
        <v>184</v>
      </c>
      <c r="B12" s="6" t="s">
        <v>442</v>
      </c>
      <c r="C12" s="9" t="str">
        <f>IF(VLOOKUP($A12,Sheet1!$A$3:$AW$699,25,FALSE)="","",VLOOKUP($A12,Sheet1!$A$3:$AW$699,25,FALSE))</f>
        <v>All</v>
      </c>
      <c r="D12" s="142">
        <f>IF(VLOOKUP($A12,Sheet1!$A$3:$AW$699,15,FALSE)="","",VLOOKUP($A12,Sheet1!$A$3:$AW$699,15,FALSE))</f>
        <v>0</v>
      </c>
      <c r="E12" s="142">
        <f>IF(VLOOKUP($A12,Sheet1!$A$3:$AW$699,16,FALSE)="","",VLOOKUP($A12,Sheet1!$A$3:$AW$699,16,FALSE))</f>
        <v>100000000</v>
      </c>
      <c r="F12" s="142">
        <f>IF(VLOOKUP($A12,Sheet1!$A$3:$AW$699,17,FALSE)="","",VLOOKUP($A12,Sheet1!$A$3:$AW$699,17,FALSE))</f>
        <v>0</v>
      </c>
      <c r="G12" s="142" t="str">
        <f>IF(VLOOKUP($A12,Sheet1!$A$3:$AW$699,18,FALSE)="","",VLOOKUP($A12,Sheet1!$A$3:$AW$699,18,FALSE))</f>
        <v/>
      </c>
      <c r="H12" s="142" t="str">
        <f>IF(VLOOKUP($A12,Sheet1!$A$3:$AW$699,19,FALSE)="","",VLOOKUP($A12,Sheet1!$A$3:$AW$699,19,FALSE))</f>
        <v/>
      </c>
      <c r="I12" s="9" t="str">
        <f>IF(VLOOKUP($A12,Sheet1!$A$3:$AW$699,5,FALSE)="","",VLOOKUP($A12,Sheet1!$A$3:$AW$699,5,FALSE))</f>
        <v>DINT</v>
      </c>
      <c r="J12" s="7" t="s">
        <v>443</v>
      </c>
      <c r="K12" s="9" t="s">
        <v>428</v>
      </c>
      <c r="L12" s="146" t="str">
        <f>IF(VLOOKUP($A12,Sheet1!$A$3:$AW$699,7,FALSE)="★","x","")</f>
        <v/>
      </c>
      <c r="M12" s="146" t="str">
        <f>IF(VLOOKUP($A12,Sheet1!$A$3:$AW$699,8,FALSE)="▲","x","")</f>
        <v/>
      </c>
      <c r="N12" s="146" t="str">
        <f>IF(VLOOKUP($A12,Sheet1!$A$3:$AW$699,9,FALSE)="●","x","")</f>
        <v/>
      </c>
      <c r="O12" s="146" t="str">
        <f>IF(VLOOKUP($A12,Sheet1!$A$3:$AW$699,10,FALSE)="■","x","")</f>
        <v/>
      </c>
      <c r="P12" s="9" t="str">
        <f>IF(VLOOKUP($A12,Sheet1!$A$3:$AW$699,2,FALSE)="","",VLOOKUP($A12,Sheet1!$A$3:$AW$699,2,FALSE))</f>
        <v>P1.104</v>
      </c>
    </row>
    <row r="13" spans="1:16" ht="40.799999999999997" x14ac:dyDescent="0.3">
      <c r="A13" s="6">
        <v>234</v>
      </c>
      <c r="B13" s="6" t="s">
        <v>444</v>
      </c>
      <c r="C13" s="9" t="str">
        <f>IF(VLOOKUP($A13,Sheet1!$A$3:$AW$699,25,FALSE)="","",VLOOKUP($A13,Sheet1!$A$3:$AW$699,25,FALSE))</f>
        <v>All</v>
      </c>
      <c r="D13" s="142">
        <f>IF(VLOOKUP($A13,Sheet1!$A$3:$AW$699,15,FALSE)="","",VLOOKUP($A13,Sheet1!$A$3:$AW$699,15,FALSE))</f>
        <v>32</v>
      </c>
      <c r="E13" s="142">
        <f>IF(VLOOKUP($A13,Sheet1!$A$3:$AW$699,16,FALSE)="","",VLOOKUP($A13,Sheet1!$A$3:$AW$699,16,FALSE))</f>
        <v>1073741824</v>
      </c>
      <c r="F13" s="142">
        <f>IF(VLOOKUP($A13,Sheet1!$A$3:$AW$699,17,FALSE)="","",VLOOKUP($A13,Sheet1!$A$3:$AW$699,17,FALSE))</f>
        <v>1073741824</v>
      </c>
      <c r="G13" s="142" t="str">
        <f>IF(VLOOKUP($A13,Sheet1!$A$3:$AW$699,18,FALSE)="","",VLOOKUP($A13,Sheet1!$A$3:$AW$699,18,FALSE))</f>
        <v/>
      </c>
      <c r="H13" s="142" t="str">
        <f>IF(VLOOKUP($A13,Sheet1!$A$3:$AW$699,19,FALSE)="","",VLOOKUP($A13,Sheet1!$A$3:$AW$699,19,FALSE))</f>
        <v>PUU</v>
      </c>
      <c r="I13" s="9" t="str">
        <f>IF(VLOOKUP($A13,Sheet1!$A$3:$AW$699,5,FALSE)="","",VLOOKUP($A13,Sheet1!$A$3:$AW$699,5,FALSE))</f>
        <v>DINT</v>
      </c>
      <c r="J13" s="23" t="s">
        <v>445</v>
      </c>
      <c r="K13" s="6" t="s">
        <v>433</v>
      </c>
      <c r="L13" s="146" t="str">
        <f>IF(VLOOKUP($A13,Sheet1!$A$3:$AW$699,7,FALSE)="★","x","")</f>
        <v/>
      </c>
      <c r="M13" s="146" t="str">
        <f>IF(VLOOKUP($A13,Sheet1!$A$3:$AW$699,8,FALSE)="▲","x","")</f>
        <v>x</v>
      </c>
      <c r="N13" s="146" t="str">
        <f>IF(VLOOKUP($A13,Sheet1!$A$3:$AW$699,9,FALSE)="●","x","")</f>
        <v/>
      </c>
      <c r="O13" s="146" t="str">
        <f>IF(VLOOKUP($A13,Sheet1!$A$3:$AW$699,10,FALSE)="■","x","")</f>
        <v/>
      </c>
      <c r="P13" s="9" t="str">
        <f>IF(VLOOKUP($A13,Sheet1!$A$3:$AW$699,2,FALSE)="","",VLOOKUP($A13,Sheet1!$A$3:$AW$699,2,FALSE))</f>
        <v>P2.052</v>
      </c>
    </row>
    <row r="14" spans="1:16" ht="122.4" x14ac:dyDescent="0.3">
      <c r="A14" s="6">
        <v>241</v>
      </c>
      <c r="B14" s="6" t="s">
        <v>446</v>
      </c>
      <c r="C14" s="9" t="str">
        <f>IF(VLOOKUP($A14,Sheet1!$A$3:$AW$699,25,FALSE)="","",VLOOKUP($A14,Sheet1!$A$3:$AW$699,25,FALSE))</f>
        <v>All</v>
      </c>
      <c r="D14" s="142" t="str">
        <f>IF(VLOOKUP($A14,Sheet1!$A$3:$AW$699,15,FALSE)="","",VLOOKUP($A14,Sheet1!$A$3:$AW$699,15,FALSE))</f>
        <v>0x0000</v>
      </c>
      <c r="E14" s="142" t="str">
        <f>IF(VLOOKUP($A14,Sheet1!$A$3:$AW$699,16,FALSE)="","",VLOOKUP($A14,Sheet1!$A$3:$AW$699,16,FALSE))</f>
        <v>0x0101</v>
      </c>
      <c r="F14" s="142" t="str">
        <f>IF(VLOOKUP($A14,Sheet1!$A$3:$AW$699,17,FALSE)="","",VLOOKUP($A14,Sheet1!$A$3:$AW$699,17,FALSE))</f>
        <v>0x0000</v>
      </c>
      <c r="G14" s="142" t="str">
        <f>IF(VLOOKUP($A14,Sheet1!$A$3:$AW$699,18,FALSE)="","",VLOOKUP($A14,Sheet1!$A$3:$AW$699,18,FALSE))</f>
        <v/>
      </c>
      <c r="H14" s="142" t="str">
        <f>IF(VLOOKUP($A14,Sheet1!$A$3:$AW$699,19,FALSE)="","",VLOOKUP($A14,Sheet1!$A$3:$AW$699,19,FALSE))</f>
        <v/>
      </c>
      <c r="I14" s="9" t="str">
        <f>IF(VLOOKUP($A14,Sheet1!$A$3:$AW$699,5,FALSE)="","",VLOOKUP($A14,Sheet1!$A$3:$AW$699,5,FALSE))</f>
        <v>UINT</v>
      </c>
      <c r="J14" s="17" t="s">
        <v>447</v>
      </c>
      <c r="K14" s="6" t="s">
        <v>433</v>
      </c>
      <c r="L14" s="146" t="str">
        <f>IF(VLOOKUP($A14,Sheet1!$A$3:$AW$699,7,FALSE)="★","x","")</f>
        <v/>
      </c>
      <c r="M14" s="146" t="str">
        <f>IF(VLOOKUP($A14,Sheet1!$A$3:$AW$699,8,FALSE)="▲","x","")</f>
        <v/>
      </c>
      <c r="N14" s="146" t="str">
        <f>IF(VLOOKUP($A14,Sheet1!$A$3:$AW$699,9,FALSE)="●","x","")</f>
        <v/>
      </c>
      <c r="O14" s="146" t="str">
        <f>IF(VLOOKUP($A14,Sheet1!$A$3:$AW$699,10,FALSE)="■","x","")</f>
        <v/>
      </c>
      <c r="P14" s="9" t="str">
        <f>IF(VLOOKUP($A14,Sheet1!$A$3:$AW$699,2,FALSE)="","",VLOOKUP($A14,Sheet1!$A$3:$AW$699,2,FALSE))</f>
        <v>P2.068</v>
      </c>
    </row>
    <row r="15" spans="1:16" ht="30.6" x14ac:dyDescent="0.3">
      <c r="A15" s="6">
        <v>244</v>
      </c>
      <c r="B15" s="6" t="s">
        <v>448</v>
      </c>
      <c r="C15" s="9" t="str">
        <f>IF(VLOOKUP($A15,Sheet1!$A$3:$AW$699,25,FALSE)="","",VLOOKUP($A15,Sheet1!$A$3:$AW$699,25,FALSE))</f>
        <v>All</v>
      </c>
      <c r="D15" s="142" t="str">
        <f>IF(VLOOKUP($A15,Sheet1!$A$3:$AW$699,15,FALSE)="","",VLOOKUP($A15,Sheet1!$A$3:$AW$699,15,FALSE))</f>
        <v>0x0000</v>
      </c>
      <c r="E15" s="142" t="str">
        <f>IF(VLOOKUP($A15,Sheet1!$A$3:$AW$699,16,FALSE)="","",VLOOKUP($A15,Sheet1!$A$3:$AW$699,16,FALSE))</f>
        <v>0x0001</v>
      </c>
      <c r="F15" s="142" t="str">
        <f>IF(VLOOKUP($A15,Sheet1!$A$3:$AW$699,17,FALSE)="","",VLOOKUP($A15,Sheet1!$A$3:$AW$699,17,FALSE))</f>
        <v>0x0000</v>
      </c>
      <c r="G15" s="142" t="str">
        <f>IF(VLOOKUP($A15,Sheet1!$A$3:$AW$699,18,FALSE)="","",VLOOKUP($A15,Sheet1!$A$3:$AW$699,18,FALSE))</f>
        <v/>
      </c>
      <c r="H15" s="142" t="str">
        <f>IF(VLOOKUP($A15,Sheet1!$A$3:$AW$699,19,FALSE)="","",VLOOKUP($A15,Sheet1!$A$3:$AW$699,19,FALSE))</f>
        <v/>
      </c>
      <c r="I15" s="9" t="str">
        <f>IF(VLOOKUP($A15,Sheet1!$A$3:$AW$699,5,FALSE)="","",VLOOKUP($A15,Sheet1!$A$3:$AW$699,5,FALSE))</f>
        <v>UINT</v>
      </c>
      <c r="J15" s="8" t="s">
        <v>449</v>
      </c>
      <c r="K15" s="6" t="s">
        <v>433</v>
      </c>
      <c r="L15" s="146" t="str">
        <f>IF(VLOOKUP($A15,Sheet1!$A$3:$AW$699,7,FALSE)="★","x","")</f>
        <v/>
      </c>
      <c r="M15" s="146" t="str">
        <f>IF(VLOOKUP($A15,Sheet1!$A$3:$AW$699,8,FALSE)="▲","x","")</f>
        <v/>
      </c>
      <c r="N15" s="146" t="str">
        <f>IF(VLOOKUP($A15,Sheet1!$A$3:$AW$699,9,FALSE)="●","x","")</f>
        <v/>
      </c>
      <c r="O15" s="146" t="str">
        <f>IF(VLOOKUP($A15,Sheet1!$A$3:$AW$699,10,FALSE)="■","x","")</f>
        <v>x</v>
      </c>
      <c r="P15" s="9" t="str">
        <f>IF(VLOOKUP($A15,Sheet1!$A$3:$AW$699,2,FALSE)="","",VLOOKUP($A15,Sheet1!$A$3:$AW$699,2,FALSE))</f>
        <v>P2.071</v>
      </c>
    </row>
    <row r="16" spans="1:16" ht="132.6" x14ac:dyDescent="0.3">
      <c r="A16" s="6">
        <v>245</v>
      </c>
      <c r="B16" s="6" t="s">
        <v>450</v>
      </c>
      <c r="C16" s="9" t="str">
        <f>IF(VLOOKUP($A16,Sheet1!$A$3:$AW$699,25,FALSE)="","",VLOOKUP($A16,Sheet1!$A$3:$AW$699,25,FALSE))</f>
        <v>PR/IO</v>
      </c>
      <c r="D16" s="142" t="str">
        <f>IF(VLOOKUP($A16,Sheet1!$A$3:$AW$699,15,FALSE)="","",VLOOKUP($A16,Sheet1!$A$3:$AW$699,15,FALSE))</f>
        <v>0x00000000</v>
      </c>
      <c r="E16" s="142" t="str">
        <f>IF(VLOOKUP($A16,Sheet1!$A$3:$AW$699,16,FALSE)="","",VLOOKUP($A16,Sheet1!$A$3:$AW$699,16,FALSE))</f>
        <v>0x5F3F6F5F</v>
      </c>
      <c r="F16" s="142" t="str">
        <f>IF(VLOOKUP($A16,Sheet1!$A$3:$AW$699,17,FALSE)="","",VLOOKUP($A16,Sheet1!$A$3:$AW$699,17,FALSE))</f>
        <v>0x00000000</v>
      </c>
      <c r="G16" s="142" t="str">
        <f>IF(VLOOKUP($A16,Sheet1!$A$3:$AW$699,18,FALSE)="","",VLOOKUP($A16,Sheet1!$A$3:$AW$699,18,FALSE))</f>
        <v/>
      </c>
      <c r="H16" s="142" t="str">
        <f>IF(VLOOKUP($A16,Sheet1!$A$3:$AW$699,19,FALSE)="","",VLOOKUP($A16,Sheet1!$A$3:$AW$699,19,FALSE))</f>
        <v/>
      </c>
      <c r="I16" s="9" t="str">
        <f>IF(VLOOKUP($A16,Sheet1!$A$3:$AW$699,5,FALSE)="","",VLOOKUP($A16,Sheet1!$A$3:$AW$699,5,FALSE))</f>
        <v>UDINT</v>
      </c>
      <c r="J16" s="8" t="s">
        <v>451</v>
      </c>
      <c r="K16" s="6" t="s">
        <v>433</v>
      </c>
      <c r="L16" s="146" t="str">
        <f>IF(VLOOKUP($A16,Sheet1!$A$3:$AW$699,7,FALSE)="★","x","")</f>
        <v/>
      </c>
      <c r="M16" s="146" t="str">
        <f>IF(VLOOKUP($A16,Sheet1!$A$3:$AW$699,8,FALSE)="▲","x","")</f>
        <v/>
      </c>
      <c r="N16" s="146" t="str">
        <f>IF(VLOOKUP($A16,Sheet1!$A$3:$AW$699,9,FALSE)="●","x","")</f>
        <v/>
      </c>
      <c r="O16" s="146" t="str">
        <f>IF(VLOOKUP($A16,Sheet1!$A$3:$AW$699,10,FALSE)="■","x","")</f>
        <v/>
      </c>
      <c r="P16" s="9" t="str">
        <f>IF(VLOOKUP($A16,Sheet1!$A$3:$AW$699,2,FALSE)="","",VLOOKUP($A16,Sheet1!$A$3:$AW$699,2,FALSE))</f>
        <v>P2.073</v>
      </c>
    </row>
    <row r="17" spans="1:16" ht="40.799999999999997" x14ac:dyDescent="0.3">
      <c r="A17" s="6">
        <v>246</v>
      </c>
      <c r="B17" s="6" t="s">
        <v>452</v>
      </c>
      <c r="C17" s="9" t="str">
        <f>IF(VLOOKUP($A17,Sheet1!$A$3:$AW$699,25,FALSE)="","",VLOOKUP($A17,Sheet1!$A$3:$AW$699,25,FALSE))</f>
        <v>PR/IO</v>
      </c>
      <c r="D17" s="142">
        <f>IF(VLOOKUP($A17,Sheet1!$A$3:$AW$699,15,FALSE)="","",VLOOKUP($A17,Sheet1!$A$3:$AW$699,15,FALSE))</f>
        <v>-25000</v>
      </c>
      <c r="E17" s="142">
        <f>IF(VLOOKUP($A17,Sheet1!$A$3:$AW$699,16,FALSE)="","",VLOOKUP($A17,Sheet1!$A$3:$AW$699,16,FALSE))</f>
        <v>25000</v>
      </c>
      <c r="F17" s="142">
        <f>IF(VLOOKUP($A17,Sheet1!$A$3:$AW$699,17,FALSE)="","",VLOOKUP($A17,Sheet1!$A$3:$AW$699,17,FALSE))</f>
        <v>0</v>
      </c>
      <c r="G17" s="142">
        <f>IF(VLOOKUP($A17,Sheet1!$A$3:$AW$699,18,FALSE)="","",VLOOKUP($A17,Sheet1!$A$3:$AW$699,18,FALSE))</f>
        <v>1E-3</v>
      </c>
      <c r="H17" s="142" t="str">
        <f>IF(VLOOKUP($A17,Sheet1!$A$3:$AW$699,19,FALSE)="","",VLOOKUP($A17,Sheet1!$A$3:$AW$699,19,FALSE))</f>
        <v>ms</v>
      </c>
      <c r="I17" s="9" t="str">
        <f>IF(VLOOKUP($A17,Sheet1!$A$3:$AW$699,5,FALSE)="","",VLOOKUP($A17,Sheet1!$A$3:$AW$699,5,FALSE))</f>
        <v>INT</v>
      </c>
      <c r="J17" s="8" t="s">
        <v>453</v>
      </c>
      <c r="K17" s="6" t="s">
        <v>433</v>
      </c>
      <c r="L17" s="146" t="str">
        <f>IF(VLOOKUP($A17,Sheet1!$A$3:$AW$699,7,FALSE)="★","x","")</f>
        <v/>
      </c>
      <c r="M17" s="146" t="str">
        <f>IF(VLOOKUP($A17,Sheet1!$A$3:$AW$699,8,FALSE)="▲","x","")</f>
        <v/>
      </c>
      <c r="N17" s="146" t="str">
        <f>IF(VLOOKUP($A17,Sheet1!$A$3:$AW$699,9,FALSE)="●","x","")</f>
        <v/>
      </c>
      <c r="O17" s="146" t="str">
        <f>IF(VLOOKUP($A17,Sheet1!$A$3:$AW$699,10,FALSE)="■","x","")</f>
        <v/>
      </c>
      <c r="P17" s="9" t="str">
        <f>IF(VLOOKUP($A17,Sheet1!$A$3:$AW$699,2,FALSE)="","",VLOOKUP($A17,Sheet1!$A$3:$AW$699,2,FALSE))</f>
        <v>P2.074</v>
      </c>
    </row>
    <row r="18" spans="1:16" ht="51" x14ac:dyDescent="0.3">
      <c r="A18" s="6">
        <v>247</v>
      </c>
      <c r="B18" s="6" t="s">
        <v>454</v>
      </c>
      <c r="C18" s="9" t="str">
        <f>IF(VLOOKUP($A18,Sheet1!$A$3:$AW$699,25,FALSE)="","",VLOOKUP($A18,Sheet1!$A$3:$AW$699,25,FALSE))</f>
        <v>PR/IO</v>
      </c>
      <c r="D18" s="142">
        <f>IF(VLOOKUP($A18,Sheet1!$A$3:$AW$699,15,FALSE)="","",VLOOKUP($A18,Sheet1!$A$3:$AW$699,15,FALSE))</f>
        <v>-1000000000</v>
      </c>
      <c r="E18" s="142">
        <f>IF(VLOOKUP($A18,Sheet1!$A$3:$AW$699,16,FALSE)="","",VLOOKUP($A18,Sheet1!$A$3:$AW$699,16,FALSE))</f>
        <v>1000000000</v>
      </c>
      <c r="F18" s="142">
        <f>IF(VLOOKUP($A18,Sheet1!$A$3:$AW$699,17,FALSE)="","",VLOOKUP($A18,Sheet1!$A$3:$AW$699,17,FALSE))</f>
        <v>0</v>
      </c>
      <c r="G18" s="142" t="str">
        <f>IF(VLOOKUP($A18,Sheet1!$A$3:$AW$699,18,FALSE)="","",VLOOKUP($A18,Sheet1!$A$3:$AW$699,18,FALSE))</f>
        <v/>
      </c>
      <c r="H18" s="142" t="str">
        <f>IF(VLOOKUP($A18,Sheet1!$A$3:$AW$699,19,FALSE)="","",VLOOKUP($A18,Sheet1!$A$3:$AW$699,19,FALSE))</f>
        <v/>
      </c>
      <c r="I18" s="9" t="str">
        <f>IF(VLOOKUP($A18,Sheet1!$A$3:$AW$699,5,FALSE)="","",VLOOKUP($A18,Sheet1!$A$3:$AW$699,5,FALSE))</f>
        <v>DINT</v>
      </c>
      <c r="J18" s="8" t="s">
        <v>455</v>
      </c>
      <c r="K18" s="6" t="s">
        <v>433</v>
      </c>
      <c r="L18" s="146" t="str">
        <f>IF(VLOOKUP($A18,Sheet1!$A$3:$AW$699,7,FALSE)="★","x","")</f>
        <v/>
      </c>
      <c r="M18" s="146" t="str">
        <f>IF(VLOOKUP($A18,Sheet1!$A$3:$AW$699,8,FALSE)="▲","x","")</f>
        <v/>
      </c>
      <c r="N18" s="146" t="str">
        <f>IF(VLOOKUP($A18,Sheet1!$A$3:$AW$699,9,FALSE)="●","x","")</f>
        <v/>
      </c>
      <c r="O18" s="146" t="str">
        <f>IF(VLOOKUP($A18,Sheet1!$A$3:$AW$699,10,FALSE)="■","x","")</f>
        <v>x</v>
      </c>
      <c r="P18" s="9" t="str">
        <f>IF(VLOOKUP($A18,Sheet1!$A$3:$AW$699,2,FALSE)="","",VLOOKUP($A18,Sheet1!$A$3:$AW$699,2,FALSE))</f>
        <v>P2.075</v>
      </c>
    </row>
    <row r="19" spans="1:16" ht="234.6" x14ac:dyDescent="0.3">
      <c r="A19" s="6">
        <v>248</v>
      </c>
      <c r="B19" s="6" t="s">
        <v>456</v>
      </c>
      <c r="C19" s="9" t="str">
        <f>IF(VLOOKUP($A19,Sheet1!$A$3:$AW$699,25,FALSE)="","",VLOOKUP($A19,Sheet1!$A$3:$AW$699,25,FALSE))</f>
        <v>PR/IO</v>
      </c>
      <c r="D19" s="142" t="str">
        <f>IF(VLOOKUP($A19,Sheet1!$A$3:$AW$699,15,FALSE)="","",VLOOKUP($A19,Sheet1!$A$3:$AW$699,15,FALSE))</f>
        <v>0x0000</v>
      </c>
      <c r="E19" s="142" t="str">
        <f>IF(VLOOKUP($A19,Sheet1!$A$3:$AW$699,16,FALSE)="","",VLOOKUP($A19,Sheet1!$A$3:$AW$699,16,FALSE))</f>
        <v>0x6FF7</v>
      </c>
      <c r="F19" s="142" t="str">
        <f>IF(VLOOKUP($A19,Sheet1!$A$3:$AW$699,17,FALSE)="","",VLOOKUP($A19,Sheet1!$A$3:$AW$699,17,FALSE))</f>
        <v>0x0000</v>
      </c>
      <c r="G19" s="142" t="str">
        <f>IF(VLOOKUP($A19,Sheet1!$A$3:$AW$699,18,FALSE)="","",VLOOKUP($A19,Sheet1!$A$3:$AW$699,18,FALSE))</f>
        <v/>
      </c>
      <c r="H19" s="142" t="str">
        <f>IF(VLOOKUP($A19,Sheet1!$A$3:$AW$699,19,FALSE)="","",VLOOKUP($A19,Sheet1!$A$3:$AW$699,19,FALSE))</f>
        <v/>
      </c>
      <c r="I19" s="9" t="str">
        <f>IF(VLOOKUP($A19,Sheet1!$A$3:$AW$699,5,FALSE)="","",VLOOKUP($A19,Sheet1!$A$3:$AW$699,5,FALSE))</f>
        <v>UINT</v>
      </c>
      <c r="J19" s="8" t="s">
        <v>457</v>
      </c>
      <c r="K19" s="6" t="s">
        <v>433</v>
      </c>
      <c r="L19" s="146" t="str">
        <f>IF(VLOOKUP($A19,Sheet1!$A$3:$AW$699,7,FALSE)="★","x","")</f>
        <v/>
      </c>
      <c r="M19" s="146" t="str">
        <f>IF(VLOOKUP($A19,Sheet1!$A$3:$AW$699,8,FALSE)="▲","x","")</f>
        <v/>
      </c>
      <c r="N19" s="146" t="str">
        <f>IF(VLOOKUP($A19,Sheet1!$A$3:$AW$699,9,FALSE)="●","x","")</f>
        <v/>
      </c>
      <c r="O19" s="146" t="str">
        <f>IF(VLOOKUP($A19,Sheet1!$A$3:$AW$699,10,FALSE)="■","x","")</f>
        <v>x</v>
      </c>
      <c r="P19" s="9" t="str">
        <f>IF(VLOOKUP($A19,Sheet1!$A$3:$AW$699,2,FALSE)="","",VLOOKUP($A19,Sheet1!$A$3:$AW$699,2,FALSE))</f>
        <v>P2.076</v>
      </c>
    </row>
    <row r="20" spans="1:16" ht="71.400000000000006" x14ac:dyDescent="0.3">
      <c r="A20" s="6">
        <v>249</v>
      </c>
      <c r="B20" s="6" t="s">
        <v>458</v>
      </c>
      <c r="C20" s="9" t="str">
        <f>IF(VLOOKUP($A20,Sheet1!$A$3:$AW$699,25,FALSE)="","",VLOOKUP($A20,Sheet1!$A$3:$AW$699,25,FALSE))</f>
        <v>PR/IO</v>
      </c>
      <c r="D20" s="142">
        <f>IF(VLOOKUP($A20,Sheet1!$A$3:$AW$699,15,FALSE)="","",VLOOKUP($A20,Sheet1!$A$3:$AW$699,15,FALSE))</f>
        <v>0</v>
      </c>
      <c r="E20" s="142">
        <f>IF(VLOOKUP($A20,Sheet1!$A$3:$AW$699,16,FALSE)="","",VLOOKUP($A20,Sheet1!$A$3:$AW$699,16,FALSE))</f>
        <v>360</v>
      </c>
      <c r="F20" s="142">
        <f>IF(VLOOKUP($A20,Sheet1!$A$3:$AW$699,17,FALSE)="","",VLOOKUP($A20,Sheet1!$A$3:$AW$699,17,FALSE))</f>
        <v>270</v>
      </c>
      <c r="G20" s="142" t="str">
        <f>IF(VLOOKUP($A20,Sheet1!$A$3:$AW$699,18,FALSE)="","",VLOOKUP($A20,Sheet1!$A$3:$AW$699,18,FALSE))</f>
        <v/>
      </c>
      <c r="H20" s="142" t="str">
        <f>IF(VLOOKUP($A20,Sheet1!$A$3:$AW$699,19,FALSE)="","",VLOOKUP($A20,Sheet1!$A$3:$AW$699,19,FALSE))</f>
        <v>Degrees</v>
      </c>
      <c r="I20" s="9" t="str">
        <f>IF(VLOOKUP($A20,Sheet1!$A$3:$AW$699,5,FALSE)="","",VLOOKUP($A20,Sheet1!$A$3:$AW$699,5,FALSE))</f>
        <v>INT</v>
      </c>
      <c r="J20" s="8" t="s">
        <v>459</v>
      </c>
      <c r="K20" s="6" t="s">
        <v>433</v>
      </c>
      <c r="L20" s="146" t="str">
        <f>IF(VLOOKUP($A20,Sheet1!$A$3:$AW$699,7,FALSE)="★","x","")</f>
        <v/>
      </c>
      <c r="M20" s="146" t="str">
        <f>IF(VLOOKUP($A20,Sheet1!$A$3:$AW$699,8,FALSE)="▲","x","")</f>
        <v/>
      </c>
      <c r="N20" s="146" t="str">
        <f>IF(VLOOKUP($A20,Sheet1!$A$3:$AW$699,9,FALSE)="●","x","")</f>
        <v/>
      </c>
      <c r="O20" s="146" t="str">
        <f>IF(VLOOKUP($A20,Sheet1!$A$3:$AW$699,10,FALSE)="■","x","")</f>
        <v/>
      </c>
      <c r="P20" s="9" t="str">
        <f>IF(VLOOKUP($A20,Sheet1!$A$3:$AW$699,2,FALSE)="","",VLOOKUP($A20,Sheet1!$A$3:$AW$699,2,FALSE))</f>
        <v>P2.078</v>
      </c>
    </row>
    <row r="21" spans="1:16" ht="71.400000000000006" x14ac:dyDescent="0.3">
      <c r="A21" s="6">
        <v>250</v>
      </c>
      <c r="B21" s="6" t="s">
        <v>460</v>
      </c>
      <c r="C21" s="9" t="str">
        <f>IF(VLOOKUP($A21,Sheet1!$A$3:$AW$699,25,FALSE)="","",VLOOKUP($A21,Sheet1!$A$3:$AW$699,25,FALSE))</f>
        <v>PR/IO</v>
      </c>
      <c r="D21" s="142">
        <f>IF(VLOOKUP($A21,Sheet1!$A$3:$AW$699,15,FALSE)="","",VLOOKUP($A21,Sheet1!$A$3:$AW$699,15,FALSE))</f>
        <v>0</v>
      </c>
      <c r="E21" s="142">
        <f>IF(VLOOKUP($A21,Sheet1!$A$3:$AW$699,16,FALSE)="","",VLOOKUP($A21,Sheet1!$A$3:$AW$699,16,FALSE))</f>
        <v>360</v>
      </c>
      <c r="F21" s="142">
        <f>IF(VLOOKUP($A21,Sheet1!$A$3:$AW$699,17,FALSE)="","",VLOOKUP($A21,Sheet1!$A$3:$AW$699,17,FALSE))</f>
        <v>360</v>
      </c>
      <c r="G21" s="142" t="str">
        <f>IF(VLOOKUP($A21,Sheet1!$A$3:$AW$699,18,FALSE)="","",VLOOKUP($A21,Sheet1!$A$3:$AW$699,18,FALSE))</f>
        <v/>
      </c>
      <c r="H21" s="142" t="str">
        <f>IF(VLOOKUP($A21,Sheet1!$A$3:$AW$699,19,FALSE)="","",VLOOKUP($A21,Sheet1!$A$3:$AW$699,19,FALSE))</f>
        <v>Degrees</v>
      </c>
      <c r="I21" s="9" t="str">
        <f>IF(VLOOKUP($A21,Sheet1!$A$3:$AW$699,5,FALSE)="","",VLOOKUP($A21,Sheet1!$A$3:$AW$699,5,FALSE))</f>
        <v>INT</v>
      </c>
      <c r="J21" s="8" t="s">
        <v>461</v>
      </c>
      <c r="K21" s="6" t="s">
        <v>433</v>
      </c>
      <c r="L21" s="146" t="str">
        <f>IF(VLOOKUP($A21,Sheet1!$A$3:$AW$699,7,FALSE)="★","x","")</f>
        <v/>
      </c>
      <c r="M21" s="146" t="str">
        <f>IF(VLOOKUP($A21,Sheet1!$A$3:$AW$699,8,FALSE)="▲","x","")</f>
        <v/>
      </c>
      <c r="N21" s="146" t="str">
        <f>IF(VLOOKUP($A21,Sheet1!$A$3:$AW$699,9,FALSE)="●","x","")</f>
        <v/>
      </c>
      <c r="O21" s="146" t="str">
        <f>IF(VLOOKUP($A21,Sheet1!$A$3:$AW$699,10,FALSE)="■","x","")</f>
        <v/>
      </c>
      <c r="P21" s="9" t="str">
        <f>IF(VLOOKUP($A21,Sheet1!$A$3:$AW$699,2,FALSE)="","",VLOOKUP($A21,Sheet1!$A$3:$AW$699,2,FALSE))</f>
        <v>P2.079</v>
      </c>
    </row>
    <row r="22" spans="1:16" ht="163.19999999999999" x14ac:dyDescent="0.3">
      <c r="A22" s="6">
        <v>296</v>
      </c>
      <c r="B22" s="6" t="s">
        <v>462</v>
      </c>
      <c r="C22" s="9" t="str">
        <f>IF(VLOOKUP($A22,Sheet1!$A$3:$AW$699,25,FALSE)="","",VLOOKUP($A22,Sheet1!$A$3:$AW$699,25,FALSE))</f>
        <v>All</v>
      </c>
      <c r="D22" s="142" t="str">
        <f>IF(VLOOKUP($A22,Sheet1!$A$3:$AW$699,15,FALSE)="","",VLOOKUP($A22,Sheet1!$A$3:$AW$699,15,FALSE))</f>
        <v>0x00000000</v>
      </c>
      <c r="E22" s="142" t="str">
        <f>IF(VLOOKUP($A22,Sheet1!$A$3:$AW$699,16,FALSE)="","",VLOOKUP($A22,Sheet1!$A$3:$AW$699,16,FALSE))</f>
        <v>0xFFFFFFFF</v>
      </c>
      <c r="F22" s="142" t="str">
        <f>IF(VLOOKUP($A22,Sheet1!$A$3:$AW$699,17,FALSE)="","",VLOOKUP($A22,Sheet1!$A$3:$AW$699,17,FALSE))</f>
        <v>0xEEEFEEFF</v>
      </c>
      <c r="G22" s="142" t="str">
        <f>IF(VLOOKUP($A22,Sheet1!$A$3:$AW$699,18,FALSE)="","",VLOOKUP($A22,Sheet1!$A$3:$AW$699,18,FALSE))</f>
        <v/>
      </c>
      <c r="H22" s="142" t="str">
        <f>IF(VLOOKUP($A22,Sheet1!$A$3:$AW$699,19,FALSE)="","",VLOOKUP($A22,Sheet1!$A$3:$AW$699,19,FALSE))</f>
        <v/>
      </c>
      <c r="I22" s="9" t="str">
        <f>IF(VLOOKUP($A22,Sheet1!$A$3:$AW$699,5,FALSE)="","",VLOOKUP($A22,Sheet1!$A$3:$AW$699,5,FALSE))</f>
        <v>UDINT</v>
      </c>
      <c r="J22" s="8" t="s">
        <v>463</v>
      </c>
      <c r="K22" s="6" t="s">
        <v>433</v>
      </c>
      <c r="L22" s="146" t="str">
        <f>IF(VLOOKUP($A22,Sheet1!$A$3:$AW$699,7,FALSE)="★","x","")</f>
        <v/>
      </c>
      <c r="M22" s="146" t="str">
        <f>IF(VLOOKUP($A22,Sheet1!$A$3:$AW$699,8,FALSE)="▲","x","")</f>
        <v/>
      </c>
      <c r="N22" s="146" t="str">
        <f>IF(VLOOKUP($A22,Sheet1!$A$3:$AW$699,9,FALSE)="●","x","")</f>
        <v/>
      </c>
      <c r="O22" s="146" t="str">
        <f>IF(VLOOKUP($A22,Sheet1!$A$3:$AW$699,10,FALSE)="■","x","")</f>
        <v/>
      </c>
      <c r="P22" s="9" t="str">
        <f>IF(VLOOKUP($A22,Sheet1!$A$3:$AW$699,2,FALSE)="","",VLOOKUP($A22,Sheet1!$A$3:$AW$699,2,FALSE))</f>
        <v>P5.003</v>
      </c>
    </row>
    <row r="23" spans="1:16" ht="255" x14ac:dyDescent="0.3">
      <c r="A23" s="6">
        <v>297</v>
      </c>
      <c r="B23" s="6" t="s">
        <v>464</v>
      </c>
      <c r="C23" s="9" t="str">
        <f>IF(VLOOKUP($A23,Sheet1!$A$3:$AW$699,25,FALSE)="","",VLOOKUP($A23,Sheet1!$A$3:$AW$699,25,FALSE))</f>
        <v>PR/IO</v>
      </c>
      <c r="D23" s="142" t="str">
        <f>IF(VLOOKUP($A23,Sheet1!$A$3:$AW$699,15,FALSE)="","",VLOOKUP($A23,Sheet1!$A$3:$AW$699,15,FALSE))</f>
        <v>0x0000</v>
      </c>
      <c r="E23" s="142" t="str">
        <f>IF(VLOOKUP($A23,Sheet1!$A$3:$AW$699,16,FALSE)="","",VLOOKUP($A23,Sheet1!$A$3:$AW$699,16,FALSE))</f>
        <v>0x012A</v>
      </c>
      <c r="F23" s="142" t="str">
        <f>IF(VLOOKUP($A23,Sheet1!$A$3:$AW$699,17,FALSE)="","",VLOOKUP($A23,Sheet1!$A$3:$AW$699,17,FALSE))</f>
        <v>0x0000</v>
      </c>
      <c r="G23" s="142" t="str">
        <f>IF(VLOOKUP($A23,Sheet1!$A$3:$AW$699,18,FALSE)="","",VLOOKUP($A23,Sheet1!$A$3:$AW$699,18,FALSE))</f>
        <v/>
      </c>
      <c r="H23" s="142" t="str">
        <f>IF(VLOOKUP($A23,Sheet1!$A$3:$AW$699,19,FALSE)="","",VLOOKUP($A23,Sheet1!$A$3:$AW$699,19,FALSE))</f>
        <v/>
      </c>
      <c r="I23" s="9" t="str">
        <f>IF(VLOOKUP($A23,Sheet1!$A$3:$AW$699,5,FALSE)="","",VLOOKUP($A23,Sheet1!$A$3:$AW$699,5,FALSE))</f>
        <v>UINT</v>
      </c>
      <c r="J23" s="17" t="s">
        <v>465</v>
      </c>
      <c r="K23" s="9" t="s">
        <v>466</v>
      </c>
      <c r="L23" s="146" t="str">
        <f>IF(VLOOKUP($A23,Sheet1!$A$3:$AW$699,7,FALSE)="★","x","")</f>
        <v/>
      </c>
      <c r="M23" s="146" t="str">
        <f>IF(VLOOKUP($A23,Sheet1!$A$3:$AW$699,8,FALSE)="▲","x","")</f>
        <v/>
      </c>
      <c r="N23" s="146" t="str">
        <f>IF(VLOOKUP($A23,Sheet1!$A$3:$AW$699,9,FALSE)="●","x","")</f>
        <v/>
      </c>
      <c r="O23" s="146" t="str">
        <f>IF(VLOOKUP($A23,Sheet1!$A$3:$AW$699,10,FALSE)="■","x","")</f>
        <v/>
      </c>
      <c r="P23" s="9" t="str">
        <f>IF(VLOOKUP($A23,Sheet1!$A$3:$AW$699,2,FALSE)="","",VLOOKUP($A23,Sheet1!$A$3:$AW$699,2,FALSE))</f>
        <v>P5.004</v>
      </c>
    </row>
    <row r="24" spans="1:16" ht="30.6" x14ac:dyDescent="0.3">
      <c r="A24" s="6">
        <v>298</v>
      </c>
      <c r="B24" s="6" t="s">
        <v>467</v>
      </c>
      <c r="C24" s="9" t="str">
        <f>IF(VLOOKUP($A24,Sheet1!$A$3:$AW$699,25,FALSE)="","",VLOOKUP($A24,Sheet1!$A$3:$AW$699,25,FALSE))</f>
        <v>PR/IO</v>
      </c>
      <c r="D24" s="142" t="str">
        <f>IF(VLOOKUP($A24,Sheet1!$A$3:$AW$699,15,FALSE)="","",VLOOKUP($A24,Sheet1!$A$3:$AW$699,15,FALSE))</f>
        <v>1
1</v>
      </c>
      <c r="E24" s="142" t="str">
        <f>IF(VLOOKUP($A24,Sheet1!$A$3:$AW$699,16,FALSE)="","",VLOOKUP($A24,Sheet1!$A$3:$AW$699,16,FALSE))</f>
        <v>20000
15999999</v>
      </c>
      <c r="F24" s="142" t="str">
        <f>IF(VLOOKUP($A24,Sheet1!$A$3:$AW$699,17,FALSE)="","",VLOOKUP($A24,Sheet1!$A$3:$AW$699,17,FALSE))</f>
        <v>1000
1000</v>
      </c>
      <c r="G24" s="142" t="str">
        <f>IF(VLOOKUP($A24,Sheet1!$A$3:$AW$699,18,FALSE)="","",VLOOKUP($A24,Sheet1!$A$3:$AW$699,18,FALSE))</f>
        <v>0.1
1</v>
      </c>
      <c r="H24" s="142" t="str">
        <f>IF(VLOOKUP($A24,Sheet1!$A$3:$AW$699,19,FALSE)="","",VLOOKUP($A24,Sheet1!$A$3:$AW$699,19,FALSE))</f>
        <v>RPM
um/s</v>
      </c>
      <c r="I24" s="9" t="str">
        <f>IF(VLOOKUP($A24,Sheet1!$A$3:$AW$699,5,FALSE)="","",VLOOKUP($A24,Sheet1!$A$3:$AW$699,5,FALSE))</f>
        <v>DINT</v>
      </c>
      <c r="J24" s="23" t="s">
        <v>468</v>
      </c>
      <c r="K24" s="9" t="s">
        <v>466</v>
      </c>
      <c r="L24" s="146" t="str">
        <f>IF(VLOOKUP($A24,Sheet1!$A$3:$AW$699,7,FALSE)="★","x","")</f>
        <v/>
      </c>
      <c r="M24" s="146" t="str">
        <f>IF(VLOOKUP($A24,Sheet1!$A$3:$AW$699,8,FALSE)="▲","x","")</f>
        <v/>
      </c>
      <c r="N24" s="146" t="str">
        <f>IF(VLOOKUP($A24,Sheet1!$A$3:$AW$699,9,FALSE)="●","x","")</f>
        <v/>
      </c>
      <c r="O24" s="146" t="str">
        <f>IF(VLOOKUP($A24,Sheet1!$A$3:$AW$699,10,FALSE)="■","x","")</f>
        <v/>
      </c>
      <c r="P24" s="9" t="str">
        <f>IF(VLOOKUP($A24,Sheet1!$A$3:$AW$699,2,FALSE)="","",VLOOKUP($A24,Sheet1!$A$3:$AW$699,2,FALSE))</f>
        <v>P5.005</v>
      </c>
    </row>
    <row r="25" spans="1:16" ht="30.6" x14ac:dyDescent="0.3">
      <c r="A25" s="6">
        <v>299</v>
      </c>
      <c r="B25" s="6" t="s">
        <v>469</v>
      </c>
      <c r="C25" s="9" t="str">
        <f>IF(VLOOKUP($A25,Sheet1!$A$3:$AW$699,25,FALSE)="","",VLOOKUP($A25,Sheet1!$A$3:$AW$699,25,FALSE))</f>
        <v>PR/IO</v>
      </c>
      <c r="D25" s="142" t="str">
        <f>IF(VLOOKUP($A25,Sheet1!$A$3:$AW$699,15,FALSE)="","",VLOOKUP($A25,Sheet1!$A$3:$AW$699,15,FALSE))</f>
        <v>1
1</v>
      </c>
      <c r="E25" s="142" t="str">
        <f>IF(VLOOKUP($A25,Sheet1!$A$3:$AW$699,16,FALSE)="","",VLOOKUP($A25,Sheet1!$A$3:$AW$699,16,FALSE))</f>
        <v>5000
15999999</v>
      </c>
      <c r="F25" s="142" t="str">
        <f>IF(VLOOKUP($A25,Sheet1!$A$3:$AW$699,17,FALSE)="","",VLOOKUP($A25,Sheet1!$A$3:$AW$699,17,FALSE))</f>
        <v>200
200</v>
      </c>
      <c r="G25" s="142" t="str">
        <f>IF(VLOOKUP($A25,Sheet1!$A$3:$AW$699,18,FALSE)="","",VLOOKUP($A25,Sheet1!$A$3:$AW$699,18,FALSE))</f>
        <v>0.1
1</v>
      </c>
      <c r="H25" s="142" t="str">
        <f>IF(VLOOKUP($A25,Sheet1!$A$3:$AW$699,19,FALSE)="","",VLOOKUP($A25,Sheet1!$A$3:$AW$699,19,FALSE))</f>
        <v>RPM
um/s</v>
      </c>
      <c r="I25" s="9" t="str">
        <f>IF(VLOOKUP($A25,Sheet1!$A$3:$AW$699,5,FALSE)="","",VLOOKUP($A25,Sheet1!$A$3:$AW$699,5,FALSE))</f>
        <v>DINT</v>
      </c>
      <c r="J25" s="23" t="s">
        <v>470</v>
      </c>
      <c r="K25" s="9" t="s">
        <v>466</v>
      </c>
      <c r="L25" s="146" t="str">
        <f>IF(VLOOKUP($A25,Sheet1!$A$3:$AW$699,7,FALSE)="★","x","")</f>
        <v/>
      </c>
      <c r="M25" s="146" t="str">
        <f>IF(VLOOKUP($A25,Sheet1!$A$3:$AW$699,8,FALSE)="▲","x","")</f>
        <v/>
      </c>
      <c r="N25" s="146" t="str">
        <f>IF(VLOOKUP($A25,Sheet1!$A$3:$AW$699,9,FALSE)="●","x","")</f>
        <v/>
      </c>
      <c r="O25" s="146" t="str">
        <f>IF(VLOOKUP($A25,Sheet1!$A$3:$AW$699,10,FALSE)="■","x","")</f>
        <v/>
      </c>
      <c r="P25" s="9" t="str">
        <f>IF(VLOOKUP($A25,Sheet1!$A$3:$AW$699,2,FALSE)="","",VLOOKUP($A25,Sheet1!$A$3:$AW$699,2,FALSE))</f>
        <v>P5.006</v>
      </c>
    </row>
    <row r="26" spans="1:16" ht="112.2" x14ac:dyDescent="0.3">
      <c r="A26" s="6">
        <v>300</v>
      </c>
      <c r="B26" s="6" t="s">
        <v>471</v>
      </c>
      <c r="C26" s="9" t="str">
        <f>IF(VLOOKUP($A26,Sheet1!$A$3:$AW$699,25,FALSE)="","",VLOOKUP($A26,Sheet1!$A$3:$AW$699,25,FALSE))</f>
        <v>PR/IO</v>
      </c>
      <c r="D26" s="142">
        <f>IF(VLOOKUP($A26,Sheet1!$A$3:$AW$699,15,FALSE)="","",VLOOKUP($A26,Sheet1!$A$3:$AW$699,15,FALSE))</f>
        <v>0</v>
      </c>
      <c r="E26" s="142">
        <f>IF(VLOOKUP($A26,Sheet1!$A$3:$AW$699,16,FALSE)="","",VLOOKUP($A26,Sheet1!$A$3:$AW$699,16,FALSE))</f>
        <v>20099</v>
      </c>
      <c r="F26" s="142">
        <f>IF(VLOOKUP($A26,Sheet1!$A$3:$AW$699,17,FALSE)="","",VLOOKUP($A26,Sheet1!$A$3:$AW$699,17,FALSE))</f>
        <v>0</v>
      </c>
      <c r="G26" s="142" t="str">
        <f>IF(VLOOKUP($A26,Sheet1!$A$3:$AW$699,18,FALSE)="","",VLOOKUP($A26,Sheet1!$A$3:$AW$699,18,FALSE))</f>
        <v/>
      </c>
      <c r="H26" s="142" t="str">
        <f>IF(VLOOKUP($A26,Sheet1!$A$3:$AW$699,19,FALSE)="","",VLOOKUP($A26,Sheet1!$A$3:$AW$699,19,FALSE))</f>
        <v/>
      </c>
      <c r="I26" s="9" t="str">
        <f>IF(VLOOKUP($A26,Sheet1!$A$3:$AW$699,5,FALSE)="","",VLOOKUP($A26,Sheet1!$A$3:$AW$699,5,FALSE))</f>
        <v>INT</v>
      </c>
      <c r="J26" s="8" t="s">
        <v>472</v>
      </c>
      <c r="K26" s="6" t="s">
        <v>433</v>
      </c>
      <c r="L26" s="146" t="str">
        <f>IF(VLOOKUP($A26,Sheet1!$A$3:$AW$699,7,FALSE)="★","x","")</f>
        <v/>
      </c>
      <c r="M26" s="146" t="str">
        <f>IF(VLOOKUP($A26,Sheet1!$A$3:$AW$699,8,FALSE)="▲","x","")</f>
        <v/>
      </c>
      <c r="N26" s="146" t="str">
        <f>IF(VLOOKUP($A26,Sheet1!$A$3:$AW$699,9,FALSE)="●","x","")</f>
        <v/>
      </c>
      <c r="O26" s="146" t="str">
        <f>IF(VLOOKUP($A26,Sheet1!$A$3:$AW$699,10,FALSE)="■","x","")</f>
        <v>x</v>
      </c>
      <c r="P26" s="9" t="str">
        <f>IF(VLOOKUP($A26,Sheet1!$A$3:$AW$699,2,FALSE)="","",VLOOKUP($A26,Sheet1!$A$3:$AW$699,2,FALSE))</f>
        <v>P5.007</v>
      </c>
    </row>
    <row r="27" spans="1:16" ht="30.6" x14ac:dyDescent="0.3">
      <c r="A27" s="6">
        <v>301</v>
      </c>
      <c r="B27" s="6" t="s">
        <v>473</v>
      </c>
      <c r="C27" s="9" t="str">
        <f>IF(VLOOKUP($A27,Sheet1!$A$3:$AW$699,25,FALSE)="","",VLOOKUP($A27,Sheet1!$A$3:$AW$699,25,FALSE))</f>
        <v>PR/IO</v>
      </c>
      <c r="D27" s="142">
        <f>IF(VLOOKUP($A27,Sheet1!$A$3:$AW$699,15,FALSE)="","",VLOOKUP($A27,Sheet1!$A$3:$AW$699,15,FALSE))</f>
        <v>-2147483648</v>
      </c>
      <c r="E27" s="142">
        <f>IF(VLOOKUP($A27,Sheet1!$A$3:$AW$699,16,FALSE)="","",VLOOKUP($A27,Sheet1!$A$3:$AW$699,16,FALSE))</f>
        <v>2147483647</v>
      </c>
      <c r="F27" s="142">
        <f>IF(VLOOKUP($A27,Sheet1!$A$3:$AW$699,17,FALSE)="","",VLOOKUP($A27,Sheet1!$A$3:$AW$699,17,FALSE))</f>
        <v>2147483647</v>
      </c>
      <c r="G27" s="142" t="str">
        <f>IF(VLOOKUP($A27,Sheet1!$A$3:$AW$699,18,FALSE)="","",VLOOKUP($A27,Sheet1!$A$3:$AW$699,18,FALSE))</f>
        <v/>
      </c>
      <c r="H27" s="142" t="str">
        <f>IF(VLOOKUP($A27,Sheet1!$A$3:$AW$699,19,FALSE)="","",VLOOKUP($A27,Sheet1!$A$3:$AW$699,19,FALSE))</f>
        <v>PUU</v>
      </c>
      <c r="I27" s="9" t="str">
        <f>IF(VLOOKUP($A27,Sheet1!$A$3:$AW$699,5,FALSE)="","",VLOOKUP($A27,Sheet1!$A$3:$AW$699,5,FALSE))</f>
        <v>DINT</v>
      </c>
      <c r="J27" s="17" t="s">
        <v>474</v>
      </c>
      <c r="K27" s="9" t="s">
        <v>475</v>
      </c>
      <c r="L27" s="146" t="str">
        <f>IF(VLOOKUP($A27,Sheet1!$A$3:$AW$699,7,FALSE)="★","x","")</f>
        <v/>
      </c>
      <c r="M27" s="146" t="str">
        <f>IF(VLOOKUP($A27,Sheet1!$A$3:$AW$699,8,FALSE)="▲","x","")</f>
        <v/>
      </c>
      <c r="N27" s="146" t="str">
        <f>IF(VLOOKUP($A27,Sheet1!$A$3:$AW$699,9,FALSE)="●","x","")</f>
        <v/>
      </c>
      <c r="O27" s="146" t="str">
        <f>IF(VLOOKUP($A27,Sheet1!$A$3:$AW$699,10,FALSE)="■","x","")</f>
        <v/>
      </c>
      <c r="P27" s="9" t="str">
        <f>IF(VLOOKUP($A27,Sheet1!$A$3:$AW$699,2,FALSE)="","",VLOOKUP($A27,Sheet1!$A$3:$AW$699,2,FALSE))</f>
        <v>P5.008</v>
      </c>
    </row>
    <row r="28" spans="1:16" ht="30.6" x14ac:dyDescent="0.3">
      <c r="A28" s="6">
        <v>302</v>
      </c>
      <c r="B28" s="6" t="s">
        <v>476</v>
      </c>
      <c r="C28" s="9" t="str">
        <f>IF(VLOOKUP($A28,Sheet1!$A$3:$AW$699,25,FALSE)="","",VLOOKUP($A28,Sheet1!$A$3:$AW$699,25,FALSE))</f>
        <v>PR/IO</v>
      </c>
      <c r="D28" s="142">
        <f>IF(VLOOKUP($A28,Sheet1!$A$3:$AW$699,15,FALSE)="","",VLOOKUP($A28,Sheet1!$A$3:$AW$699,15,FALSE))</f>
        <v>-2147483648</v>
      </c>
      <c r="E28" s="142">
        <f>IF(VLOOKUP($A28,Sheet1!$A$3:$AW$699,16,FALSE)="","",VLOOKUP($A28,Sheet1!$A$3:$AW$699,16,FALSE))</f>
        <v>2147483647</v>
      </c>
      <c r="F28" s="142">
        <f>IF(VLOOKUP($A28,Sheet1!$A$3:$AW$699,17,FALSE)="","",VLOOKUP($A28,Sheet1!$A$3:$AW$699,17,FALSE))</f>
        <v>-2147483648</v>
      </c>
      <c r="G28" s="142" t="str">
        <f>IF(VLOOKUP($A28,Sheet1!$A$3:$AW$699,18,FALSE)="","",VLOOKUP($A28,Sheet1!$A$3:$AW$699,18,FALSE))</f>
        <v/>
      </c>
      <c r="H28" s="142" t="str">
        <f>IF(VLOOKUP($A28,Sheet1!$A$3:$AW$699,19,FALSE)="","",VLOOKUP($A28,Sheet1!$A$3:$AW$699,19,FALSE))</f>
        <v>PUU</v>
      </c>
      <c r="I28" s="9" t="str">
        <f>IF(VLOOKUP($A28,Sheet1!$A$3:$AW$699,5,FALSE)="","",VLOOKUP($A28,Sheet1!$A$3:$AW$699,5,FALSE))</f>
        <v>DINT</v>
      </c>
      <c r="J28" s="17" t="s">
        <v>477</v>
      </c>
      <c r="K28" s="9" t="s">
        <v>475</v>
      </c>
      <c r="L28" s="146" t="str">
        <f>IF(VLOOKUP($A28,Sheet1!$A$3:$AW$699,7,FALSE)="★","x","")</f>
        <v/>
      </c>
      <c r="M28" s="146" t="str">
        <f>IF(VLOOKUP($A28,Sheet1!$A$3:$AW$699,8,FALSE)="▲","x","")</f>
        <v/>
      </c>
      <c r="N28" s="146" t="str">
        <f>IF(VLOOKUP($A28,Sheet1!$A$3:$AW$699,9,FALSE)="●","x","")</f>
        <v/>
      </c>
      <c r="O28" s="146" t="str">
        <f>IF(VLOOKUP($A28,Sheet1!$A$3:$AW$699,10,FALSE)="■","x","")</f>
        <v/>
      </c>
      <c r="P28" s="9" t="str">
        <f>IF(VLOOKUP($A28,Sheet1!$A$3:$AW$699,2,FALSE)="","",VLOOKUP($A28,Sheet1!$A$3:$AW$699,2,FALSE))</f>
        <v>P5.009</v>
      </c>
    </row>
    <row r="29" spans="1:16" ht="20.399999999999999" x14ac:dyDescent="0.3">
      <c r="A29" s="6">
        <v>303</v>
      </c>
      <c r="B29" s="6" t="s">
        <v>478</v>
      </c>
      <c r="C29" s="9" t="str">
        <f>IF(VLOOKUP($A29,Sheet1!$A$3:$AW$699,25,FALSE)="","",VLOOKUP($A29,Sheet1!$A$3:$AW$699,25,FALSE))</f>
        <v>All</v>
      </c>
      <c r="D29" s="142">
        <f>IF(VLOOKUP($A29,Sheet1!$A$3:$AW$699,15,FALSE)="","",VLOOKUP($A29,Sheet1!$A$3:$AW$699,15,FALSE))</f>
        <v>0</v>
      </c>
      <c r="E29" s="142">
        <f>IF(VLOOKUP($A29,Sheet1!$A$3:$AW$699,16,FALSE)="","",VLOOKUP($A29,Sheet1!$A$3:$AW$699,16,FALSE))</f>
        <v>32767</v>
      </c>
      <c r="F29" s="142">
        <f>IF(VLOOKUP($A29,Sheet1!$A$3:$AW$699,17,FALSE)="","",VLOOKUP($A29,Sheet1!$A$3:$AW$699,17,FALSE))</f>
        <v>800</v>
      </c>
      <c r="G29" s="142" t="str">
        <f>IF(VLOOKUP($A29,Sheet1!$A$3:$AW$699,18,FALSE)="","",VLOOKUP($A29,Sheet1!$A$3:$AW$699,18,FALSE))</f>
        <v/>
      </c>
      <c r="H29" s="142" t="str">
        <f>IF(VLOOKUP($A29,Sheet1!$A$3:$AW$699,19,FALSE)="","",VLOOKUP($A29,Sheet1!$A$3:$AW$699,19,FALSE))</f>
        <v/>
      </c>
      <c r="I29" s="9" t="str">
        <f>IF(VLOOKUP($A29,Sheet1!$A$3:$AW$699,5,FALSE)="","",VLOOKUP($A29,Sheet1!$A$3:$AW$699,5,FALSE))</f>
        <v>UINT</v>
      </c>
      <c r="J29" s="17" t="s">
        <v>479</v>
      </c>
      <c r="K29" s="6" t="s">
        <v>433</v>
      </c>
      <c r="L29" s="146" t="str">
        <f>IF(VLOOKUP($A29,Sheet1!$A$3:$AW$699,7,FALSE)="★","x","")</f>
        <v>x</v>
      </c>
      <c r="M29" s="146" t="str">
        <f>IF(VLOOKUP($A29,Sheet1!$A$3:$AW$699,8,FALSE)="▲","x","")</f>
        <v/>
      </c>
      <c r="N29" s="146" t="str">
        <f>IF(VLOOKUP($A29,Sheet1!$A$3:$AW$699,9,FALSE)="●","x","")</f>
        <v/>
      </c>
      <c r="O29" s="146" t="str">
        <f>IF(VLOOKUP($A29,Sheet1!$A$3:$AW$699,10,FALSE)="■","x","")</f>
        <v>x</v>
      </c>
      <c r="P29" s="9" t="str">
        <f>IF(VLOOKUP($A29,Sheet1!$A$3:$AW$699,2,FALSE)="","",VLOOKUP($A29,Sheet1!$A$3:$AW$699,2,FALSE))</f>
        <v>P5.010</v>
      </c>
    </row>
    <row r="30" spans="1:16" ht="30.6" x14ac:dyDescent="0.3">
      <c r="A30" s="6">
        <v>304</v>
      </c>
      <c r="B30" s="6" t="s">
        <v>480</v>
      </c>
      <c r="C30" s="9" t="str">
        <f>IF(VLOOKUP($A30,Sheet1!$A$3:$AW$699,25,FALSE)="","",VLOOKUP($A30,Sheet1!$A$3:$AW$699,25,FALSE))</f>
        <v>All</v>
      </c>
      <c r="D30" s="142">
        <f>IF(VLOOKUP($A30,Sheet1!$A$3:$AW$699,15,FALSE)="","",VLOOKUP($A30,Sheet1!$A$3:$AW$699,15,FALSE))</f>
        <v>0</v>
      </c>
      <c r="E30" s="142">
        <f>IF(VLOOKUP($A30,Sheet1!$A$3:$AW$699,16,FALSE)="","",VLOOKUP($A30,Sheet1!$A$3:$AW$699,16,FALSE))</f>
        <v>32767</v>
      </c>
      <c r="F30" s="142">
        <f>IF(VLOOKUP($A30,Sheet1!$A$3:$AW$699,17,FALSE)="","",VLOOKUP($A30,Sheet1!$A$3:$AW$699,17,FALSE))</f>
        <v>0</v>
      </c>
      <c r="G30" s="142" t="str">
        <f>IF(VLOOKUP($A30,Sheet1!$A$3:$AW$699,18,FALSE)="","",VLOOKUP($A30,Sheet1!$A$3:$AW$699,18,FALSE))</f>
        <v/>
      </c>
      <c r="H30" s="142" t="str">
        <f>IF(VLOOKUP($A30,Sheet1!$A$3:$AW$699,19,FALSE)="","",VLOOKUP($A30,Sheet1!$A$3:$AW$699,19,FALSE))</f>
        <v/>
      </c>
      <c r="I30" s="9" t="str">
        <f>IF(VLOOKUP($A30,Sheet1!$A$3:$AW$699,5,FALSE)="","",VLOOKUP($A30,Sheet1!$A$3:$AW$699,5,FALSE))</f>
        <v>INT</v>
      </c>
      <c r="J30" s="23" t="s">
        <v>481</v>
      </c>
      <c r="K30" s="6" t="s">
        <v>433</v>
      </c>
      <c r="L30" s="146" t="str">
        <f>IF(VLOOKUP($A30,Sheet1!$A$3:$AW$699,7,FALSE)="★","x","")</f>
        <v/>
      </c>
      <c r="M30" s="146" t="str">
        <f>IF(VLOOKUP($A30,Sheet1!$A$3:$AW$699,8,FALSE)="▲","x","")</f>
        <v/>
      </c>
      <c r="N30" s="146" t="str">
        <f>IF(VLOOKUP($A30,Sheet1!$A$3:$AW$699,9,FALSE)="●","x","")</f>
        <v/>
      </c>
      <c r="O30" s="146" t="str">
        <f>IF(VLOOKUP($A30,Sheet1!$A$3:$AW$699,10,FALSE)="■","x","")</f>
        <v>x</v>
      </c>
      <c r="P30" s="9" t="str">
        <f>IF(VLOOKUP($A30,Sheet1!$A$3:$AW$699,2,FALSE)="","",VLOOKUP($A30,Sheet1!$A$3:$AW$699,2,FALSE))</f>
        <v>P5.011</v>
      </c>
    </row>
    <row r="31" spans="1:16" ht="20.399999999999999" x14ac:dyDescent="0.3">
      <c r="A31" s="6">
        <v>305</v>
      </c>
      <c r="B31" s="6" t="s">
        <v>482</v>
      </c>
      <c r="C31" s="9" t="str">
        <f>IF(VLOOKUP($A31,Sheet1!$A$3:$AW$699,25,FALSE)="","",VLOOKUP($A31,Sheet1!$A$3:$AW$699,25,FALSE))</f>
        <v>All</v>
      </c>
      <c r="D31" s="142">
        <f>IF(VLOOKUP($A31,Sheet1!$A$3:$AW$699,15,FALSE)="","",VLOOKUP($A31,Sheet1!$A$3:$AW$699,15,FALSE))</f>
        <v>-2147483648</v>
      </c>
      <c r="E31" s="142">
        <f>IF(VLOOKUP($A31,Sheet1!$A$3:$AW$699,16,FALSE)="","",VLOOKUP($A31,Sheet1!$A$3:$AW$699,16,FALSE))</f>
        <v>2147483647</v>
      </c>
      <c r="F31" s="142">
        <f>IF(VLOOKUP($A31,Sheet1!$A$3:$AW$699,17,FALSE)="","",VLOOKUP($A31,Sheet1!$A$3:$AW$699,17,FALSE))</f>
        <v>0</v>
      </c>
      <c r="G31" s="142" t="str">
        <f>IF(VLOOKUP($A31,Sheet1!$A$3:$AW$699,18,FALSE)="","",VLOOKUP($A31,Sheet1!$A$3:$AW$699,18,FALSE))</f>
        <v/>
      </c>
      <c r="H31" s="142" t="str">
        <f>IF(VLOOKUP($A31,Sheet1!$A$3:$AW$699,19,FALSE)="","",VLOOKUP($A31,Sheet1!$A$3:$AW$699,19,FALSE))</f>
        <v/>
      </c>
      <c r="I31" s="9" t="str">
        <f>IF(VLOOKUP($A31,Sheet1!$A$3:$AW$699,5,FALSE)="","",VLOOKUP($A31,Sheet1!$A$3:$AW$699,5,FALSE))</f>
        <v>DINT</v>
      </c>
      <c r="J31" s="8" t="s">
        <v>483</v>
      </c>
      <c r="K31" s="6" t="s">
        <v>433</v>
      </c>
      <c r="L31" s="146" t="str">
        <f>IF(VLOOKUP($A31,Sheet1!$A$3:$AW$699,7,FALSE)="★","x","")</f>
        <v/>
      </c>
      <c r="M31" s="146" t="str">
        <f>IF(VLOOKUP($A31,Sheet1!$A$3:$AW$699,8,FALSE)="▲","x","")</f>
        <v/>
      </c>
      <c r="N31" s="146" t="str">
        <f>IF(VLOOKUP($A31,Sheet1!$A$3:$AW$699,9,FALSE)="●","x","")</f>
        <v/>
      </c>
      <c r="O31" s="146" t="str">
        <f>IF(VLOOKUP($A31,Sheet1!$A$3:$AW$699,10,FALSE)="■","x","")</f>
        <v>x</v>
      </c>
      <c r="P31" s="9" t="str">
        <f>IF(VLOOKUP($A31,Sheet1!$A$3:$AW$699,2,FALSE)="","",VLOOKUP($A31,Sheet1!$A$3:$AW$699,2,FALSE))</f>
        <v>P5.012</v>
      </c>
    </row>
    <row r="32" spans="1:16" ht="20.399999999999999" x14ac:dyDescent="0.3">
      <c r="A32" s="6">
        <v>306</v>
      </c>
      <c r="B32" s="6" t="s">
        <v>484</v>
      </c>
      <c r="C32" s="9" t="str">
        <f>IF(VLOOKUP($A32,Sheet1!$A$3:$AW$699,25,FALSE)="","",VLOOKUP($A32,Sheet1!$A$3:$AW$699,25,FALSE))</f>
        <v>All</v>
      </c>
      <c r="D32" s="142">
        <f>IF(VLOOKUP($A32,Sheet1!$A$3:$AW$699,15,FALSE)="","",VLOOKUP($A32,Sheet1!$A$3:$AW$699,15,FALSE))</f>
        <v>-2147483648</v>
      </c>
      <c r="E32" s="142">
        <f>IF(VLOOKUP($A32,Sheet1!$A$3:$AW$699,16,FALSE)="","",VLOOKUP($A32,Sheet1!$A$3:$AW$699,16,FALSE))</f>
        <v>2147483647</v>
      </c>
      <c r="F32" s="142">
        <f>IF(VLOOKUP($A32,Sheet1!$A$3:$AW$699,17,FALSE)="","",VLOOKUP($A32,Sheet1!$A$3:$AW$699,17,FALSE))</f>
        <v>0</v>
      </c>
      <c r="G32" s="142" t="str">
        <f>IF(VLOOKUP($A32,Sheet1!$A$3:$AW$699,18,FALSE)="","",VLOOKUP($A32,Sheet1!$A$3:$AW$699,18,FALSE))</f>
        <v/>
      </c>
      <c r="H32" s="142" t="str">
        <f>IF(VLOOKUP($A32,Sheet1!$A$3:$AW$699,19,FALSE)="","",VLOOKUP($A32,Sheet1!$A$3:$AW$699,19,FALSE))</f>
        <v/>
      </c>
      <c r="I32" s="9" t="str">
        <f>IF(VLOOKUP($A32,Sheet1!$A$3:$AW$699,5,FALSE)="","",VLOOKUP($A32,Sheet1!$A$3:$AW$699,5,FALSE))</f>
        <v>DINT</v>
      </c>
      <c r="J32" s="8" t="s">
        <v>485</v>
      </c>
      <c r="K32" s="6" t="s">
        <v>433</v>
      </c>
      <c r="L32" s="146" t="str">
        <f>IF(VLOOKUP($A32,Sheet1!$A$3:$AW$699,7,FALSE)="★","x","")</f>
        <v/>
      </c>
      <c r="M32" s="146" t="str">
        <f>IF(VLOOKUP($A32,Sheet1!$A$3:$AW$699,8,FALSE)="▲","x","")</f>
        <v/>
      </c>
      <c r="N32" s="146" t="str">
        <f>IF(VLOOKUP($A32,Sheet1!$A$3:$AW$699,9,FALSE)="●","x","")</f>
        <v/>
      </c>
      <c r="O32" s="146" t="str">
        <f>IF(VLOOKUP($A32,Sheet1!$A$3:$AW$699,10,FALSE)="■","x","")</f>
        <v>x</v>
      </c>
      <c r="P32" s="9" t="str">
        <f>IF(VLOOKUP($A32,Sheet1!$A$3:$AW$699,2,FALSE)="","",VLOOKUP($A32,Sheet1!$A$3:$AW$699,2,FALSE))</f>
        <v>P5.013</v>
      </c>
    </row>
    <row r="33" spans="1:16" ht="102" x14ac:dyDescent="0.3">
      <c r="A33" s="6">
        <v>307</v>
      </c>
      <c r="B33" s="6" t="s">
        <v>486</v>
      </c>
      <c r="C33" s="9" t="str">
        <f>IF(VLOOKUP($A33,Sheet1!$A$3:$AW$699,25,FALSE)="","",VLOOKUP($A33,Sheet1!$A$3:$AW$699,25,FALSE))</f>
        <v>All</v>
      </c>
      <c r="D33" s="142" t="str">
        <f>IF(VLOOKUP($A33,Sheet1!$A$3:$AW$699,15,FALSE)="","",VLOOKUP($A33,Sheet1!$A$3:$AW$699,15,FALSE))</f>
        <v>0x0000</v>
      </c>
      <c r="E33" s="142" t="str">
        <f>IF(VLOOKUP($A33,Sheet1!$A$3:$AW$699,16,FALSE)="","",VLOOKUP($A33,Sheet1!$A$3:$AW$699,16,FALSE))</f>
        <v>0x0011</v>
      </c>
      <c r="F33" s="142" t="str">
        <f>IF(VLOOKUP($A33,Sheet1!$A$3:$AW$699,17,FALSE)="","",VLOOKUP($A33,Sheet1!$A$3:$AW$699,17,FALSE))</f>
        <v>0x0000</v>
      </c>
      <c r="G33" s="142" t="str">
        <f>IF(VLOOKUP($A33,Sheet1!$A$3:$AW$699,18,FALSE)="","",VLOOKUP($A33,Sheet1!$A$3:$AW$699,18,FALSE))</f>
        <v/>
      </c>
      <c r="H33" s="142" t="str">
        <f>IF(VLOOKUP($A33,Sheet1!$A$3:$AW$699,19,FALSE)="","",VLOOKUP($A33,Sheet1!$A$3:$AW$699,19,FALSE))</f>
        <v/>
      </c>
      <c r="I33" s="9" t="str">
        <f>IF(VLOOKUP($A33,Sheet1!$A$3:$AW$699,5,FALSE)="","",VLOOKUP($A33,Sheet1!$A$3:$AW$699,5,FALSE))</f>
        <v>UINT</v>
      </c>
      <c r="J33" s="8" t="s">
        <v>487</v>
      </c>
      <c r="K33" s="6" t="s">
        <v>433</v>
      </c>
      <c r="L33" s="146" t="str">
        <f>IF(VLOOKUP($A33,Sheet1!$A$3:$AW$699,7,FALSE)="★","x","")</f>
        <v/>
      </c>
      <c r="M33" s="146" t="str">
        <f>IF(VLOOKUP($A33,Sheet1!$A$3:$AW$699,8,FALSE)="▲","x","")</f>
        <v/>
      </c>
      <c r="N33" s="146" t="str">
        <f>IF(VLOOKUP($A33,Sheet1!$A$3:$AW$699,9,FALSE)="●","x","")</f>
        <v/>
      </c>
      <c r="O33" s="146" t="str">
        <f>IF(VLOOKUP($A33,Sheet1!$A$3:$AW$699,10,FALSE)="■","x","")</f>
        <v>x</v>
      </c>
      <c r="P33" s="9" t="str">
        <f>IF(VLOOKUP($A33,Sheet1!$A$3:$AW$699,2,FALSE)="","",VLOOKUP($A33,Sheet1!$A$3:$AW$699,2,FALSE))</f>
        <v>P5.015</v>
      </c>
    </row>
    <row r="34" spans="1:16" ht="40.799999999999997" x14ac:dyDescent="0.3">
      <c r="A34" s="6">
        <v>308</v>
      </c>
      <c r="B34" s="6" t="s">
        <v>488</v>
      </c>
      <c r="C34" s="9" t="str">
        <f>IF(VLOOKUP($A34,Sheet1!$A$3:$AW$699,25,FALSE)="","",VLOOKUP($A34,Sheet1!$A$3:$AW$699,25,FALSE))</f>
        <v>All</v>
      </c>
      <c r="D34" s="142">
        <f>IF(VLOOKUP($A34,Sheet1!$A$3:$AW$699,15,FALSE)="","",VLOOKUP($A34,Sheet1!$A$3:$AW$699,15,FALSE))</f>
        <v>-2147483648</v>
      </c>
      <c r="E34" s="142">
        <f>IF(VLOOKUP($A34,Sheet1!$A$3:$AW$699,16,FALSE)="","",VLOOKUP($A34,Sheet1!$A$3:$AW$699,16,FALSE))</f>
        <v>2147483647</v>
      </c>
      <c r="F34" s="142">
        <f>IF(VLOOKUP($A34,Sheet1!$A$3:$AW$699,17,FALSE)="","",VLOOKUP($A34,Sheet1!$A$3:$AW$699,17,FALSE))</f>
        <v>0</v>
      </c>
      <c r="G34" s="142" t="str">
        <f>IF(VLOOKUP($A34,Sheet1!$A$3:$AW$699,18,FALSE)="","",VLOOKUP($A34,Sheet1!$A$3:$AW$699,18,FALSE))</f>
        <v/>
      </c>
      <c r="H34" s="142" t="str">
        <f>IF(VLOOKUP($A34,Sheet1!$A$3:$AW$699,19,FALSE)="","",VLOOKUP($A34,Sheet1!$A$3:$AW$699,19,FALSE))</f>
        <v>PUU</v>
      </c>
      <c r="I34" s="9" t="str">
        <f>IF(VLOOKUP($A34,Sheet1!$A$3:$AW$699,5,FALSE)="","",VLOOKUP($A34,Sheet1!$A$3:$AW$699,5,FALSE))</f>
        <v>DINT</v>
      </c>
      <c r="J34" s="7" t="s">
        <v>489</v>
      </c>
      <c r="K34" s="6" t="s">
        <v>433</v>
      </c>
      <c r="L34" s="146" t="str">
        <f>IF(VLOOKUP($A34,Sheet1!$A$3:$AW$699,7,FALSE)="★","x","")</f>
        <v/>
      </c>
      <c r="M34" s="146" t="str">
        <f>IF(VLOOKUP($A34,Sheet1!$A$3:$AW$699,8,FALSE)="▲","x","")</f>
        <v/>
      </c>
      <c r="N34" s="146" t="str">
        <f>IF(VLOOKUP($A34,Sheet1!$A$3:$AW$699,9,FALSE)="●","x","")</f>
        <v/>
      </c>
      <c r="O34" s="146" t="str">
        <f>IF(VLOOKUP($A34,Sheet1!$A$3:$AW$699,10,FALSE)="■","x","")</f>
        <v>x</v>
      </c>
      <c r="P34" s="9" t="str">
        <f>IF(VLOOKUP($A34,Sheet1!$A$3:$AW$699,2,FALSE)="","",VLOOKUP($A34,Sheet1!$A$3:$AW$699,2,FALSE))</f>
        <v>P5.016</v>
      </c>
    </row>
    <row r="35" spans="1:16" ht="20.399999999999999" x14ac:dyDescent="0.3">
      <c r="A35" s="6">
        <v>309</v>
      </c>
      <c r="B35" s="6" t="s">
        <v>490</v>
      </c>
      <c r="C35" s="9" t="str">
        <f>IF(VLOOKUP($A35,Sheet1!$A$3:$AW$699,25,FALSE)="","",VLOOKUP($A35,Sheet1!$A$3:$AW$699,25,FALSE))</f>
        <v>All</v>
      </c>
      <c r="D35" s="142">
        <f>IF(VLOOKUP($A35,Sheet1!$A$3:$AW$699,15,FALSE)="","",VLOOKUP($A35,Sheet1!$A$3:$AW$699,15,FALSE))</f>
        <v>-2147483648</v>
      </c>
      <c r="E35" s="142">
        <f>IF(VLOOKUP($A35,Sheet1!$A$3:$AW$699,16,FALSE)="","",VLOOKUP($A35,Sheet1!$A$3:$AW$699,16,FALSE))</f>
        <v>2147483647</v>
      </c>
      <c r="F35" s="142">
        <f>IF(VLOOKUP($A35,Sheet1!$A$3:$AW$699,17,FALSE)="","",VLOOKUP($A35,Sheet1!$A$3:$AW$699,17,FALSE))</f>
        <v>0</v>
      </c>
      <c r="G35" s="142" t="str">
        <f>IF(VLOOKUP($A35,Sheet1!$A$3:$AW$699,18,FALSE)="","",VLOOKUP($A35,Sheet1!$A$3:$AW$699,18,FALSE))</f>
        <v/>
      </c>
      <c r="H35" s="142" t="str">
        <f>IF(VLOOKUP($A35,Sheet1!$A$3:$AW$699,19,FALSE)="","",VLOOKUP($A35,Sheet1!$A$3:$AW$699,19,FALSE))</f>
        <v>Counts</v>
      </c>
      <c r="I35" s="9" t="str">
        <f>IF(VLOOKUP($A35,Sheet1!$A$3:$AW$699,5,FALSE)="","",VLOOKUP($A35,Sheet1!$A$3:$AW$699,5,FALSE))</f>
        <v>DINT</v>
      </c>
      <c r="J35" s="17" t="s">
        <v>491</v>
      </c>
      <c r="K35" s="6" t="s">
        <v>433</v>
      </c>
      <c r="L35" s="146" t="str">
        <f>IF(VLOOKUP($A35,Sheet1!$A$3:$AW$699,7,FALSE)="★","x","")</f>
        <v/>
      </c>
      <c r="M35" s="146" t="str">
        <f>IF(VLOOKUP($A35,Sheet1!$A$3:$AW$699,8,FALSE)="▲","x","")</f>
        <v/>
      </c>
      <c r="N35" s="146" t="str">
        <f>IF(VLOOKUP($A35,Sheet1!$A$3:$AW$699,9,FALSE)="●","x","")</f>
        <v/>
      </c>
      <c r="O35" s="146" t="str">
        <f>IF(VLOOKUP($A35,Sheet1!$A$3:$AW$699,10,FALSE)="■","x","")</f>
        <v/>
      </c>
      <c r="P35" s="9" t="str">
        <f>IF(VLOOKUP($A35,Sheet1!$A$3:$AW$699,2,FALSE)="","",VLOOKUP($A35,Sheet1!$A$3:$AW$699,2,FALSE))</f>
        <v>P5.017</v>
      </c>
    </row>
    <row r="36" spans="1:16" ht="20.399999999999999" x14ac:dyDescent="0.3">
      <c r="A36" s="6">
        <v>310</v>
      </c>
      <c r="B36" s="6" t="s">
        <v>492</v>
      </c>
      <c r="C36" s="9" t="str">
        <f>IF(VLOOKUP($A36,Sheet1!$A$3:$AW$699,25,FALSE)="","",VLOOKUP($A36,Sheet1!$A$3:$AW$699,25,FALSE))</f>
        <v>All</v>
      </c>
      <c r="D36" s="142">
        <f>IF(VLOOKUP($A36,Sheet1!$A$3:$AW$699,15,FALSE)="","",VLOOKUP($A36,Sheet1!$A$3:$AW$699,15,FALSE))</f>
        <v>-2147483648</v>
      </c>
      <c r="E36" s="142">
        <f>IF(VLOOKUP($A36,Sheet1!$A$3:$AW$699,16,FALSE)="","",VLOOKUP($A36,Sheet1!$A$3:$AW$699,16,FALSE))</f>
        <v>2147483647</v>
      </c>
      <c r="F36" s="142">
        <f>IF(VLOOKUP($A36,Sheet1!$A$3:$AW$699,17,FALSE)="","",VLOOKUP($A36,Sheet1!$A$3:$AW$699,17,FALSE))</f>
        <v>0</v>
      </c>
      <c r="G36" s="142" t="str">
        <f>IF(VLOOKUP($A36,Sheet1!$A$3:$AW$699,18,FALSE)="","",VLOOKUP($A36,Sheet1!$A$3:$AW$699,18,FALSE))</f>
        <v/>
      </c>
      <c r="H36" s="142" t="str">
        <f>IF(VLOOKUP($A36,Sheet1!$A$3:$AW$699,19,FALSE)="","",VLOOKUP($A36,Sheet1!$A$3:$AW$699,19,FALSE))</f>
        <v>Counts</v>
      </c>
      <c r="I36" s="9" t="str">
        <f>IF(VLOOKUP($A36,Sheet1!$A$3:$AW$699,5,FALSE)="","",VLOOKUP($A36,Sheet1!$A$3:$AW$699,5,FALSE))</f>
        <v>DINT</v>
      </c>
      <c r="J36" s="17" t="s">
        <v>493</v>
      </c>
      <c r="K36" s="6" t="s">
        <v>433</v>
      </c>
      <c r="L36" s="146" t="str">
        <f>IF(VLOOKUP($A36,Sheet1!$A$3:$AW$699,7,FALSE)="★","x","")</f>
        <v/>
      </c>
      <c r="M36" s="146" t="str">
        <f>IF(VLOOKUP($A36,Sheet1!$A$3:$AW$699,8,FALSE)="▲","x","")</f>
        <v/>
      </c>
      <c r="N36" s="146" t="str">
        <f>IF(VLOOKUP($A36,Sheet1!$A$3:$AW$699,9,FALSE)="●","x","")</f>
        <v/>
      </c>
      <c r="O36" s="146" t="str">
        <f>IF(VLOOKUP($A36,Sheet1!$A$3:$AW$699,10,FALSE)="■","x","")</f>
        <v/>
      </c>
      <c r="P36" s="9" t="str">
        <f>IF(VLOOKUP($A36,Sheet1!$A$3:$AW$699,2,FALSE)="","",VLOOKUP($A36,Sheet1!$A$3:$AW$699,2,FALSE))</f>
        <v>P5.018</v>
      </c>
    </row>
    <row r="37" spans="1:16" ht="81.599999999999994" x14ac:dyDescent="0.3">
      <c r="A37" s="6">
        <v>311</v>
      </c>
      <c r="B37" s="6" t="s">
        <v>494</v>
      </c>
      <c r="C37" s="9" t="str">
        <f>IF(VLOOKUP($A37,Sheet1!$A$3:$AW$699,25,FALSE)="","",VLOOKUP($A37,Sheet1!$A$3:$AW$699,25,FALSE))</f>
        <v>PR/IO</v>
      </c>
      <c r="D37" s="142">
        <f>IF(VLOOKUP($A37,Sheet1!$A$3:$AW$699,15,FALSE)="","",VLOOKUP($A37,Sheet1!$A$3:$AW$699,15,FALSE))</f>
        <v>-2147000000</v>
      </c>
      <c r="E37" s="142">
        <f>IF(VLOOKUP($A37,Sheet1!$A$3:$AW$699,16,FALSE)="","",VLOOKUP($A37,Sheet1!$A$3:$AW$699,16,FALSE))</f>
        <v>2147000000</v>
      </c>
      <c r="F37" s="142">
        <f>IF(VLOOKUP($A37,Sheet1!$A$3:$AW$699,17,FALSE)="","",VLOOKUP($A37,Sheet1!$A$3:$AW$699,17,FALSE))</f>
        <v>1000000</v>
      </c>
      <c r="G37" s="142">
        <f>IF(VLOOKUP($A37,Sheet1!$A$3:$AW$699,18,FALSE)="","",VLOOKUP($A37,Sheet1!$A$3:$AW$699,18,FALSE))</f>
        <v>9.9999999999999995E-7</v>
      </c>
      <c r="H37" s="142" t="str">
        <f>IF(VLOOKUP($A37,Sheet1!$A$3:$AW$699,19,FALSE)="","",VLOOKUP($A37,Sheet1!$A$3:$AW$699,19,FALSE))</f>
        <v/>
      </c>
      <c r="I37" s="9" t="str">
        <f>IF(VLOOKUP($A37,Sheet1!$A$3:$AW$699,5,FALSE)="","",VLOOKUP($A37,Sheet1!$A$3:$AW$699,5,FALSE))</f>
        <v>DINT</v>
      </c>
      <c r="J37" s="8" t="s">
        <v>495</v>
      </c>
      <c r="K37" s="9" t="s">
        <v>496</v>
      </c>
      <c r="L37" s="146" t="str">
        <f>IF(VLOOKUP($A37,Sheet1!$A$3:$AW$699,7,FALSE)="★","x","")</f>
        <v/>
      </c>
      <c r="M37" s="146" t="str">
        <f>IF(VLOOKUP($A37,Sheet1!$A$3:$AW$699,8,FALSE)="▲","x","")</f>
        <v/>
      </c>
      <c r="N37" s="146" t="str">
        <f>IF(VLOOKUP($A37,Sheet1!$A$3:$AW$699,9,FALSE)="●","x","")</f>
        <v/>
      </c>
      <c r="O37" s="146" t="str">
        <f>IF(VLOOKUP($A37,Sheet1!$A$3:$AW$699,10,FALSE)="■","x","")</f>
        <v/>
      </c>
      <c r="P37" s="9" t="str">
        <f>IF(VLOOKUP($A37,Sheet1!$A$3:$AW$699,2,FALSE)="","",VLOOKUP($A37,Sheet1!$A$3:$AW$699,2,FALSE))</f>
        <v>P5.019</v>
      </c>
    </row>
    <row r="38" spans="1:16" ht="40.799999999999997" x14ac:dyDescent="0.3">
      <c r="A38" s="6">
        <v>312</v>
      </c>
      <c r="B38" s="6" t="s">
        <v>497</v>
      </c>
      <c r="C38" s="9" t="str">
        <f>IF(VLOOKUP($A38,Sheet1!$A$3:$AW$699,25,FALSE)="","",VLOOKUP($A38,Sheet1!$A$3:$AW$699,25,FALSE))</f>
        <v>PR/IO</v>
      </c>
      <c r="D38" s="142">
        <f>IF(VLOOKUP($A38,Sheet1!$A$3:$AW$699,15,FALSE)="","",VLOOKUP($A38,Sheet1!$A$3:$AW$699,15,FALSE))</f>
        <v>1</v>
      </c>
      <c r="E38" s="142">
        <f>IF(VLOOKUP($A38,Sheet1!$A$3:$AW$699,16,FALSE)="","",VLOOKUP($A38,Sheet1!$A$3:$AW$699,16,FALSE))</f>
        <v>65500</v>
      </c>
      <c r="F38" s="142">
        <f>IF(VLOOKUP($A38,Sheet1!$A$3:$AW$699,17,FALSE)="","",VLOOKUP($A38,Sheet1!$A$3:$AW$699,17,FALSE))</f>
        <v>200</v>
      </c>
      <c r="G38" s="142" t="str">
        <f>IF(VLOOKUP($A38,Sheet1!$A$3:$AW$699,18,FALSE)="","",VLOOKUP($A38,Sheet1!$A$3:$AW$699,18,FALSE))</f>
        <v/>
      </c>
      <c r="H38" s="142" t="str">
        <f>IF(VLOOKUP($A38,Sheet1!$A$3:$AW$699,19,FALSE)="","",VLOOKUP($A38,Sheet1!$A$3:$AW$699,19,FALSE))</f>
        <v>ms</v>
      </c>
      <c r="I38" s="9" t="str">
        <f>IF(VLOOKUP($A38,Sheet1!$A$3:$AW$699,5,FALSE)="","",VLOOKUP($A38,Sheet1!$A$3:$AW$699,5,FALSE))</f>
        <v>UINT</v>
      </c>
      <c r="J38" s="7" t="s">
        <v>498</v>
      </c>
      <c r="K38" s="9" t="s">
        <v>499</v>
      </c>
      <c r="L38" s="146" t="str">
        <f>IF(VLOOKUP($A38,Sheet1!$A$3:$AW$699,7,FALSE)="★","x","")</f>
        <v/>
      </c>
      <c r="M38" s="146" t="str">
        <f>IF(VLOOKUP($A38,Sheet1!$A$3:$AW$699,8,FALSE)="▲","x","")</f>
        <v/>
      </c>
      <c r="N38" s="146" t="str">
        <f>IF(VLOOKUP($A38,Sheet1!$A$3:$AW$699,9,FALSE)="●","x","")</f>
        <v/>
      </c>
      <c r="O38" s="146" t="str">
        <f>IF(VLOOKUP($A38,Sheet1!$A$3:$AW$699,10,FALSE)="■","x","")</f>
        <v/>
      </c>
      <c r="P38" s="9" t="str">
        <f>IF(VLOOKUP($A38,Sheet1!$A$3:$AW$699,2,FALSE)="","",VLOOKUP($A38,Sheet1!$A$3:$AW$699,2,FALSE))</f>
        <v>P5.020</v>
      </c>
    </row>
    <row r="39" spans="1:16" ht="30.6" x14ac:dyDescent="0.3">
      <c r="A39" s="6">
        <v>313</v>
      </c>
      <c r="B39" s="6" t="s">
        <v>500</v>
      </c>
      <c r="C39" s="9" t="str">
        <f>IF(VLOOKUP($A39,Sheet1!$A$3:$AW$699,25,FALSE)="","",VLOOKUP($A39,Sheet1!$A$3:$AW$699,25,FALSE))</f>
        <v>PR/IO</v>
      </c>
      <c r="D39" s="142">
        <f>IF(VLOOKUP($A39,Sheet1!$A$3:$AW$699,15,FALSE)="","",VLOOKUP($A39,Sheet1!$A$3:$AW$699,15,FALSE))</f>
        <v>1</v>
      </c>
      <c r="E39" s="142">
        <f>IF(VLOOKUP($A39,Sheet1!$A$3:$AW$699,16,FALSE)="","",VLOOKUP($A39,Sheet1!$A$3:$AW$699,16,FALSE))</f>
        <v>65500</v>
      </c>
      <c r="F39" s="142">
        <f>IF(VLOOKUP($A39,Sheet1!$A$3:$AW$699,17,FALSE)="","",VLOOKUP($A39,Sheet1!$A$3:$AW$699,17,FALSE))</f>
        <v>300</v>
      </c>
      <c r="G39" s="142" t="str">
        <f>IF(VLOOKUP($A39,Sheet1!$A$3:$AW$699,18,FALSE)="","",VLOOKUP($A39,Sheet1!$A$3:$AW$699,18,FALSE))</f>
        <v/>
      </c>
      <c r="H39" s="142" t="str">
        <f>IF(VLOOKUP($A39,Sheet1!$A$3:$AW$699,19,FALSE)="","",VLOOKUP($A39,Sheet1!$A$3:$AW$699,19,FALSE))</f>
        <v>ms</v>
      </c>
      <c r="I39" s="9" t="str">
        <f>IF(VLOOKUP($A39,Sheet1!$A$3:$AW$699,5,FALSE)="","",VLOOKUP($A39,Sheet1!$A$3:$AW$699,5,FALSE))</f>
        <v>UINT</v>
      </c>
      <c r="J39" s="7" t="s">
        <v>501</v>
      </c>
      <c r="K39" s="9" t="s">
        <v>499</v>
      </c>
      <c r="L39" s="146" t="str">
        <f>IF(VLOOKUP($A39,Sheet1!$A$3:$AW$699,7,FALSE)="★","x","")</f>
        <v/>
      </c>
      <c r="M39" s="146" t="str">
        <f>IF(VLOOKUP($A39,Sheet1!$A$3:$AW$699,8,FALSE)="▲","x","")</f>
        <v/>
      </c>
      <c r="N39" s="146" t="str">
        <f>IF(VLOOKUP($A39,Sheet1!$A$3:$AW$699,9,FALSE)="●","x","")</f>
        <v/>
      </c>
      <c r="O39" s="146" t="str">
        <f>IF(VLOOKUP($A39,Sheet1!$A$3:$AW$699,10,FALSE)="■","x","")</f>
        <v/>
      </c>
      <c r="P39" s="9" t="str">
        <f>IF(VLOOKUP($A39,Sheet1!$A$3:$AW$699,2,FALSE)="","",VLOOKUP($A39,Sheet1!$A$3:$AW$699,2,FALSE))</f>
        <v>P5.021</v>
      </c>
    </row>
    <row r="40" spans="1:16" ht="30.6" x14ac:dyDescent="0.3">
      <c r="A40" s="6">
        <v>314</v>
      </c>
      <c r="B40" s="6" t="s">
        <v>502</v>
      </c>
      <c r="C40" s="9" t="str">
        <f>IF(VLOOKUP($A40,Sheet1!$A$3:$AW$699,25,FALSE)="","",VLOOKUP($A40,Sheet1!$A$3:$AW$699,25,FALSE))</f>
        <v>PR/IO</v>
      </c>
      <c r="D40" s="142">
        <f>IF(VLOOKUP($A40,Sheet1!$A$3:$AW$699,15,FALSE)="","",VLOOKUP($A40,Sheet1!$A$3:$AW$699,15,FALSE))</f>
        <v>1</v>
      </c>
      <c r="E40" s="142">
        <f>IF(VLOOKUP($A40,Sheet1!$A$3:$AW$699,16,FALSE)="","",VLOOKUP($A40,Sheet1!$A$3:$AW$699,16,FALSE))</f>
        <v>65500</v>
      </c>
      <c r="F40" s="142">
        <f>IF(VLOOKUP($A40,Sheet1!$A$3:$AW$699,17,FALSE)="","",VLOOKUP($A40,Sheet1!$A$3:$AW$699,17,FALSE))</f>
        <v>500</v>
      </c>
      <c r="G40" s="142" t="str">
        <f>IF(VLOOKUP($A40,Sheet1!$A$3:$AW$699,18,FALSE)="","",VLOOKUP($A40,Sheet1!$A$3:$AW$699,18,FALSE))</f>
        <v/>
      </c>
      <c r="H40" s="142" t="str">
        <f>IF(VLOOKUP($A40,Sheet1!$A$3:$AW$699,19,FALSE)="","",VLOOKUP($A40,Sheet1!$A$3:$AW$699,19,FALSE))</f>
        <v>ms</v>
      </c>
      <c r="I40" s="9" t="str">
        <f>IF(VLOOKUP($A40,Sheet1!$A$3:$AW$699,5,FALSE)="","",VLOOKUP($A40,Sheet1!$A$3:$AW$699,5,FALSE))</f>
        <v>UINT</v>
      </c>
      <c r="J40" s="7" t="s">
        <v>503</v>
      </c>
      <c r="K40" s="9" t="s">
        <v>499</v>
      </c>
      <c r="L40" s="146" t="str">
        <f>IF(VLOOKUP($A40,Sheet1!$A$3:$AW$699,7,FALSE)="★","x","")</f>
        <v/>
      </c>
      <c r="M40" s="146" t="str">
        <f>IF(VLOOKUP($A40,Sheet1!$A$3:$AW$699,8,FALSE)="▲","x","")</f>
        <v/>
      </c>
      <c r="N40" s="146" t="str">
        <f>IF(VLOOKUP($A40,Sheet1!$A$3:$AW$699,9,FALSE)="●","x","")</f>
        <v/>
      </c>
      <c r="O40" s="146" t="str">
        <f>IF(VLOOKUP($A40,Sheet1!$A$3:$AW$699,10,FALSE)="■","x","")</f>
        <v/>
      </c>
      <c r="P40" s="9" t="str">
        <f>IF(VLOOKUP($A40,Sheet1!$A$3:$AW$699,2,FALSE)="","",VLOOKUP($A40,Sheet1!$A$3:$AW$699,2,FALSE))</f>
        <v>P5.022</v>
      </c>
    </row>
    <row r="41" spans="1:16" ht="30.6" x14ac:dyDescent="0.3">
      <c r="A41" s="6">
        <v>315</v>
      </c>
      <c r="B41" s="6" t="s">
        <v>504</v>
      </c>
      <c r="C41" s="9" t="str">
        <f>IF(VLOOKUP($A41,Sheet1!$A$3:$AW$699,25,FALSE)="","",VLOOKUP($A41,Sheet1!$A$3:$AW$699,25,FALSE))</f>
        <v>PR/IO</v>
      </c>
      <c r="D41" s="142">
        <f>IF(VLOOKUP($A41,Sheet1!$A$3:$AW$699,15,FALSE)="","",VLOOKUP($A41,Sheet1!$A$3:$AW$699,15,FALSE))</f>
        <v>1</v>
      </c>
      <c r="E41" s="142">
        <f>IF(VLOOKUP($A41,Sheet1!$A$3:$AW$699,16,FALSE)="","",VLOOKUP($A41,Sheet1!$A$3:$AW$699,16,FALSE))</f>
        <v>65500</v>
      </c>
      <c r="F41" s="142">
        <f>IF(VLOOKUP($A41,Sheet1!$A$3:$AW$699,17,FALSE)="","",VLOOKUP($A41,Sheet1!$A$3:$AW$699,17,FALSE))</f>
        <v>600</v>
      </c>
      <c r="G41" s="142" t="str">
        <f>IF(VLOOKUP($A41,Sheet1!$A$3:$AW$699,18,FALSE)="","",VLOOKUP($A41,Sheet1!$A$3:$AW$699,18,FALSE))</f>
        <v/>
      </c>
      <c r="H41" s="142" t="str">
        <f>IF(VLOOKUP($A41,Sheet1!$A$3:$AW$699,19,FALSE)="","",VLOOKUP($A41,Sheet1!$A$3:$AW$699,19,FALSE))</f>
        <v>ms</v>
      </c>
      <c r="I41" s="9" t="str">
        <f>IF(VLOOKUP($A41,Sheet1!$A$3:$AW$699,5,FALSE)="","",VLOOKUP($A41,Sheet1!$A$3:$AW$699,5,FALSE))</f>
        <v>UINT</v>
      </c>
      <c r="J41" s="7" t="s">
        <v>505</v>
      </c>
      <c r="K41" s="9" t="s">
        <v>499</v>
      </c>
      <c r="L41" s="146" t="str">
        <f>IF(VLOOKUP($A41,Sheet1!$A$3:$AW$699,7,FALSE)="★","x","")</f>
        <v/>
      </c>
      <c r="M41" s="146" t="str">
        <f>IF(VLOOKUP($A41,Sheet1!$A$3:$AW$699,8,FALSE)="▲","x","")</f>
        <v/>
      </c>
      <c r="N41" s="146" t="str">
        <f>IF(VLOOKUP($A41,Sheet1!$A$3:$AW$699,9,FALSE)="●","x","")</f>
        <v/>
      </c>
      <c r="O41" s="146" t="str">
        <f>IF(VLOOKUP($A41,Sheet1!$A$3:$AW$699,10,FALSE)="■","x","")</f>
        <v/>
      </c>
      <c r="P41" s="9" t="str">
        <f>IF(VLOOKUP($A41,Sheet1!$A$3:$AW$699,2,FALSE)="","",VLOOKUP($A41,Sheet1!$A$3:$AW$699,2,FALSE))</f>
        <v>P5.023</v>
      </c>
    </row>
    <row r="42" spans="1:16" ht="30.6" x14ac:dyDescent="0.3">
      <c r="A42" s="6">
        <v>316</v>
      </c>
      <c r="B42" s="6" t="s">
        <v>506</v>
      </c>
      <c r="C42" s="9" t="str">
        <f>IF(VLOOKUP($A42,Sheet1!$A$3:$AW$699,25,FALSE)="","",VLOOKUP($A42,Sheet1!$A$3:$AW$699,25,FALSE))</f>
        <v>PR/IO</v>
      </c>
      <c r="D42" s="142">
        <f>IF(VLOOKUP($A42,Sheet1!$A$3:$AW$699,15,FALSE)="","",VLOOKUP($A42,Sheet1!$A$3:$AW$699,15,FALSE))</f>
        <v>1</v>
      </c>
      <c r="E42" s="142">
        <f>IF(VLOOKUP($A42,Sheet1!$A$3:$AW$699,16,FALSE)="","",VLOOKUP($A42,Sheet1!$A$3:$AW$699,16,FALSE))</f>
        <v>65500</v>
      </c>
      <c r="F42" s="142">
        <f>IF(VLOOKUP($A42,Sheet1!$A$3:$AW$699,17,FALSE)="","",VLOOKUP($A42,Sheet1!$A$3:$AW$699,17,FALSE))</f>
        <v>800</v>
      </c>
      <c r="G42" s="142" t="str">
        <f>IF(VLOOKUP($A42,Sheet1!$A$3:$AW$699,18,FALSE)="","",VLOOKUP($A42,Sheet1!$A$3:$AW$699,18,FALSE))</f>
        <v/>
      </c>
      <c r="H42" s="142" t="str">
        <f>IF(VLOOKUP($A42,Sheet1!$A$3:$AW$699,19,FALSE)="","",VLOOKUP($A42,Sheet1!$A$3:$AW$699,19,FALSE))</f>
        <v>ms</v>
      </c>
      <c r="I42" s="9" t="str">
        <f>IF(VLOOKUP($A42,Sheet1!$A$3:$AW$699,5,FALSE)="","",VLOOKUP($A42,Sheet1!$A$3:$AW$699,5,FALSE))</f>
        <v>UINT</v>
      </c>
      <c r="J42" s="7" t="s">
        <v>507</v>
      </c>
      <c r="K42" s="9" t="s">
        <v>499</v>
      </c>
      <c r="L42" s="146" t="str">
        <f>IF(VLOOKUP($A42,Sheet1!$A$3:$AW$699,7,FALSE)="★","x","")</f>
        <v/>
      </c>
      <c r="M42" s="146" t="str">
        <f>IF(VLOOKUP($A42,Sheet1!$A$3:$AW$699,8,FALSE)="▲","x","")</f>
        <v/>
      </c>
      <c r="N42" s="146" t="str">
        <f>IF(VLOOKUP($A42,Sheet1!$A$3:$AW$699,9,FALSE)="●","x","")</f>
        <v/>
      </c>
      <c r="O42" s="146" t="str">
        <f>IF(VLOOKUP($A42,Sheet1!$A$3:$AW$699,10,FALSE)="■","x","")</f>
        <v/>
      </c>
      <c r="P42" s="9" t="str">
        <f>IF(VLOOKUP($A42,Sheet1!$A$3:$AW$699,2,FALSE)="","",VLOOKUP($A42,Sheet1!$A$3:$AW$699,2,FALSE))</f>
        <v>P5.024</v>
      </c>
    </row>
    <row r="43" spans="1:16" ht="30.6" x14ac:dyDescent="0.3">
      <c r="A43" s="6">
        <v>317</v>
      </c>
      <c r="B43" s="6" t="s">
        <v>508</v>
      </c>
      <c r="C43" s="9" t="str">
        <f>IF(VLOOKUP($A43,Sheet1!$A$3:$AW$699,25,FALSE)="","",VLOOKUP($A43,Sheet1!$A$3:$AW$699,25,FALSE))</f>
        <v>PR/IO</v>
      </c>
      <c r="D43" s="142">
        <f>IF(VLOOKUP($A43,Sheet1!$A$3:$AW$699,15,FALSE)="","",VLOOKUP($A43,Sheet1!$A$3:$AW$699,15,FALSE))</f>
        <v>1</v>
      </c>
      <c r="E43" s="142">
        <f>IF(VLOOKUP($A43,Sheet1!$A$3:$AW$699,16,FALSE)="","",VLOOKUP($A43,Sheet1!$A$3:$AW$699,16,FALSE))</f>
        <v>65500</v>
      </c>
      <c r="F43" s="142">
        <f>IF(VLOOKUP($A43,Sheet1!$A$3:$AW$699,17,FALSE)="","",VLOOKUP($A43,Sheet1!$A$3:$AW$699,17,FALSE))</f>
        <v>900</v>
      </c>
      <c r="G43" s="142" t="str">
        <f>IF(VLOOKUP($A43,Sheet1!$A$3:$AW$699,18,FALSE)="","",VLOOKUP($A43,Sheet1!$A$3:$AW$699,18,FALSE))</f>
        <v/>
      </c>
      <c r="H43" s="142" t="str">
        <f>IF(VLOOKUP($A43,Sheet1!$A$3:$AW$699,19,FALSE)="","",VLOOKUP($A43,Sheet1!$A$3:$AW$699,19,FALSE))</f>
        <v>ms</v>
      </c>
      <c r="I43" s="9" t="str">
        <f>IF(VLOOKUP($A43,Sheet1!$A$3:$AW$699,5,FALSE)="","",VLOOKUP($A43,Sheet1!$A$3:$AW$699,5,FALSE))</f>
        <v>UINT</v>
      </c>
      <c r="J43" s="7" t="s">
        <v>509</v>
      </c>
      <c r="K43" s="9" t="s">
        <v>499</v>
      </c>
      <c r="L43" s="146" t="str">
        <f>IF(VLOOKUP($A43,Sheet1!$A$3:$AW$699,7,FALSE)="★","x","")</f>
        <v/>
      </c>
      <c r="M43" s="146" t="str">
        <f>IF(VLOOKUP($A43,Sheet1!$A$3:$AW$699,8,FALSE)="▲","x","")</f>
        <v/>
      </c>
      <c r="N43" s="146" t="str">
        <f>IF(VLOOKUP($A43,Sheet1!$A$3:$AW$699,9,FALSE)="●","x","")</f>
        <v/>
      </c>
      <c r="O43" s="146" t="str">
        <f>IF(VLOOKUP($A43,Sheet1!$A$3:$AW$699,10,FALSE)="■","x","")</f>
        <v/>
      </c>
      <c r="P43" s="9" t="str">
        <f>IF(VLOOKUP($A43,Sheet1!$A$3:$AW$699,2,FALSE)="","",VLOOKUP($A43,Sheet1!$A$3:$AW$699,2,FALSE))</f>
        <v>P5.025</v>
      </c>
    </row>
    <row r="44" spans="1:16" ht="30.6" x14ac:dyDescent="0.3">
      <c r="A44" s="6">
        <v>318</v>
      </c>
      <c r="B44" s="6" t="s">
        <v>510</v>
      </c>
      <c r="C44" s="9" t="str">
        <f>IF(VLOOKUP($A44,Sheet1!$A$3:$AW$699,25,FALSE)="","",VLOOKUP($A44,Sheet1!$A$3:$AW$699,25,FALSE))</f>
        <v>PR/IO</v>
      </c>
      <c r="D44" s="142">
        <f>IF(VLOOKUP($A44,Sheet1!$A$3:$AW$699,15,FALSE)="","",VLOOKUP($A44,Sheet1!$A$3:$AW$699,15,FALSE))</f>
        <v>1</v>
      </c>
      <c r="E44" s="142">
        <f>IF(VLOOKUP($A44,Sheet1!$A$3:$AW$699,16,FALSE)="","",VLOOKUP($A44,Sheet1!$A$3:$AW$699,16,FALSE))</f>
        <v>65500</v>
      </c>
      <c r="F44" s="142">
        <f>IF(VLOOKUP($A44,Sheet1!$A$3:$AW$699,17,FALSE)="","",VLOOKUP($A44,Sheet1!$A$3:$AW$699,17,FALSE))</f>
        <v>1000</v>
      </c>
      <c r="G44" s="142" t="str">
        <f>IF(VLOOKUP($A44,Sheet1!$A$3:$AW$699,18,FALSE)="","",VLOOKUP($A44,Sheet1!$A$3:$AW$699,18,FALSE))</f>
        <v/>
      </c>
      <c r="H44" s="142" t="str">
        <f>IF(VLOOKUP($A44,Sheet1!$A$3:$AW$699,19,FALSE)="","",VLOOKUP($A44,Sheet1!$A$3:$AW$699,19,FALSE))</f>
        <v>ms</v>
      </c>
      <c r="I44" s="9" t="str">
        <f>IF(VLOOKUP($A44,Sheet1!$A$3:$AW$699,5,FALSE)="","",VLOOKUP($A44,Sheet1!$A$3:$AW$699,5,FALSE))</f>
        <v>UINT</v>
      </c>
      <c r="J44" s="7" t="s">
        <v>511</v>
      </c>
      <c r="K44" s="9" t="s">
        <v>499</v>
      </c>
      <c r="L44" s="146" t="str">
        <f>IF(VLOOKUP($A44,Sheet1!$A$3:$AW$699,7,FALSE)="★","x","")</f>
        <v/>
      </c>
      <c r="M44" s="146" t="str">
        <f>IF(VLOOKUP($A44,Sheet1!$A$3:$AW$699,8,FALSE)="▲","x","")</f>
        <v/>
      </c>
      <c r="N44" s="146" t="str">
        <f>IF(VLOOKUP($A44,Sheet1!$A$3:$AW$699,9,FALSE)="●","x","")</f>
        <v/>
      </c>
      <c r="O44" s="146" t="str">
        <f>IF(VLOOKUP($A44,Sheet1!$A$3:$AW$699,10,FALSE)="■","x","")</f>
        <v/>
      </c>
      <c r="P44" s="9" t="str">
        <f>IF(VLOOKUP($A44,Sheet1!$A$3:$AW$699,2,FALSE)="","",VLOOKUP($A44,Sheet1!$A$3:$AW$699,2,FALSE))</f>
        <v>P5.026</v>
      </c>
    </row>
    <row r="45" spans="1:16" ht="20.399999999999999" x14ac:dyDescent="0.3">
      <c r="A45" s="6">
        <v>319</v>
      </c>
      <c r="B45" s="6" t="s">
        <v>512</v>
      </c>
      <c r="C45" s="9" t="str">
        <f>IF(VLOOKUP($A45,Sheet1!$A$3:$AW$699,25,FALSE)="","",VLOOKUP($A45,Sheet1!$A$3:$AW$699,25,FALSE))</f>
        <v>PR/IO</v>
      </c>
      <c r="D45" s="142">
        <f>IF(VLOOKUP($A45,Sheet1!$A$3:$AW$699,15,FALSE)="","",VLOOKUP($A45,Sheet1!$A$3:$AW$699,15,FALSE))</f>
        <v>1</v>
      </c>
      <c r="E45" s="142">
        <f>IF(VLOOKUP($A45,Sheet1!$A$3:$AW$699,16,FALSE)="","",VLOOKUP($A45,Sheet1!$A$3:$AW$699,16,FALSE))</f>
        <v>65500</v>
      </c>
      <c r="F45" s="142">
        <f>IF(VLOOKUP($A45,Sheet1!$A$3:$AW$699,17,FALSE)="","",VLOOKUP($A45,Sheet1!$A$3:$AW$699,17,FALSE))</f>
        <v>1200</v>
      </c>
      <c r="G45" s="142" t="str">
        <f>IF(VLOOKUP($A45,Sheet1!$A$3:$AW$699,18,FALSE)="","",VLOOKUP($A45,Sheet1!$A$3:$AW$699,18,FALSE))</f>
        <v/>
      </c>
      <c r="H45" s="142" t="str">
        <f>IF(VLOOKUP($A45,Sheet1!$A$3:$AW$699,19,FALSE)="","",VLOOKUP($A45,Sheet1!$A$3:$AW$699,19,FALSE))</f>
        <v>ms</v>
      </c>
      <c r="I45" s="9" t="str">
        <f>IF(VLOOKUP($A45,Sheet1!$A$3:$AW$699,5,FALSE)="","",VLOOKUP($A45,Sheet1!$A$3:$AW$699,5,FALSE))</f>
        <v>UINT</v>
      </c>
      <c r="J45" s="7" t="s">
        <v>513</v>
      </c>
      <c r="K45" s="9" t="s">
        <v>499</v>
      </c>
      <c r="L45" s="146" t="str">
        <f>IF(VLOOKUP($A45,Sheet1!$A$3:$AW$699,7,FALSE)="★","x","")</f>
        <v/>
      </c>
      <c r="M45" s="146" t="str">
        <f>IF(VLOOKUP($A45,Sheet1!$A$3:$AW$699,8,FALSE)="▲","x","")</f>
        <v/>
      </c>
      <c r="N45" s="146" t="str">
        <f>IF(VLOOKUP($A45,Sheet1!$A$3:$AW$699,9,FALSE)="●","x","")</f>
        <v/>
      </c>
      <c r="O45" s="146" t="str">
        <f>IF(VLOOKUP($A45,Sheet1!$A$3:$AW$699,10,FALSE)="■","x","")</f>
        <v/>
      </c>
      <c r="P45" s="9" t="str">
        <f>IF(VLOOKUP($A45,Sheet1!$A$3:$AW$699,2,FALSE)="","",VLOOKUP($A45,Sheet1!$A$3:$AW$699,2,FALSE))</f>
        <v>P5.027</v>
      </c>
    </row>
    <row r="46" spans="1:16" ht="30.6" x14ac:dyDescent="0.3">
      <c r="A46" s="6">
        <v>320</v>
      </c>
      <c r="B46" s="6" t="s">
        <v>514</v>
      </c>
      <c r="C46" s="9" t="str">
        <f>IF(VLOOKUP($A46,Sheet1!$A$3:$AW$699,25,FALSE)="","",VLOOKUP($A46,Sheet1!$A$3:$AW$699,25,FALSE))</f>
        <v>PR/IO</v>
      </c>
      <c r="D46" s="142">
        <f>IF(VLOOKUP($A46,Sheet1!$A$3:$AW$699,15,FALSE)="","",VLOOKUP($A46,Sheet1!$A$3:$AW$699,15,FALSE))</f>
        <v>1</v>
      </c>
      <c r="E46" s="142">
        <f>IF(VLOOKUP($A46,Sheet1!$A$3:$AW$699,16,FALSE)="","",VLOOKUP($A46,Sheet1!$A$3:$AW$699,16,FALSE))</f>
        <v>65500</v>
      </c>
      <c r="F46" s="142">
        <f>IF(VLOOKUP($A46,Sheet1!$A$3:$AW$699,17,FALSE)="","",VLOOKUP($A46,Sheet1!$A$3:$AW$699,17,FALSE))</f>
        <v>1500</v>
      </c>
      <c r="G46" s="142" t="str">
        <f>IF(VLOOKUP($A46,Sheet1!$A$3:$AW$699,18,FALSE)="","",VLOOKUP($A46,Sheet1!$A$3:$AW$699,18,FALSE))</f>
        <v/>
      </c>
      <c r="H46" s="142" t="str">
        <f>IF(VLOOKUP($A46,Sheet1!$A$3:$AW$699,19,FALSE)="","",VLOOKUP($A46,Sheet1!$A$3:$AW$699,19,FALSE))</f>
        <v>ms</v>
      </c>
      <c r="I46" s="9" t="str">
        <f>IF(VLOOKUP($A46,Sheet1!$A$3:$AW$699,5,FALSE)="","",VLOOKUP($A46,Sheet1!$A$3:$AW$699,5,FALSE))</f>
        <v>UINT</v>
      </c>
      <c r="J46" s="7" t="s">
        <v>515</v>
      </c>
      <c r="K46" s="9" t="s">
        <v>499</v>
      </c>
      <c r="L46" s="146" t="str">
        <f>IF(VLOOKUP($A46,Sheet1!$A$3:$AW$699,7,FALSE)="★","x","")</f>
        <v/>
      </c>
      <c r="M46" s="146" t="str">
        <f>IF(VLOOKUP($A46,Sheet1!$A$3:$AW$699,8,FALSE)="▲","x","")</f>
        <v/>
      </c>
      <c r="N46" s="146" t="str">
        <f>IF(VLOOKUP($A46,Sheet1!$A$3:$AW$699,9,FALSE)="●","x","")</f>
        <v/>
      </c>
      <c r="O46" s="146" t="str">
        <f>IF(VLOOKUP($A46,Sheet1!$A$3:$AW$699,10,FALSE)="■","x","")</f>
        <v/>
      </c>
      <c r="P46" s="9" t="str">
        <f>IF(VLOOKUP($A46,Sheet1!$A$3:$AW$699,2,FALSE)="","",VLOOKUP($A46,Sheet1!$A$3:$AW$699,2,FALSE))</f>
        <v>P5.028</v>
      </c>
    </row>
    <row r="47" spans="1:16" ht="30.6" x14ac:dyDescent="0.3">
      <c r="A47" s="6">
        <v>321</v>
      </c>
      <c r="B47" s="6" t="s">
        <v>516</v>
      </c>
      <c r="C47" s="9" t="str">
        <f>IF(VLOOKUP($A47,Sheet1!$A$3:$AW$699,25,FALSE)="","",VLOOKUP($A47,Sheet1!$A$3:$AW$699,25,FALSE))</f>
        <v>PR/IO</v>
      </c>
      <c r="D47" s="142">
        <f>IF(VLOOKUP($A47,Sheet1!$A$3:$AW$699,15,FALSE)="","",VLOOKUP($A47,Sheet1!$A$3:$AW$699,15,FALSE))</f>
        <v>1</v>
      </c>
      <c r="E47" s="142">
        <f>IF(VLOOKUP($A47,Sheet1!$A$3:$AW$699,16,FALSE)="","",VLOOKUP($A47,Sheet1!$A$3:$AW$699,16,FALSE))</f>
        <v>65500</v>
      </c>
      <c r="F47" s="142">
        <f>IF(VLOOKUP($A47,Sheet1!$A$3:$AW$699,17,FALSE)="","",VLOOKUP($A47,Sheet1!$A$3:$AW$699,17,FALSE))</f>
        <v>2000</v>
      </c>
      <c r="G47" s="142" t="str">
        <f>IF(VLOOKUP($A47,Sheet1!$A$3:$AW$699,18,FALSE)="","",VLOOKUP($A47,Sheet1!$A$3:$AW$699,18,FALSE))</f>
        <v/>
      </c>
      <c r="H47" s="142" t="str">
        <f>IF(VLOOKUP($A47,Sheet1!$A$3:$AW$699,19,FALSE)="","",VLOOKUP($A47,Sheet1!$A$3:$AW$699,19,FALSE))</f>
        <v>ms</v>
      </c>
      <c r="I47" s="9" t="str">
        <f>IF(VLOOKUP($A47,Sheet1!$A$3:$AW$699,5,FALSE)="","",VLOOKUP($A47,Sheet1!$A$3:$AW$699,5,FALSE))</f>
        <v>UINT</v>
      </c>
      <c r="J47" s="7" t="s">
        <v>517</v>
      </c>
      <c r="K47" s="9" t="s">
        <v>499</v>
      </c>
      <c r="L47" s="146" t="str">
        <f>IF(VLOOKUP($A47,Sheet1!$A$3:$AW$699,7,FALSE)="★","x","")</f>
        <v/>
      </c>
      <c r="M47" s="146" t="str">
        <f>IF(VLOOKUP($A47,Sheet1!$A$3:$AW$699,8,FALSE)="▲","x","")</f>
        <v/>
      </c>
      <c r="N47" s="146" t="str">
        <f>IF(VLOOKUP($A47,Sheet1!$A$3:$AW$699,9,FALSE)="●","x","")</f>
        <v/>
      </c>
      <c r="O47" s="146" t="str">
        <f>IF(VLOOKUP($A47,Sheet1!$A$3:$AW$699,10,FALSE)="■","x","")</f>
        <v/>
      </c>
      <c r="P47" s="9" t="str">
        <f>IF(VLOOKUP($A47,Sheet1!$A$3:$AW$699,2,FALSE)="","",VLOOKUP($A47,Sheet1!$A$3:$AW$699,2,FALSE))</f>
        <v>P5.029</v>
      </c>
    </row>
    <row r="48" spans="1:16" ht="30.6" x14ac:dyDescent="0.3">
      <c r="A48" s="6">
        <v>322</v>
      </c>
      <c r="B48" s="6" t="s">
        <v>518</v>
      </c>
      <c r="C48" s="9" t="str">
        <f>IF(VLOOKUP($A48,Sheet1!$A$3:$AW$699,25,FALSE)="","",VLOOKUP($A48,Sheet1!$A$3:$AW$699,25,FALSE))</f>
        <v>PR/IO</v>
      </c>
      <c r="D48" s="142">
        <f>IF(VLOOKUP($A48,Sheet1!$A$3:$AW$699,15,FALSE)="","",VLOOKUP($A48,Sheet1!$A$3:$AW$699,15,FALSE))</f>
        <v>1</v>
      </c>
      <c r="E48" s="142">
        <f>IF(VLOOKUP($A48,Sheet1!$A$3:$AW$699,16,FALSE)="","",VLOOKUP($A48,Sheet1!$A$3:$AW$699,16,FALSE))</f>
        <v>65500</v>
      </c>
      <c r="F48" s="142">
        <f>IF(VLOOKUP($A48,Sheet1!$A$3:$AW$699,17,FALSE)="","",VLOOKUP($A48,Sheet1!$A$3:$AW$699,17,FALSE))</f>
        <v>2500</v>
      </c>
      <c r="G48" s="142" t="str">
        <f>IF(VLOOKUP($A48,Sheet1!$A$3:$AW$699,18,FALSE)="","",VLOOKUP($A48,Sheet1!$A$3:$AW$699,18,FALSE))</f>
        <v/>
      </c>
      <c r="H48" s="142" t="str">
        <f>IF(VLOOKUP($A48,Sheet1!$A$3:$AW$699,19,FALSE)="","",VLOOKUP($A48,Sheet1!$A$3:$AW$699,19,FALSE))</f>
        <v>ms</v>
      </c>
      <c r="I48" s="9" t="str">
        <f>IF(VLOOKUP($A48,Sheet1!$A$3:$AW$699,5,FALSE)="","",VLOOKUP($A48,Sheet1!$A$3:$AW$699,5,FALSE))</f>
        <v>UINT</v>
      </c>
      <c r="J48" s="7" t="s">
        <v>519</v>
      </c>
      <c r="K48" s="9" t="s">
        <v>499</v>
      </c>
      <c r="L48" s="146" t="str">
        <f>IF(VLOOKUP($A48,Sheet1!$A$3:$AW$699,7,FALSE)="★","x","")</f>
        <v/>
      </c>
      <c r="M48" s="146" t="str">
        <f>IF(VLOOKUP($A48,Sheet1!$A$3:$AW$699,8,FALSE)="▲","x","")</f>
        <v/>
      </c>
      <c r="N48" s="146" t="str">
        <f>IF(VLOOKUP($A48,Sheet1!$A$3:$AW$699,9,FALSE)="●","x","")</f>
        <v/>
      </c>
      <c r="O48" s="146" t="str">
        <f>IF(VLOOKUP($A48,Sheet1!$A$3:$AW$699,10,FALSE)="■","x","")</f>
        <v/>
      </c>
      <c r="P48" s="9" t="str">
        <f>IF(VLOOKUP($A48,Sheet1!$A$3:$AW$699,2,FALSE)="","",VLOOKUP($A48,Sheet1!$A$3:$AW$699,2,FALSE))</f>
        <v>P5.030</v>
      </c>
    </row>
    <row r="49" spans="1:16" ht="30.6" x14ac:dyDescent="0.3">
      <c r="A49" s="6">
        <v>323</v>
      </c>
      <c r="B49" s="6" t="s">
        <v>520</v>
      </c>
      <c r="C49" s="9" t="str">
        <f>IF(VLOOKUP($A49,Sheet1!$A$3:$AW$699,25,FALSE)="","",VLOOKUP($A49,Sheet1!$A$3:$AW$699,25,FALSE))</f>
        <v>PR/IO</v>
      </c>
      <c r="D49" s="142">
        <f>IF(VLOOKUP($A49,Sheet1!$A$3:$AW$699,15,FALSE)="","",VLOOKUP($A49,Sheet1!$A$3:$AW$699,15,FALSE))</f>
        <v>1</v>
      </c>
      <c r="E49" s="142">
        <f>IF(VLOOKUP($A49,Sheet1!$A$3:$AW$699,16,FALSE)="","",VLOOKUP($A49,Sheet1!$A$3:$AW$699,16,FALSE))</f>
        <v>65500</v>
      </c>
      <c r="F49" s="142">
        <f>IF(VLOOKUP($A49,Sheet1!$A$3:$AW$699,17,FALSE)="","",VLOOKUP($A49,Sheet1!$A$3:$AW$699,17,FALSE))</f>
        <v>3000</v>
      </c>
      <c r="G49" s="142" t="str">
        <f>IF(VLOOKUP($A49,Sheet1!$A$3:$AW$699,18,FALSE)="","",VLOOKUP($A49,Sheet1!$A$3:$AW$699,18,FALSE))</f>
        <v/>
      </c>
      <c r="H49" s="142" t="str">
        <f>IF(VLOOKUP($A49,Sheet1!$A$3:$AW$699,19,FALSE)="","",VLOOKUP($A49,Sheet1!$A$3:$AW$699,19,FALSE))</f>
        <v>ms</v>
      </c>
      <c r="I49" s="9" t="str">
        <f>IF(VLOOKUP($A49,Sheet1!$A$3:$AW$699,5,FALSE)="","",VLOOKUP($A49,Sheet1!$A$3:$AW$699,5,FALSE))</f>
        <v>UINT</v>
      </c>
      <c r="J49" s="7" t="s">
        <v>521</v>
      </c>
      <c r="K49" s="9" t="s">
        <v>499</v>
      </c>
      <c r="L49" s="146" t="str">
        <f>IF(VLOOKUP($A49,Sheet1!$A$3:$AW$699,7,FALSE)="★","x","")</f>
        <v/>
      </c>
      <c r="M49" s="146" t="str">
        <f>IF(VLOOKUP($A49,Sheet1!$A$3:$AW$699,8,FALSE)="▲","x","")</f>
        <v/>
      </c>
      <c r="N49" s="146" t="str">
        <f>IF(VLOOKUP($A49,Sheet1!$A$3:$AW$699,9,FALSE)="●","x","")</f>
        <v/>
      </c>
      <c r="O49" s="146" t="str">
        <f>IF(VLOOKUP($A49,Sheet1!$A$3:$AW$699,10,FALSE)="■","x","")</f>
        <v/>
      </c>
      <c r="P49" s="9" t="str">
        <f>IF(VLOOKUP($A49,Sheet1!$A$3:$AW$699,2,FALSE)="","",VLOOKUP($A49,Sheet1!$A$3:$AW$699,2,FALSE))</f>
        <v>P5.031</v>
      </c>
    </row>
    <row r="50" spans="1:16" ht="30.6" x14ac:dyDescent="0.3">
      <c r="A50" s="6">
        <v>324</v>
      </c>
      <c r="B50" s="6" t="s">
        <v>522</v>
      </c>
      <c r="C50" s="9" t="str">
        <f>IF(VLOOKUP($A50,Sheet1!$A$3:$AW$699,25,FALSE)="","",VLOOKUP($A50,Sheet1!$A$3:$AW$699,25,FALSE))</f>
        <v>PR/IO</v>
      </c>
      <c r="D50" s="142">
        <f>IF(VLOOKUP($A50,Sheet1!$A$3:$AW$699,15,FALSE)="","",VLOOKUP($A50,Sheet1!$A$3:$AW$699,15,FALSE))</f>
        <v>1</v>
      </c>
      <c r="E50" s="142">
        <f>IF(VLOOKUP($A50,Sheet1!$A$3:$AW$699,16,FALSE)="","",VLOOKUP($A50,Sheet1!$A$3:$AW$699,16,FALSE))</f>
        <v>65500</v>
      </c>
      <c r="F50" s="142">
        <f>IF(VLOOKUP($A50,Sheet1!$A$3:$AW$699,17,FALSE)="","",VLOOKUP($A50,Sheet1!$A$3:$AW$699,17,FALSE))</f>
        <v>5000</v>
      </c>
      <c r="G50" s="142" t="str">
        <f>IF(VLOOKUP($A50,Sheet1!$A$3:$AW$699,18,FALSE)="","",VLOOKUP($A50,Sheet1!$A$3:$AW$699,18,FALSE))</f>
        <v/>
      </c>
      <c r="H50" s="142" t="str">
        <f>IF(VLOOKUP($A50,Sheet1!$A$3:$AW$699,19,FALSE)="","",VLOOKUP($A50,Sheet1!$A$3:$AW$699,19,FALSE))</f>
        <v>ms</v>
      </c>
      <c r="I50" s="9" t="str">
        <f>IF(VLOOKUP($A50,Sheet1!$A$3:$AW$699,5,FALSE)="","",VLOOKUP($A50,Sheet1!$A$3:$AW$699,5,FALSE))</f>
        <v>UINT</v>
      </c>
      <c r="J50" s="7" t="s">
        <v>523</v>
      </c>
      <c r="K50" s="9" t="s">
        <v>499</v>
      </c>
      <c r="L50" s="146" t="str">
        <f>IF(VLOOKUP($A50,Sheet1!$A$3:$AW$699,7,FALSE)="★","x","")</f>
        <v/>
      </c>
      <c r="M50" s="146" t="str">
        <f>IF(VLOOKUP($A50,Sheet1!$A$3:$AW$699,8,FALSE)="▲","x","")</f>
        <v/>
      </c>
      <c r="N50" s="146" t="str">
        <f>IF(VLOOKUP($A50,Sheet1!$A$3:$AW$699,9,FALSE)="●","x","")</f>
        <v/>
      </c>
      <c r="O50" s="146" t="str">
        <f>IF(VLOOKUP($A50,Sheet1!$A$3:$AW$699,10,FALSE)="■","x","")</f>
        <v/>
      </c>
      <c r="P50" s="9" t="str">
        <f>IF(VLOOKUP($A50,Sheet1!$A$3:$AW$699,2,FALSE)="","",VLOOKUP($A50,Sheet1!$A$3:$AW$699,2,FALSE))</f>
        <v>P5.032</v>
      </c>
    </row>
    <row r="51" spans="1:16" ht="30.6" x14ac:dyDescent="0.3">
      <c r="A51" s="6">
        <v>325</v>
      </c>
      <c r="B51" s="6" t="s">
        <v>524</v>
      </c>
      <c r="C51" s="9" t="str">
        <f>IF(VLOOKUP($A51,Sheet1!$A$3:$AW$699,25,FALSE)="","",VLOOKUP($A51,Sheet1!$A$3:$AW$699,25,FALSE))</f>
        <v>PR/IO</v>
      </c>
      <c r="D51" s="142">
        <f>IF(VLOOKUP($A51,Sheet1!$A$3:$AW$699,15,FALSE)="","",VLOOKUP($A51,Sheet1!$A$3:$AW$699,15,FALSE))</f>
        <v>1</v>
      </c>
      <c r="E51" s="142">
        <f>IF(VLOOKUP($A51,Sheet1!$A$3:$AW$699,16,FALSE)="","",VLOOKUP($A51,Sheet1!$A$3:$AW$699,16,FALSE))</f>
        <v>65500</v>
      </c>
      <c r="F51" s="142">
        <f>IF(VLOOKUP($A51,Sheet1!$A$3:$AW$699,17,FALSE)="","",VLOOKUP($A51,Sheet1!$A$3:$AW$699,17,FALSE))</f>
        <v>8000</v>
      </c>
      <c r="G51" s="142" t="str">
        <f>IF(VLOOKUP($A51,Sheet1!$A$3:$AW$699,18,FALSE)="","",VLOOKUP($A51,Sheet1!$A$3:$AW$699,18,FALSE))</f>
        <v/>
      </c>
      <c r="H51" s="142" t="str">
        <f>IF(VLOOKUP($A51,Sheet1!$A$3:$AW$699,19,FALSE)="","",VLOOKUP($A51,Sheet1!$A$3:$AW$699,19,FALSE))</f>
        <v>ms</v>
      </c>
      <c r="I51" s="9" t="str">
        <f>IF(VLOOKUP($A51,Sheet1!$A$3:$AW$699,5,FALSE)="","",VLOOKUP($A51,Sheet1!$A$3:$AW$699,5,FALSE))</f>
        <v>UINT</v>
      </c>
      <c r="J51" s="7" t="s">
        <v>525</v>
      </c>
      <c r="K51" s="9" t="s">
        <v>499</v>
      </c>
      <c r="L51" s="146" t="str">
        <f>IF(VLOOKUP($A51,Sheet1!$A$3:$AW$699,7,FALSE)="★","x","")</f>
        <v/>
      </c>
      <c r="M51" s="146" t="str">
        <f>IF(VLOOKUP($A51,Sheet1!$A$3:$AW$699,8,FALSE)="▲","x","")</f>
        <v/>
      </c>
      <c r="N51" s="146" t="str">
        <f>IF(VLOOKUP($A51,Sheet1!$A$3:$AW$699,9,FALSE)="●","x","")</f>
        <v/>
      </c>
      <c r="O51" s="146" t="str">
        <f>IF(VLOOKUP($A51,Sheet1!$A$3:$AW$699,10,FALSE)="■","x","")</f>
        <v/>
      </c>
      <c r="P51" s="9" t="str">
        <f>IF(VLOOKUP($A51,Sheet1!$A$3:$AW$699,2,FALSE)="","",VLOOKUP($A51,Sheet1!$A$3:$AW$699,2,FALSE))</f>
        <v>P5.033</v>
      </c>
    </row>
    <row r="52" spans="1:16" ht="51" x14ac:dyDescent="0.3">
      <c r="A52" s="6">
        <v>326</v>
      </c>
      <c r="B52" s="6" t="s">
        <v>526</v>
      </c>
      <c r="C52" s="9" t="str">
        <f>IF(VLOOKUP($A52,Sheet1!$A$3:$AW$699,25,FALSE)="","",VLOOKUP($A52,Sheet1!$A$3:$AW$699,25,FALSE))</f>
        <v>PR/IO</v>
      </c>
      <c r="D52" s="142">
        <f>IF(VLOOKUP($A52,Sheet1!$A$3:$AW$699,15,FALSE)="","",VLOOKUP($A52,Sheet1!$A$3:$AW$699,15,FALSE))</f>
        <v>1</v>
      </c>
      <c r="E52" s="142">
        <f>IF(VLOOKUP($A52,Sheet1!$A$3:$AW$699,16,FALSE)="","",VLOOKUP($A52,Sheet1!$A$3:$AW$699,16,FALSE))</f>
        <v>1500</v>
      </c>
      <c r="F52" s="142">
        <f>IF(VLOOKUP($A52,Sheet1!$A$3:$AW$699,17,FALSE)="","",VLOOKUP($A52,Sheet1!$A$3:$AW$699,17,FALSE))</f>
        <v>50</v>
      </c>
      <c r="G52" s="142" t="str">
        <f>IF(VLOOKUP($A52,Sheet1!$A$3:$AW$699,18,FALSE)="","",VLOOKUP($A52,Sheet1!$A$3:$AW$699,18,FALSE))</f>
        <v/>
      </c>
      <c r="H52" s="142" t="str">
        <f>IF(VLOOKUP($A52,Sheet1!$A$3:$AW$699,19,FALSE)="","",VLOOKUP($A52,Sheet1!$A$3:$AW$699,19,FALSE))</f>
        <v>ms</v>
      </c>
      <c r="I52" s="9" t="str">
        <f>IF(VLOOKUP($A52,Sheet1!$A$3:$AW$699,5,FALSE)="","",VLOOKUP($A52,Sheet1!$A$3:$AW$699,5,FALSE))</f>
        <v>UINT</v>
      </c>
      <c r="J52" s="7" t="s">
        <v>527</v>
      </c>
      <c r="K52" s="9" t="s">
        <v>499</v>
      </c>
      <c r="L52" s="146" t="str">
        <f>IF(VLOOKUP($A52,Sheet1!$A$3:$AW$699,7,FALSE)="★","x","")</f>
        <v/>
      </c>
      <c r="M52" s="146" t="str">
        <f>IF(VLOOKUP($A52,Sheet1!$A$3:$AW$699,8,FALSE)="▲","x","")</f>
        <v/>
      </c>
      <c r="N52" s="146" t="str">
        <f>IF(VLOOKUP($A52,Sheet1!$A$3:$AW$699,9,FALSE)="●","x","")</f>
        <v/>
      </c>
      <c r="O52" s="146" t="str">
        <f>IF(VLOOKUP($A52,Sheet1!$A$3:$AW$699,10,FALSE)="■","x","")</f>
        <v/>
      </c>
      <c r="P52" s="9" t="str">
        <f>IF(VLOOKUP($A52,Sheet1!$A$3:$AW$699,2,FALSE)="","",VLOOKUP($A52,Sheet1!$A$3:$AW$699,2,FALSE))</f>
        <v>P5.034</v>
      </c>
    </row>
    <row r="53" spans="1:16" ht="51" x14ac:dyDescent="0.3">
      <c r="A53" s="6">
        <v>327</v>
      </c>
      <c r="B53" s="6" t="s">
        <v>528</v>
      </c>
      <c r="C53" s="9" t="str">
        <f>IF(VLOOKUP($A53,Sheet1!$A$3:$AW$699,25,FALSE)="","",VLOOKUP($A53,Sheet1!$A$3:$AW$699,25,FALSE))</f>
        <v>PR/IO</v>
      </c>
      <c r="D53" s="142">
        <f>IF(VLOOKUP($A53,Sheet1!$A$3:$AW$699,15,FALSE)="","",VLOOKUP($A53,Sheet1!$A$3:$AW$699,15,FALSE))</f>
        <v>1</v>
      </c>
      <c r="E53" s="142">
        <f>IF(VLOOKUP($A53,Sheet1!$A$3:$AW$699,16,FALSE)="","",VLOOKUP($A53,Sheet1!$A$3:$AW$699,16,FALSE))</f>
        <v>1200</v>
      </c>
      <c r="F53" s="142">
        <f>IF(VLOOKUP($A53,Sheet1!$A$3:$AW$699,17,FALSE)="","",VLOOKUP($A53,Sheet1!$A$3:$AW$699,17,FALSE))</f>
        <v>30</v>
      </c>
      <c r="G53" s="142" t="str">
        <f>IF(VLOOKUP($A53,Sheet1!$A$3:$AW$699,18,FALSE)="","",VLOOKUP($A53,Sheet1!$A$3:$AW$699,18,FALSE))</f>
        <v/>
      </c>
      <c r="H53" s="142" t="str">
        <f>IF(VLOOKUP($A53,Sheet1!$A$3:$AW$699,19,FALSE)="","",VLOOKUP($A53,Sheet1!$A$3:$AW$699,19,FALSE))</f>
        <v>ms</v>
      </c>
      <c r="I53" s="9" t="str">
        <f>IF(VLOOKUP($A53,Sheet1!$A$3:$AW$699,5,FALSE)="","",VLOOKUP($A53,Sheet1!$A$3:$AW$699,5,FALSE))</f>
        <v>UINT</v>
      </c>
      <c r="J53" s="7" t="s">
        <v>529</v>
      </c>
      <c r="K53" s="9" t="s">
        <v>499</v>
      </c>
      <c r="L53" s="146" t="str">
        <f>IF(VLOOKUP($A53,Sheet1!$A$3:$AW$699,7,FALSE)="★","x","")</f>
        <v/>
      </c>
      <c r="M53" s="146" t="str">
        <f>IF(VLOOKUP($A53,Sheet1!$A$3:$AW$699,8,FALSE)="▲","x","")</f>
        <v/>
      </c>
      <c r="N53" s="146" t="str">
        <f>IF(VLOOKUP($A53,Sheet1!$A$3:$AW$699,9,FALSE)="●","x","")</f>
        <v/>
      </c>
      <c r="O53" s="146" t="str">
        <f>IF(VLOOKUP($A53,Sheet1!$A$3:$AW$699,10,FALSE)="■","x","")</f>
        <v/>
      </c>
      <c r="P53" s="9" t="str">
        <f>IF(VLOOKUP($A53,Sheet1!$A$3:$AW$699,2,FALSE)="","",VLOOKUP($A53,Sheet1!$A$3:$AW$699,2,FALSE))</f>
        <v>P5.035</v>
      </c>
    </row>
    <row r="54" spans="1:16" ht="30.6" x14ac:dyDescent="0.3">
      <c r="A54" s="6">
        <v>328</v>
      </c>
      <c r="B54" s="6" t="s">
        <v>530</v>
      </c>
      <c r="C54" s="9" t="str">
        <f>IF(VLOOKUP($A54,Sheet1!$A$3:$AW$699,25,FALSE)="","",VLOOKUP($A54,Sheet1!$A$3:$AW$699,25,FALSE))</f>
        <v>All</v>
      </c>
      <c r="D54" s="142">
        <f>IF(VLOOKUP($A54,Sheet1!$A$3:$AW$699,15,FALSE)="","",VLOOKUP($A54,Sheet1!$A$3:$AW$699,15,FALSE))</f>
        <v>0</v>
      </c>
      <c r="E54" s="142">
        <f>IF(VLOOKUP($A54,Sheet1!$A$3:$AW$699,16,FALSE)="","",VLOOKUP($A54,Sheet1!$A$3:$AW$699,16,FALSE))</f>
        <v>799</v>
      </c>
      <c r="F54" s="142">
        <f>IF(VLOOKUP($A54,Sheet1!$A$3:$AW$699,17,FALSE)="","",VLOOKUP($A54,Sheet1!$A$3:$AW$699,17,FALSE))</f>
        <v>0</v>
      </c>
      <c r="G54" s="142" t="str">
        <f>IF(VLOOKUP($A54,Sheet1!$A$3:$AW$699,18,FALSE)="","",VLOOKUP($A54,Sheet1!$A$3:$AW$699,18,FALSE))</f>
        <v/>
      </c>
      <c r="H54" s="142" t="str">
        <f>IF(VLOOKUP($A54,Sheet1!$A$3:$AW$699,19,FALSE)="","",VLOOKUP($A54,Sheet1!$A$3:$AW$699,19,FALSE))</f>
        <v/>
      </c>
      <c r="I54" s="9" t="str">
        <f>IF(VLOOKUP($A54,Sheet1!$A$3:$AW$699,5,FALSE)="","",VLOOKUP($A54,Sheet1!$A$3:$AW$699,5,FALSE))</f>
        <v>INT</v>
      </c>
      <c r="J54" s="8" t="s">
        <v>531</v>
      </c>
      <c r="K54" s="9" t="s">
        <v>428</v>
      </c>
      <c r="L54" s="146" t="str">
        <f>IF(VLOOKUP($A54,Sheet1!$A$3:$AW$699,7,FALSE)="★","x","")</f>
        <v/>
      </c>
      <c r="M54" s="146" t="str">
        <f>IF(VLOOKUP($A54,Sheet1!$A$3:$AW$699,8,FALSE)="▲","x","")</f>
        <v/>
      </c>
      <c r="N54" s="146" t="str">
        <f>IF(VLOOKUP($A54,Sheet1!$A$3:$AW$699,9,FALSE)="●","x","")</f>
        <v/>
      </c>
      <c r="O54" s="146" t="str">
        <f>IF(VLOOKUP($A54,Sheet1!$A$3:$AW$699,10,FALSE)="■","x","")</f>
        <v/>
      </c>
      <c r="P54" s="9" t="str">
        <f>IF(VLOOKUP($A54,Sheet1!$A$3:$AW$699,2,FALSE)="","",VLOOKUP($A54,Sheet1!$A$3:$AW$699,2,FALSE))</f>
        <v>P5.036</v>
      </c>
    </row>
    <row r="55" spans="1:16" ht="40.799999999999997" x14ac:dyDescent="0.3">
      <c r="A55" s="6">
        <v>329</v>
      </c>
      <c r="B55" s="6" t="s">
        <v>532</v>
      </c>
      <c r="C55" s="9" t="str">
        <f>IF(VLOOKUP($A55,Sheet1!$A$3:$AW$699,25,FALSE)="","",VLOOKUP($A55,Sheet1!$A$3:$AW$699,25,FALSE))</f>
        <v>All</v>
      </c>
      <c r="D55" s="142">
        <f>IF(VLOOKUP($A55,Sheet1!$A$3:$AW$699,15,FALSE)="","",VLOOKUP($A55,Sheet1!$A$3:$AW$699,15,FALSE))</f>
        <v>-2147483648</v>
      </c>
      <c r="E55" s="142">
        <f>IF(VLOOKUP($A55,Sheet1!$A$3:$AW$699,16,FALSE)="","",VLOOKUP($A55,Sheet1!$A$3:$AW$699,16,FALSE))</f>
        <v>2147483647</v>
      </c>
      <c r="F55" s="142">
        <f>IF(VLOOKUP($A55,Sheet1!$A$3:$AW$699,17,FALSE)="","",VLOOKUP($A55,Sheet1!$A$3:$AW$699,17,FALSE))</f>
        <v>0</v>
      </c>
      <c r="G55" s="142" t="str">
        <f>IF(VLOOKUP($A55,Sheet1!$A$3:$AW$699,18,FALSE)="","",VLOOKUP($A55,Sheet1!$A$3:$AW$699,18,FALSE))</f>
        <v/>
      </c>
      <c r="H55" s="142" t="str">
        <f>IF(VLOOKUP($A55,Sheet1!$A$3:$AW$699,19,FALSE)="","",VLOOKUP($A55,Sheet1!$A$3:$AW$699,19,FALSE))</f>
        <v/>
      </c>
      <c r="I55" s="9" t="str">
        <f>IF(VLOOKUP($A55,Sheet1!$A$3:$AW$699,5,FALSE)="","",VLOOKUP($A55,Sheet1!$A$3:$AW$699,5,FALSE))</f>
        <v>DINT</v>
      </c>
      <c r="J55" s="23" t="s">
        <v>533</v>
      </c>
      <c r="K55" s="9" t="s">
        <v>428</v>
      </c>
      <c r="L55" s="146" t="str">
        <f>IF(VLOOKUP($A55,Sheet1!$A$3:$AW$699,7,FALSE)="★","x","")</f>
        <v/>
      </c>
      <c r="M55" s="146" t="str">
        <f>IF(VLOOKUP($A55,Sheet1!$A$3:$AW$699,8,FALSE)="▲","x","")</f>
        <v/>
      </c>
      <c r="N55" s="146" t="str">
        <f>IF(VLOOKUP($A55,Sheet1!$A$3:$AW$699,9,FALSE)="●","x","")</f>
        <v/>
      </c>
      <c r="O55" s="146" t="str">
        <f>IF(VLOOKUP($A55,Sheet1!$A$3:$AW$699,10,FALSE)="■","x","")</f>
        <v>x</v>
      </c>
      <c r="P55" s="9" t="str">
        <f>IF(VLOOKUP($A55,Sheet1!$A$3:$AW$699,2,FALSE)="","",VLOOKUP($A55,Sheet1!$A$3:$AW$699,2,FALSE))</f>
        <v>P5.037</v>
      </c>
    </row>
    <row r="56" spans="1:16" ht="51" x14ac:dyDescent="0.3">
      <c r="A56" s="6">
        <v>330</v>
      </c>
      <c r="B56" s="6" t="s">
        <v>534</v>
      </c>
      <c r="C56" s="9" t="str">
        <f>IF(VLOOKUP($A56,Sheet1!$A$3:$AW$699,25,FALSE)="","",VLOOKUP($A56,Sheet1!$A$3:$AW$699,25,FALSE))</f>
        <v>All</v>
      </c>
      <c r="D56" s="142">
        <f>IF(VLOOKUP($A56,Sheet1!$A$3:$AW$699,15,FALSE)="","",VLOOKUP($A56,Sheet1!$A$3:$AW$699,15,FALSE))</f>
        <v>0</v>
      </c>
      <c r="E56" s="142">
        <f>IF(VLOOKUP($A56,Sheet1!$A$3:$AW$699,16,FALSE)="","",VLOOKUP($A56,Sheet1!$A$3:$AW$699,16,FALSE))</f>
        <v>800</v>
      </c>
      <c r="F56" s="142">
        <f>IF(VLOOKUP($A56,Sheet1!$A$3:$AW$699,17,FALSE)="","",VLOOKUP($A56,Sheet1!$A$3:$AW$699,17,FALSE))</f>
        <v>1</v>
      </c>
      <c r="G56" s="142" t="str">
        <f>IF(VLOOKUP($A56,Sheet1!$A$3:$AW$699,18,FALSE)="","",VLOOKUP($A56,Sheet1!$A$3:$AW$699,18,FALSE))</f>
        <v/>
      </c>
      <c r="H56" s="142" t="str">
        <f>IF(VLOOKUP($A56,Sheet1!$A$3:$AW$699,19,FALSE)="","",VLOOKUP($A56,Sheet1!$A$3:$AW$699,19,FALSE))</f>
        <v/>
      </c>
      <c r="I56" s="9" t="str">
        <f>IF(VLOOKUP($A56,Sheet1!$A$3:$AW$699,5,FALSE)="","",VLOOKUP($A56,Sheet1!$A$3:$AW$699,5,FALSE))</f>
        <v>INT</v>
      </c>
      <c r="J56" s="8" t="s">
        <v>535</v>
      </c>
      <c r="K56" s="9" t="s">
        <v>428</v>
      </c>
      <c r="L56" s="146" t="str">
        <f>IF(VLOOKUP($A56,Sheet1!$A$3:$AW$699,7,FALSE)="★","x","")</f>
        <v/>
      </c>
      <c r="M56" s="146" t="str">
        <f>IF(VLOOKUP($A56,Sheet1!$A$3:$AW$699,8,FALSE)="▲","x","")</f>
        <v/>
      </c>
      <c r="N56" s="146" t="str">
        <f>IF(VLOOKUP($A56,Sheet1!$A$3:$AW$699,9,FALSE)="●","x","")</f>
        <v/>
      </c>
      <c r="O56" s="146" t="str">
        <f>IF(VLOOKUP($A56,Sheet1!$A$3:$AW$699,10,FALSE)="■","x","")</f>
        <v>x</v>
      </c>
      <c r="P56" s="9" t="str">
        <f>IF(VLOOKUP($A56,Sheet1!$A$3:$AW$699,2,FALSE)="","",VLOOKUP($A56,Sheet1!$A$3:$AW$699,2,FALSE))</f>
        <v>P5.038</v>
      </c>
    </row>
    <row r="57" spans="1:16" ht="193.8" x14ac:dyDescent="0.3">
      <c r="A57" s="6">
        <v>331</v>
      </c>
      <c r="B57" s="6" t="s">
        <v>536</v>
      </c>
      <c r="C57" s="9" t="str">
        <f>IF(VLOOKUP($A57,Sheet1!$A$3:$AW$699,25,FALSE)="","",VLOOKUP($A57,Sheet1!$A$3:$AW$699,25,FALSE))</f>
        <v>All</v>
      </c>
      <c r="D57" s="142" t="str">
        <f>IF(VLOOKUP($A57,Sheet1!$A$3:$AW$699,15,FALSE)="","",VLOOKUP($A57,Sheet1!$A$3:$AW$699,15,FALSE))</f>
        <v>0x00000000</v>
      </c>
      <c r="E57" s="142" t="str">
        <f>IF(VLOOKUP($A57,Sheet1!$A$3:$AW$699,16,FALSE)="","",VLOOKUP($A57,Sheet1!$A$3:$AW$699,16,FALSE))</f>
        <v>0x6F00F13F</v>
      </c>
      <c r="F57" s="142" t="str">
        <f>IF(VLOOKUP($A57,Sheet1!$A$3:$AW$699,17,FALSE)="","",VLOOKUP($A57,Sheet1!$A$3:$AW$699,17,FALSE))</f>
        <v>0x32002010</v>
      </c>
      <c r="G57" s="142" t="str">
        <f>IF(VLOOKUP($A57,Sheet1!$A$3:$AW$699,18,FALSE)="","",VLOOKUP($A57,Sheet1!$A$3:$AW$699,18,FALSE))</f>
        <v/>
      </c>
      <c r="H57" s="142" t="str">
        <f>IF(VLOOKUP($A57,Sheet1!$A$3:$AW$699,19,FALSE)="","",VLOOKUP($A57,Sheet1!$A$3:$AW$699,19,FALSE))</f>
        <v/>
      </c>
      <c r="I57" s="9" t="str">
        <f>IF(VLOOKUP($A57,Sheet1!$A$3:$AW$699,5,FALSE)="","",VLOOKUP($A57,Sheet1!$A$3:$AW$699,5,FALSE))</f>
        <v>UDINT</v>
      </c>
      <c r="J57" s="8" t="s">
        <v>537</v>
      </c>
      <c r="K57" s="9" t="s">
        <v>428</v>
      </c>
      <c r="L57" s="146" t="str">
        <f>IF(VLOOKUP($A57,Sheet1!$A$3:$AW$699,7,FALSE)="★","x","")</f>
        <v/>
      </c>
      <c r="M57" s="146" t="str">
        <f>IF(VLOOKUP($A57,Sheet1!$A$3:$AW$699,8,FALSE)="▲","x","")</f>
        <v/>
      </c>
      <c r="N57" s="146" t="str">
        <f>IF(VLOOKUP($A57,Sheet1!$A$3:$AW$699,9,FALSE)="●","x","")</f>
        <v/>
      </c>
      <c r="O57" s="146" t="str">
        <f>IF(VLOOKUP($A57,Sheet1!$A$3:$AW$699,10,FALSE)="■","x","")</f>
        <v>x</v>
      </c>
      <c r="P57" s="9" t="str">
        <f>IF(VLOOKUP($A57,Sheet1!$A$3:$AW$699,2,FALSE)="","",VLOOKUP($A57,Sheet1!$A$3:$AW$699,2,FALSE))</f>
        <v>P5.039</v>
      </c>
    </row>
    <row r="58" spans="1:16" ht="20.399999999999999" x14ac:dyDescent="0.3">
      <c r="A58" s="6">
        <v>332</v>
      </c>
      <c r="B58" s="6" t="s">
        <v>538</v>
      </c>
      <c r="C58" s="9" t="str">
        <f>IF(VLOOKUP($A58,Sheet1!$A$3:$AW$699,25,FALSE)="","",VLOOKUP($A58,Sheet1!$A$3:$AW$699,25,FALSE))</f>
        <v>PR/IO</v>
      </c>
      <c r="D58" s="142">
        <f>IF(VLOOKUP($A58,Sheet1!$A$3:$AW$699,15,FALSE)="","",VLOOKUP($A58,Sheet1!$A$3:$AW$699,15,FALSE))</f>
        <v>0</v>
      </c>
      <c r="E58" s="142">
        <f>IF(VLOOKUP($A58,Sheet1!$A$3:$AW$699,16,FALSE)="","",VLOOKUP($A58,Sheet1!$A$3:$AW$699,16,FALSE))</f>
        <v>32767</v>
      </c>
      <c r="F58" s="142">
        <f>IF(VLOOKUP($A58,Sheet1!$A$3:$AW$699,17,FALSE)="","",VLOOKUP($A58,Sheet1!$A$3:$AW$699,17,FALSE))</f>
        <v>0</v>
      </c>
      <c r="G58" s="142" t="str">
        <f>IF(VLOOKUP($A58,Sheet1!$A$3:$AW$699,18,FALSE)="","",VLOOKUP($A58,Sheet1!$A$3:$AW$699,18,FALSE))</f>
        <v/>
      </c>
      <c r="H58" s="142" t="str">
        <f>IF(VLOOKUP($A58,Sheet1!$A$3:$AW$699,19,FALSE)="","",VLOOKUP($A58,Sheet1!$A$3:$AW$699,19,FALSE))</f>
        <v>ms</v>
      </c>
      <c r="I58" s="9" t="str">
        <f>IF(VLOOKUP($A58,Sheet1!$A$3:$AW$699,5,FALSE)="","",VLOOKUP($A58,Sheet1!$A$3:$AW$699,5,FALSE))</f>
        <v>UINT</v>
      </c>
      <c r="J58" s="7" t="s">
        <v>539</v>
      </c>
      <c r="K58" s="9" t="s">
        <v>499</v>
      </c>
      <c r="L58" s="146" t="str">
        <f>IF(VLOOKUP($A58,Sheet1!$A$3:$AW$699,7,FALSE)="★","x","")</f>
        <v/>
      </c>
      <c r="M58" s="146" t="str">
        <f>IF(VLOOKUP($A58,Sheet1!$A$3:$AW$699,8,FALSE)="▲","x","")</f>
        <v/>
      </c>
      <c r="N58" s="146" t="str">
        <f>IF(VLOOKUP($A58,Sheet1!$A$3:$AW$699,9,FALSE)="●","x","")</f>
        <v/>
      </c>
      <c r="O58" s="146" t="str">
        <f>IF(VLOOKUP($A58,Sheet1!$A$3:$AW$699,10,FALSE)="■","x","")</f>
        <v/>
      </c>
      <c r="P58" s="9" t="str">
        <f>IF(VLOOKUP($A58,Sheet1!$A$3:$AW$699,2,FALSE)="","",VLOOKUP($A58,Sheet1!$A$3:$AW$699,2,FALSE))</f>
        <v>P5.040</v>
      </c>
    </row>
    <row r="59" spans="1:16" ht="20.399999999999999" x14ac:dyDescent="0.3">
      <c r="A59" s="6">
        <v>333</v>
      </c>
      <c r="B59" s="6" t="s">
        <v>540</v>
      </c>
      <c r="C59" s="9" t="str">
        <f>IF(VLOOKUP($A59,Sheet1!$A$3:$AW$699,25,FALSE)="","",VLOOKUP($A59,Sheet1!$A$3:$AW$699,25,FALSE))</f>
        <v>PR/IO</v>
      </c>
      <c r="D59" s="142">
        <f>IF(VLOOKUP($A59,Sheet1!$A$3:$AW$699,15,FALSE)="","",VLOOKUP($A59,Sheet1!$A$3:$AW$699,15,FALSE))</f>
        <v>0</v>
      </c>
      <c r="E59" s="142">
        <f>IF(VLOOKUP($A59,Sheet1!$A$3:$AW$699,16,FALSE)="","",VLOOKUP($A59,Sheet1!$A$3:$AW$699,16,FALSE))</f>
        <v>32767</v>
      </c>
      <c r="F59" s="142">
        <f>IF(VLOOKUP($A59,Sheet1!$A$3:$AW$699,17,FALSE)="","",VLOOKUP($A59,Sheet1!$A$3:$AW$699,17,FALSE))</f>
        <v>100</v>
      </c>
      <c r="G59" s="142" t="str">
        <f>IF(VLOOKUP($A59,Sheet1!$A$3:$AW$699,18,FALSE)="","",VLOOKUP($A59,Sheet1!$A$3:$AW$699,18,FALSE))</f>
        <v/>
      </c>
      <c r="H59" s="142" t="str">
        <f>IF(VLOOKUP($A59,Sheet1!$A$3:$AW$699,19,FALSE)="","",VLOOKUP($A59,Sheet1!$A$3:$AW$699,19,FALSE))</f>
        <v>ms</v>
      </c>
      <c r="I59" s="9" t="str">
        <f>IF(VLOOKUP($A59,Sheet1!$A$3:$AW$699,5,FALSE)="","",VLOOKUP($A59,Sheet1!$A$3:$AW$699,5,FALSE))</f>
        <v>UINT</v>
      </c>
      <c r="J59" s="7" t="s">
        <v>541</v>
      </c>
      <c r="K59" s="9" t="s">
        <v>499</v>
      </c>
      <c r="L59" s="146" t="str">
        <f>IF(VLOOKUP($A59,Sheet1!$A$3:$AW$699,7,FALSE)="★","x","")</f>
        <v/>
      </c>
      <c r="M59" s="146" t="str">
        <f>IF(VLOOKUP($A59,Sheet1!$A$3:$AW$699,8,FALSE)="▲","x","")</f>
        <v/>
      </c>
      <c r="N59" s="146" t="str">
        <f>IF(VLOOKUP($A59,Sheet1!$A$3:$AW$699,9,FALSE)="●","x","")</f>
        <v/>
      </c>
      <c r="O59" s="146" t="str">
        <f>IF(VLOOKUP($A59,Sheet1!$A$3:$AW$699,10,FALSE)="■","x","")</f>
        <v/>
      </c>
      <c r="P59" s="9" t="str">
        <f>IF(VLOOKUP($A59,Sheet1!$A$3:$AW$699,2,FALSE)="","",VLOOKUP($A59,Sheet1!$A$3:$AW$699,2,FALSE))</f>
        <v>P5.041</v>
      </c>
    </row>
    <row r="60" spans="1:16" ht="20.399999999999999" x14ac:dyDescent="0.3">
      <c r="A60" s="6">
        <v>334</v>
      </c>
      <c r="B60" s="6" t="s">
        <v>542</v>
      </c>
      <c r="C60" s="9" t="str">
        <f>IF(VLOOKUP($A60,Sheet1!$A$3:$AW$699,25,FALSE)="","",VLOOKUP($A60,Sheet1!$A$3:$AW$699,25,FALSE))</f>
        <v>PR/IO</v>
      </c>
      <c r="D60" s="142">
        <f>IF(VLOOKUP($A60,Sheet1!$A$3:$AW$699,15,FALSE)="","",VLOOKUP($A60,Sheet1!$A$3:$AW$699,15,FALSE))</f>
        <v>0</v>
      </c>
      <c r="E60" s="142">
        <f>IF(VLOOKUP($A60,Sheet1!$A$3:$AW$699,16,FALSE)="","",VLOOKUP($A60,Sheet1!$A$3:$AW$699,16,FALSE))</f>
        <v>32767</v>
      </c>
      <c r="F60" s="142">
        <f>IF(VLOOKUP($A60,Sheet1!$A$3:$AW$699,17,FALSE)="","",VLOOKUP($A60,Sheet1!$A$3:$AW$699,17,FALSE))</f>
        <v>200</v>
      </c>
      <c r="G60" s="142" t="str">
        <f>IF(VLOOKUP($A60,Sheet1!$A$3:$AW$699,18,FALSE)="","",VLOOKUP($A60,Sheet1!$A$3:$AW$699,18,FALSE))</f>
        <v/>
      </c>
      <c r="H60" s="142" t="str">
        <f>IF(VLOOKUP($A60,Sheet1!$A$3:$AW$699,19,FALSE)="","",VLOOKUP($A60,Sheet1!$A$3:$AW$699,19,FALSE))</f>
        <v>ms</v>
      </c>
      <c r="I60" s="9" t="str">
        <f>IF(VLOOKUP($A60,Sheet1!$A$3:$AW$699,5,FALSE)="","",VLOOKUP($A60,Sheet1!$A$3:$AW$699,5,FALSE))</f>
        <v>UINT</v>
      </c>
      <c r="J60" s="7" t="s">
        <v>543</v>
      </c>
      <c r="K60" s="9" t="s">
        <v>499</v>
      </c>
      <c r="L60" s="146" t="str">
        <f>IF(VLOOKUP($A60,Sheet1!$A$3:$AW$699,7,FALSE)="★","x","")</f>
        <v/>
      </c>
      <c r="M60" s="146" t="str">
        <f>IF(VLOOKUP($A60,Sheet1!$A$3:$AW$699,8,FALSE)="▲","x","")</f>
        <v/>
      </c>
      <c r="N60" s="146" t="str">
        <f>IF(VLOOKUP($A60,Sheet1!$A$3:$AW$699,9,FALSE)="●","x","")</f>
        <v/>
      </c>
      <c r="O60" s="146" t="str">
        <f>IF(VLOOKUP($A60,Sheet1!$A$3:$AW$699,10,FALSE)="■","x","")</f>
        <v/>
      </c>
      <c r="P60" s="9" t="str">
        <f>IF(VLOOKUP($A60,Sheet1!$A$3:$AW$699,2,FALSE)="","",VLOOKUP($A60,Sheet1!$A$3:$AW$699,2,FALSE))</f>
        <v>P5.042</v>
      </c>
    </row>
    <row r="61" spans="1:16" ht="20.399999999999999" x14ac:dyDescent="0.3">
      <c r="A61" s="6">
        <v>335</v>
      </c>
      <c r="B61" s="6" t="s">
        <v>544</v>
      </c>
      <c r="C61" s="9" t="str">
        <f>IF(VLOOKUP($A61,Sheet1!$A$3:$AW$699,25,FALSE)="","",VLOOKUP($A61,Sheet1!$A$3:$AW$699,25,FALSE))</f>
        <v>PR/IO</v>
      </c>
      <c r="D61" s="142">
        <f>IF(VLOOKUP($A61,Sheet1!$A$3:$AW$699,15,FALSE)="","",VLOOKUP($A61,Sheet1!$A$3:$AW$699,15,FALSE))</f>
        <v>0</v>
      </c>
      <c r="E61" s="142">
        <f>IF(VLOOKUP($A61,Sheet1!$A$3:$AW$699,16,FALSE)="","",VLOOKUP($A61,Sheet1!$A$3:$AW$699,16,FALSE))</f>
        <v>32767</v>
      </c>
      <c r="F61" s="142">
        <f>IF(VLOOKUP($A61,Sheet1!$A$3:$AW$699,17,FALSE)="","",VLOOKUP($A61,Sheet1!$A$3:$AW$699,17,FALSE))</f>
        <v>400</v>
      </c>
      <c r="G61" s="142" t="str">
        <f>IF(VLOOKUP($A61,Sheet1!$A$3:$AW$699,18,FALSE)="","",VLOOKUP($A61,Sheet1!$A$3:$AW$699,18,FALSE))</f>
        <v/>
      </c>
      <c r="H61" s="142" t="str">
        <f>IF(VLOOKUP($A61,Sheet1!$A$3:$AW$699,19,FALSE)="","",VLOOKUP($A61,Sheet1!$A$3:$AW$699,19,FALSE))</f>
        <v>ms</v>
      </c>
      <c r="I61" s="9" t="str">
        <f>IF(VLOOKUP($A61,Sheet1!$A$3:$AW$699,5,FALSE)="","",VLOOKUP($A61,Sheet1!$A$3:$AW$699,5,FALSE))</f>
        <v>UINT</v>
      </c>
      <c r="J61" s="7" t="s">
        <v>545</v>
      </c>
      <c r="K61" s="9" t="s">
        <v>499</v>
      </c>
      <c r="L61" s="146" t="str">
        <f>IF(VLOOKUP($A61,Sheet1!$A$3:$AW$699,7,FALSE)="★","x","")</f>
        <v/>
      </c>
      <c r="M61" s="146" t="str">
        <f>IF(VLOOKUP($A61,Sheet1!$A$3:$AW$699,8,FALSE)="▲","x","")</f>
        <v/>
      </c>
      <c r="N61" s="146" t="str">
        <f>IF(VLOOKUP($A61,Sheet1!$A$3:$AW$699,9,FALSE)="●","x","")</f>
        <v/>
      </c>
      <c r="O61" s="146" t="str">
        <f>IF(VLOOKUP($A61,Sheet1!$A$3:$AW$699,10,FALSE)="■","x","")</f>
        <v/>
      </c>
      <c r="P61" s="9" t="str">
        <f>IF(VLOOKUP($A61,Sheet1!$A$3:$AW$699,2,FALSE)="","",VLOOKUP($A61,Sheet1!$A$3:$AW$699,2,FALSE))</f>
        <v>P5.043</v>
      </c>
    </row>
    <row r="62" spans="1:16" ht="20.399999999999999" x14ac:dyDescent="0.3">
      <c r="A62" s="6">
        <v>336</v>
      </c>
      <c r="B62" s="6" t="s">
        <v>546</v>
      </c>
      <c r="C62" s="9" t="str">
        <f>IF(VLOOKUP($A62,Sheet1!$A$3:$AW$699,25,FALSE)="","",VLOOKUP($A62,Sheet1!$A$3:$AW$699,25,FALSE))</f>
        <v>PR/IO</v>
      </c>
      <c r="D62" s="142">
        <f>IF(VLOOKUP($A62,Sheet1!$A$3:$AW$699,15,FALSE)="","",VLOOKUP($A62,Sheet1!$A$3:$AW$699,15,FALSE))</f>
        <v>0</v>
      </c>
      <c r="E62" s="142">
        <f>IF(VLOOKUP($A62,Sheet1!$A$3:$AW$699,16,FALSE)="","",VLOOKUP($A62,Sheet1!$A$3:$AW$699,16,FALSE))</f>
        <v>32767</v>
      </c>
      <c r="F62" s="142">
        <f>IF(VLOOKUP($A62,Sheet1!$A$3:$AW$699,17,FALSE)="","",VLOOKUP($A62,Sheet1!$A$3:$AW$699,17,FALSE))</f>
        <v>500</v>
      </c>
      <c r="G62" s="142" t="str">
        <f>IF(VLOOKUP($A62,Sheet1!$A$3:$AW$699,18,FALSE)="","",VLOOKUP($A62,Sheet1!$A$3:$AW$699,18,FALSE))</f>
        <v/>
      </c>
      <c r="H62" s="142" t="str">
        <f>IF(VLOOKUP($A62,Sheet1!$A$3:$AW$699,19,FALSE)="","",VLOOKUP($A62,Sheet1!$A$3:$AW$699,19,FALSE))</f>
        <v>ms</v>
      </c>
      <c r="I62" s="9" t="str">
        <f>IF(VLOOKUP($A62,Sheet1!$A$3:$AW$699,5,FALSE)="","",VLOOKUP($A62,Sheet1!$A$3:$AW$699,5,FALSE))</f>
        <v>UINT</v>
      </c>
      <c r="J62" s="7" t="s">
        <v>547</v>
      </c>
      <c r="K62" s="9" t="s">
        <v>499</v>
      </c>
      <c r="L62" s="146" t="str">
        <f>IF(VLOOKUP($A62,Sheet1!$A$3:$AW$699,7,FALSE)="★","x","")</f>
        <v/>
      </c>
      <c r="M62" s="146" t="str">
        <f>IF(VLOOKUP($A62,Sheet1!$A$3:$AW$699,8,FALSE)="▲","x","")</f>
        <v/>
      </c>
      <c r="N62" s="146" t="str">
        <f>IF(VLOOKUP($A62,Sheet1!$A$3:$AW$699,9,FALSE)="●","x","")</f>
        <v/>
      </c>
      <c r="O62" s="146" t="str">
        <f>IF(VLOOKUP($A62,Sheet1!$A$3:$AW$699,10,FALSE)="■","x","")</f>
        <v/>
      </c>
      <c r="P62" s="9" t="str">
        <f>IF(VLOOKUP($A62,Sheet1!$A$3:$AW$699,2,FALSE)="","",VLOOKUP($A62,Sheet1!$A$3:$AW$699,2,FALSE))</f>
        <v>P5.044</v>
      </c>
    </row>
    <row r="63" spans="1:16" ht="20.399999999999999" x14ac:dyDescent="0.3">
      <c r="A63" s="6">
        <v>337</v>
      </c>
      <c r="B63" s="6" t="s">
        <v>548</v>
      </c>
      <c r="C63" s="9" t="str">
        <f>IF(VLOOKUP($A63,Sheet1!$A$3:$AW$699,25,FALSE)="","",VLOOKUP($A63,Sheet1!$A$3:$AW$699,25,FALSE))</f>
        <v>PR/IO</v>
      </c>
      <c r="D63" s="142">
        <f>IF(VLOOKUP($A63,Sheet1!$A$3:$AW$699,15,FALSE)="","",VLOOKUP($A63,Sheet1!$A$3:$AW$699,15,FALSE))</f>
        <v>0</v>
      </c>
      <c r="E63" s="142">
        <f>IF(VLOOKUP($A63,Sheet1!$A$3:$AW$699,16,FALSE)="","",VLOOKUP($A63,Sheet1!$A$3:$AW$699,16,FALSE))</f>
        <v>32767</v>
      </c>
      <c r="F63" s="142">
        <f>IF(VLOOKUP($A63,Sheet1!$A$3:$AW$699,17,FALSE)="","",VLOOKUP($A63,Sheet1!$A$3:$AW$699,17,FALSE))</f>
        <v>800</v>
      </c>
      <c r="G63" s="142" t="str">
        <f>IF(VLOOKUP($A63,Sheet1!$A$3:$AW$699,18,FALSE)="","",VLOOKUP($A63,Sheet1!$A$3:$AW$699,18,FALSE))</f>
        <v/>
      </c>
      <c r="H63" s="142" t="str">
        <f>IF(VLOOKUP($A63,Sheet1!$A$3:$AW$699,19,FALSE)="","",VLOOKUP($A63,Sheet1!$A$3:$AW$699,19,FALSE))</f>
        <v>ms</v>
      </c>
      <c r="I63" s="9" t="str">
        <f>IF(VLOOKUP($A63,Sheet1!$A$3:$AW$699,5,FALSE)="","",VLOOKUP($A63,Sheet1!$A$3:$AW$699,5,FALSE))</f>
        <v>UINT</v>
      </c>
      <c r="J63" s="7" t="s">
        <v>549</v>
      </c>
      <c r="K63" s="9" t="s">
        <v>499</v>
      </c>
      <c r="L63" s="146" t="str">
        <f>IF(VLOOKUP($A63,Sheet1!$A$3:$AW$699,7,FALSE)="★","x","")</f>
        <v/>
      </c>
      <c r="M63" s="146" t="str">
        <f>IF(VLOOKUP($A63,Sheet1!$A$3:$AW$699,8,FALSE)="▲","x","")</f>
        <v/>
      </c>
      <c r="N63" s="146" t="str">
        <f>IF(VLOOKUP($A63,Sheet1!$A$3:$AW$699,9,FALSE)="●","x","")</f>
        <v/>
      </c>
      <c r="O63" s="146" t="str">
        <f>IF(VLOOKUP($A63,Sheet1!$A$3:$AW$699,10,FALSE)="■","x","")</f>
        <v/>
      </c>
      <c r="P63" s="9" t="str">
        <f>IF(VLOOKUP($A63,Sheet1!$A$3:$AW$699,2,FALSE)="","",VLOOKUP($A63,Sheet1!$A$3:$AW$699,2,FALSE))</f>
        <v>P5.045</v>
      </c>
    </row>
    <row r="64" spans="1:16" ht="20.399999999999999" x14ac:dyDescent="0.3">
      <c r="A64" s="6">
        <v>338</v>
      </c>
      <c r="B64" s="6" t="s">
        <v>550</v>
      </c>
      <c r="C64" s="9" t="str">
        <f>IF(VLOOKUP($A64,Sheet1!$A$3:$AW$699,25,FALSE)="","",VLOOKUP($A64,Sheet1!$A$3:$AW$699,25,FALSE))</f>
        <v>PR/IO</v>
      </c>
      <c r="D64" s="142">
        <f>IF(VLOOKUP($A64,Sheet1!$A$3:$AW$699,15,FALSE)="","",VLOOKUP($A64,Sheet1!$A$3:$AW$699,15,FALSE))</f>
        <v>0</v>
      </c>
      <c r="E64" s="142">
        <f>IF(VLOOKUP($A64,Sheet1!$A$3:$AW$699,16,FALSE)="","",VLOOKUP($A64,Sheet1!$A$3:$AW$699,16,FALSE))</f>
        <v>32767</v>
      </c>
      <c r="F64" s="142">
        <f>IF(VLOOKUP($A64,Sheet1!$A$3:$AW$699,17,FALSE)="","",VLOOKUP($A64,Sheet1!$A$3:$AW$699,17,FALSE))</f>
        <v>1000</v>
      </c>
      <c r="G64" s="142" t="str">
        <f>IF(VLOOKUP($A64,Sheet1!$A$3:$AW$699,18,FALSE)="","",VLOOKUP($A64,Sheet1!$A$3:$AW$699,18,FALSE))</f>
        <v/>
      </c>
      <c r="H64" s="142" t="str">
        <f>IF(VLOOKUP($A64,Sheet1!$A$3:$AW$699,19,FALSE)="","",VLOOKUP($A64,Sheet1!$A$3:$AW$699,19,FALSE))</f>
        <v>ms</v>
      </c>
      <c r="I64" s="9" t="str">
        <f>IF(VLOOKUP($A64,Sheet1!$A$3:$AW$699,5,FALSE)="","",VLOOKUP($A64,Sheet1!$A$3:$AW$699,5,FALSE))</f>
        <v>UINT</v>
      </c>
      <c r="J64" s="7" t="s">
        <v>551</v>
      </c>
      <c r="K64" s="9" t="s">
        <v>499</v>
      </c>
      <c r="L64" s="146" t="str">
        <f>IF(VLOOKUP($A64,Sheet1!$A$3:$AW$699,7,FALSE)="★","x","")</f>
        <v/>
      </c>
      <c r="M64" s="146" t="str">
        <f>IF(VLOOKUP($A64,Sheet1!$A$3:$AW$699,8,FALSE)="▲","x","")</f>
        <v/>
      </c>
      <c r="N64" s="146" t="str">
        <f>IF(VLOOKUP($A64,Sheet1!$A$3:$AW$699,9,FALSE)="●","x","")</f>
        <v/>
      </c>
      <c r="O64" s="146" t="str">
        <f>IF(VLOOKUP($A64,Sheet1!$A$3:$AW$699,10,FALSE)="■","x","")</f>
        <v/>
      </c>
      <c r="P64" s="9" t="str">
        <f>IF(VLOOKUP($A64,Sheet1!$A$3:$AW$699,2,FALSE)="","",VLOOKUP($A64,Sheet1!$A$3:$AW$699,2,FALSE))</f>
        <v>P5.046</v>
      </c>
    </row>
    <row r="65" spans="1:16" ht="20.399999999999999" x14ac:dyDescent="0.3">
      <c r="A65" s="6">
        <v>339</v>
      </c>
      <c r="B65" s="6" t="s">
        <v>552</v>
      </c>
      <c r="C65" s="9" t="str">
        <f>IF(VLOOKUP($A65,Sheet1!$A$3:$AW$699,25,FALSE)="","",VLOOKUP($A65,Sheet1!$A$3:$AW$699,25,FALSE))</f>
        <v>PR/IO</v>
      </c>
      <c r="D65" s="142">
        <f>IF(VLOOKUP($A65,Sheet1!$A$3:$AW$699,15,FALSE)="","",VLOOKUP($A65,Sheet1!$A$3:$AW$699,15,FALSE))</f>
        <v>0</v>
      </c>
      <c r="E65" s="142">
        <f>IF(VLOOKUP($A65,Sheet1!$A$3:$AW$699,16,FALSE)="","",VLOOKUP($A65,Sheet1!$A$3:$AW$699,16,FALSE))</f>
        <v>32767</v>
      </c>
      <c r="F65" s="142">
        <f>IF(VLOOKUP($A65,Sheet1!$A$3:$AW$699,17,FALSE)="","",VLOOKUP($A65,Sheet1!$A$3:$AW$699,17,FALSE))</f>
        <v>1500</v>
      </c>
      <c r="G65" s="142" t="str">
        <f>IF(VLOOKUP($A65,Sheet1!$A$3:$AW$699,18,FALSE)="","",VLOOKUP($A65,Sheet1!$A$3:$AW$699,18,FALSE))</f>
        <v/>
      </c>
      <c r="H65" s="142" t="str">
        <f>IF(VLOOKUP($A65,Sheet1!$A$3:$AW$699,19,FALSE)="","",VLOOKUP($A65,Sheet1!$A$3:$AW$699,19,FALSE))</f>
        <v>ms</v>
      </c>
      <c r="I65" s="9" t="str">
        <f>IF(VLOOKUP($A65,Sheet1!$A$3:$AW$699,5,FALSE)="","",VLOOKUP($A65,Sheet1!$A$3:$AW$699,5,FALSE))</f>
        <v>UINT</v>
      </c>
      <c r="J65" s="7" t="s">
        <v>553</v>
      </c>
      <c r="K65" s="9" t="s">
        <v>499</v>
      </c>
      <c r="L65" s="146" t="str">
        <f>IF(VLOOKUP($A65,Sheet1!$A$3:$AW$699,7,FALSE)="★","x","")</f>
        <v/>
      </c>
      <c r="M65" s="146" t="str">
        <f>IF(VLOOKUP($A65,Sheet1!$A$3:$AW$699,8,FALSE)="▲","x","")</f>
        <v/>
      </c>
      <c r="N65" s="146" t="str">
        <f>IF(VLOOKUP($A65,Sheet1!$A$3:$AW$699,9,FALSE)="●","x","")</f>
        <v/>
      </c>
      <c r="O65" s="146" t="str">
        <f>IF(VLOOKUP($A65,Sheet1!$A$3:$AW$699,10,FALSE)="■","x","")</f>
        <v/>
      </c>
      <c r="P65" s="9" t="str">
        <f>IF(VLOOKUP($A65,Sheet1!$A$3:$AW$699,2,FALSE)="","",VLOOKUP($A65,Sheet1!$A$3:$AW$699,2,FALSE))</f>
        <v>P5.047</v>
      </c>
    </row>
    <row r="66" spans="1:16" ht="20.399999999999999" x14ac:dyDescent="0.3">
      <c r="A66" s="6">
        <v>340</v>
      </c>
      <c r="B66" s="6" t="s">
        <v>554</v>
      </c>
      <c r="C66" s="9" t="str">
        <f>IF(VLOOKUP($A66,Sheet1!$A$3:$AW$699,25,FALSE)="","",VLOOKUP($A66,Sheet1!$A$3:$AW$699,25,FALSE))</f>
        <v>PR/IO</v>
      </c>
      <c r="D66" s="142">
        <f>IF(VLOOKUP($A66,Sheet1!$A$3:$AW$699,15,FALSE)="","",VLOOKUP($A66,Sheet1!$A$3:$AW$699,15,FALSE))</f>
        <v>0</v>
      </c>
      <c r="E66" s="142">
        <f>IF(VLOOKUP($A66,Sheet1!$A$3:$AW$699,16,FALSE)="","",VLOOKUP($A66,Sheet1!$A$3:$AW$699,16,FALSE))</f>
        <v>32767</v>
      </c>
      <c r="F66" s="142">
        <f>IF(VLOOKUP($A66,Sheet1!$A$3:$AW$699,17,FALSE)="","",VLOOKUP($A66,Sheet1!$A$3:$AW$699,17,FALSE))</f>
        <v>2000</v>
      </c>
      <c r="G66" s="142" t="str">
        <f>IF(VLOOKUP($A66,Sheet1!$A$3:$AW$699,18,FALSE)="","",VLOOKUP($A66,Sheet1!$A$3:$AW$699,18,FALSE))</f>
        <v/>
      </c>
      <c r="H66" s="142" t="str">
        <f>IF(VLOOKUP($A66,Sheet1!$A$3:$AW$699,19,FALSE)="","",VLOOKUP($A66,Sheet1!$A$3:$AW$699,19,FALSE))</f>
        <v>ms</v>
      </c>
      <c r="I66" s="9" t="str">
        <f>IF(VLOOKUP($A66,Sheet1!$A$3:$AW$699,5,FALSE)="","",VLOOKUP($A66,Sheet1!$A$3:$AW$699,5,FALSE))</f>
        <v>UINT</v>
      </c>
      <c r="J66" s="7" t="s">
        <v>555</v>
      </c>
      <c r="K66" s="9" t="s">
        <v>499</v>
      </c>
      <c r="L66" s="146" t="str">
        <f>IF(VLOOKUP($A66,Sheet1!$A$3:$AW$699,7,FALSE)="★","x","")</f>
        <v/>
      </c>
      <c r="M66" s="146" t="str">
        <f>IF(VLOOKUP($A66,Sheet1!$A$3:$AW$699,8,FALSE)="▲","x","")</f>
        <v/>
      </c>
      <c r="N66" s="146" t="str">
        <f>IF(VLOOKUP($A66,Sheet1!$A$3:$AW$699,9,FALSE)="●","x","")</f>
        <v/>
      </c>
      <c r="O66" s="146" t="str">
        <f>IF(VLOOKUP($A66,Sheet1!$A$3:$AW$699,10,FALSE)="■","x","")</f>
        <v/>
      </c>
      <c r="P66" s="9" t="str">
        <f>IF(VLOOKUP($A66,Sheet1!$A$3:$AW$699,2,FALSE)="","",VLOOKUP($A66,Sheet1!$A$3:$AW$699,2,FALSE))</f>
        <v>P5.048</v>
      </c>
    </row>
    <row r="67" spans="1:16" ht="20.399999999999999" x14ac:dyDescent="0.3">
      <c r="A67" s="6">
        <v>341</v>
      </c>
      <c r="B67" s="6" t="s">
        <v>556</v>
      </c>
      <c r="C67" s="9" t="str">
        <f>IF(VLOOKUP($A67,Sheet1!$A$3:$AW$699,25,FALSE)="","",VLOOKUP($A67,Sheet1!$A$3:$AW$699,25,FALSE))</f>
        <v>PR/IO</v>
      </c>
      <c r="D67" s="142">
        <f>IF(VLOOKUP($A67,Sheet1!$A$3:$AW$699,15,FALSE)="","",VLOOKUP($A67,Sheet1!$A$3:$AW$699,15,FALSE))</f>
        <v>0</v>
      </c>
      <c r="E67" s="142">
        <f>IF(VLOOKUP($A67,Sheet1!$A$3:$AW$699,16,FALSE)="","",VLOOKUP($A67,Sheet1!$A$3:$AW$699,16,FALSE))</f>
        <v>32767</v>
      </c>
      <c r="F67" s="142">
        <f>IF(VLOOKUP($A67,Sheet1!$A$3:$AW$699,17,FALSE)="","",VLOOKUP($A67,Sheet1!$A$3:$AW$699,17,FALSE))</f>
        <v>2500</v>
      </c>
      <c r="G67" s="142" t="str">
        <f>IF(VLOOKUP($A67,Sheet1!$A$3:$AW$699,18,FALSE)="","",VLOOKUP($A67,Sheet1!$A$3:$AW$699,18,FALSE))</f>
        <v/>
      </c>
      <c r="H67" s="142" t="str">
        <f>IF(VLOOKUP($A67,Sheet1!$A$3:$AW$699,19,FALSE)="","",VLOOKUP($A67,Sheet1!$A$3:$AW$699,19,FALSE))</f>
        <v>ms</v>
      </c>
      <c r="I67" s="9" t="str">
        <f>IF(VLOOKUP($A67,Sheet1!$A$3:$AW$699,5,FALSE)="","",VLOOKUP($A67,Sheet1!$A$3:$AW$699,5,FALSE))</f>
        <v>UINT</v>
      </c>
      <c r="J67" s="7" t="s">
        <v>557</v>
      </c>
      <c r="K67" s="9" t="s">
        <v>499</v>
      </c>
      <c r="L67" s="146" t="str">
        <f>IF(VLOOKUP($A67,Sheet1!$A$3:$AW$699,7,FALSE)="★","x","")</f>
        <v/>
      </c>
      <c r="M67" s="146" t="str">
        <f>IF(VLOOKUP($A67,Sheet1!$A$3:$AW$699,8,FALSE)="▲","x","")</f>
        <v/>
      </c>
      <c r="N67" s="146" t="str">
        <f>IF(VLOOKUP($A67,Sheet1!$A$3:$AW$699,9,FALSE)="●","x","")</f>
        <v/>
      </c>
      <c r="O67" s="146" t="str">
        <f>IF(VLOOKUP($A67,Sheet1!$A$3:$AW$699,10,FALSE)="■","x","")</f>
        <v/>
      </c>
      <c r="P67" s="9" t="str">
        <f>IF(VLOOKUP($A67,Sheet1!$A$3:$AW$699,2,FALSE)="","",VLOOKUP($A67,Sheet1!$A$3:$AW$699,2,FALSE))</f>
        <v>P5.049</v>
      </c>
    </row>
    <row r="68" spans="1:16" ht="20.399999999999999" x14ac:dyDescent="0.3">
      <c r="A68" s="6">
        <v>342</v>
      </c>
      <c r="B68" s="6" t="s">
        <v>558</v>
      </c>
      <c r="C68" s="9" t="str">
        <f>IF(VLOOKUP($A68,Sheet1!$A$3:$AW$699,25,FALSE)="","",VLOOKUP($A68,Sheet1!$A$3:$AW$699,25,FALSE))</f>
        <v>PR/IO</v>
      </c>
      <c r="D68" s="142">
        <f>IF(VLOOKUP($A68,Sheet1!$A$3:$AW$699,15,FALSE)="","",VLOOKUP($A68,Sheet1!$A$3:$AW$699,15,FALSE))</f>
        <v>0</v>
      </c>
      <c r="E68" s="142">
        <f>IF(VLOOKUP($A68,Sheet1!$A$3:$AW$699,16,FALSE)="","",VLOOKUP($A68,Sheet1!$A$3:$AW$699,16,FALSE))</f>
        <v>32767</v>
      </c>
      <c r="F68" s="142">
        <f>IF(VLOOKUP($A68,Sheet1!$A$3:$AW$699,17,FALSE)="","",VLOOKUP($A68,Sheet1!$A$3:$AW$699,17,FALSE))</f>
        <v>3000</v>
      </c>
      <c r="G68" s="142" t="str">
        <f>IF(VLOOKUP($A68,Sheet1!$A$3:$AW$699,18,FALSE)="","",VLOOKUP($A68,Sheet1!$A$3:$AW$699,18,FALSE))</f>
        <v/>
      </c>
      <c r="H68" s="142" t="str">
        <f>IF(VLOOKUP($A68,Sheet1!$A$3:$AW$699,19,FALSE)="","",VLOOKUP($A68,Sheet1!$A$3:$AW$699,19,FALSE))</f>
        <v>ms</v>
      </c>
      <c r="I68" s="9" t="str">
        <f>IF(VLOOKUP($A68,Sheet1!$A$3:$AW$699,5,FALSE)="","",VLOOKUP($A68,Sheet1!$A$3:$AW$699,5,FALSE))</f>
        <v>UINT</v>
      </c>
      <c r="J68" s="7" t="s">
        <v>559</v>
      </c>
      <c r="K68" s="9" t="s">
        <v>499</v>
      </c>
      <c r="L68" s="146" t="str">
        <f>IF(VLOOKUP($A68,Sheet1!$A$3:$AW$699,7,FALSE)="★","x","")</f>
        <v/>
      </c>
      <c r="M68" s="146" t="str">
        <f>IF(VLOOKUP($A68,Sheet1!$A$3:$AW$699,8,FALSE)="▲","x","")</f>
        <v/>
      </c>
      <c r="N68" s="146" t="str">
        <f>IF(VLOOKUP($A68,Sheet1!$A$3:$AW$699,9,FALSE)="●","x","")</f>
        <v/>
      </c>
      <c r="O68" s="146" t="str">
        <f>IF(VLOOKUP($A68,Sheet1!$A$3:$AW$699,10,FALSE)="■","x","")</f>
        <v/>
      </c>
      <c r="P68" s="9" t="str">
        <f>IF(VLOOKUP($A68,Sheet1!$A$3:$AW$699,2,FALSE)="","",VLOOKUP($A68,Sheet1!$A$3:$AW$699,2,FALSE))</f>
        <v>P5.050</v>
      </c>
    </row>
    <row r="69" spans="1:16" ht="20.399999999999999" x14ac:dyDescent="0.3">
      <c r="A69" s="6">
        <v>343</v>
      </c>
      <c r="B69" s="6" t="s">
        <v>560</v>
      </c>
      <c r="C69" s="9" t="str">
        <f>IF(VLOOKUP($A69,Sheet1!$A$3:$AW$699,25,FALSE)="","",VLOOKUP($A69,Sheet1!$A$3:$AW$699,25,FALSE))</f>
        <v>PR/IO</v>
      </c>
      <c r="D69" s="142">
        <f>IF(VLOOKUP($A69,Sheet1!$A$3:$AW$699,15,FALSE)="","",VLOOKUP($A69,Sheet1!$A$3:$AW$699,15,FALSE))</f>
        <v>0</v>
      </c>
      <c r="E69" s="142">
        <f>IF(VLOOKUP($A69,Sheet1!$A$3:$AW$699,16,FALSE)="","",VLOOKUP($A69,Sheet1!$A$3:$AW$699,16,FALSE))</f>
        <v>32767</v>
      </c>
      <c r="F69" s="142">
        <f>IF(VLOOKUP($A69,Sheet1!$A$3:$AW$699,17,FALSE)="","",VLOOKUP($A69,Sheet1!$A$3:$AW$699,17,FALSE))</f>
        <v>3500</v>
      </c>
      <c r="G69" s="142" t="str">
        <f>IF(VLOOKUP($A69,Sheet1!$A$3:$AW$699,18,FALSE)="","",VLOOKUP($A69,Sheet1!$A$3:$AW$699,18,FALSE))</f>
        <v/>
      </c>
      <c r="H69" s="142" t="str">
        <f>IF(VLOOKUP($A69,Sheet1!$A$3:$AW$699,19,FALSE)="","",VLOOKUP($A69,Sheet1!$A$3:$AW$699,19,FALSE))</f>
        <v>ms</v>
      </c>
      <c r="I69" s="9" t="str">
        <f>IF(VLOOKUP($A69,Sheet1!$A$3:$AW$699,5,FALSE)="","",VLOOKUP($A69,Sheet1!$A$3:$AW$699,5,FALSE))</f>
        <v>UINT</v>
      </c>
      <c r="J69" s="7" t="s">
        <v>561</v>
      </c>
      <c r="K69" s="9" t="s">
        <v>499</v>
      </c>
      <c r="L69" s="146" t="str">
        <f>IF(VLOOKUP($A69,Sheet1!$A$3:$AW$699,7,FALSE)="★","x","")</f>
        <v/>
      </c>
      <c r="M69" s="146" t="str">
        <f>IF(VLOOKUP($A69,Sheet1!$A$3:$AW$699,8,FALSE)="▲","x","")</f>
        <v/>
      </c>
      <c r="N69" s="146" t="str">
        <f>IF(VLOOKUP($A69,Sheet1!$A$3:$AW$699,9,FALSE)="●","x","")</f>
        <v/>
      </c>
      <c r="O69" s="146" t="str">
        <f>IF(VLOOKUP($A69,Sheet1!$A$3:$AW$699,10,FALSE)="■","x","")</f>
        <v/>
      </c>
      <c r="P69" s="9" t="str">
        <f>IF(VLOOKUP($A69,Sheet1!$A$3:$AW$699,2,FALSE)="","",VLOOKUP($A69,Sheet1!$A$3:$AW$699,2,FALSE))</f>
        <v>P5.051</v>
      </c>
    </row>
    <row r="70" spans="1:16" ht="20.399999999999999" x14ac:dyDescent="0.3">
      <c r="A70" s="6">
        <v>344</v>
      </c>
      <c r="B70" s="6" t="s">
        <v>562</v>
      </c>
      <c r="C70" s="9" t="str">
        <f>IF(VLOOKUP($A70,Sheet1!$A$3:$AW$699,25,FALSE)="","",VLOOKUP($A70,Sheet1!$A$3:$AW$699,25,FALSE))</f>
        <v>PR/IO</v>
      </c>
      <c r="D70" s="142">
        <f>IF(VLOOKUP($A70,Sheet1!$A$3:$AW$699,15,FALSE)="","",VLOOKUP($A70,Sheet1!$A$3:$AW$699,15,FALSE))</f>
        <v>0</v>
      </c>
      <c r="E70" s="142">
        <f>IF(VLOOKUP($A70,Sheet1!$A$3:$AW$699,16,FALSE)="","",VLOOKUP($A70,Sheet1!$A$3:$AW$699,16,FALSE))</f>
        <v>32767</v>
      </c>
      <c r="F70" s="142">
        <f>IF(VLOOKUP($A70,Sheet1!$A$3:$AW$699,17,FALSE)="","",VLOOKUP($A70,Sheet1!$A$3:$AW$699,17,FALSE))</f>
        <v>4000</v>
      </c>
      <c r="G70" s="142" t="str">
        <f>IF(VLOOKUP($A70,Sheet1!$A$3:$AW$699,18,FALSE)="","",VLOOKUP($A70,Sheet1!$A$3:$AW$699,18,FALSE))</f>
        <v/>
      </c>
      <c r="H70" s="142" t="str">
        <f>IF(VLOOKUP($A70,Sheet1!$A$3:$AW$699,19,FALSE)="","",VLOOKUP($A70,Sheet1!$A$3:$AW$699,19,FALSE))</f>
        <v>ms</v>
      </c>
      <c r="I70" s="9" t="str">
        <f>IF(VLOOKUP($A70,Sheet1!$A$3:$AW$699,5,FALSE)="","",VLOOKUP($A70,Sheet1!$A$3:$AW$699,5,FALSE))</f>
        <v>UINT</v>
      </c>
      <c r="J70" s="7" t="s">
        <v>563</v>
      </c>
      <c r="K70" s="9" t="s">
        <v>499</v>
      </c>
      <c r="L70" s="146" t="str">
        <f>IF(VLOOKUP($A70,Sheet1!$A$3:$AW$699,7,FALSE)="★","x","")</f>
        <v/>
      </c>
      <c r="M70" s="146" t="str">
        <f>IF(VLOOKUP($A70,Sheet1!$A$3:$AW$699,8,FALSE)="▲","x","")</f>
        <v/>
      </c>
      <c r="N70" s="146" t="str">
        <f>IF(VLOOKUP($A70,Sheet1!$A$3:$AW$699,9,FALSE)="●","x","")</f>
        <v/>
      </c>
      <c r="O70" s="146" t="str">
        <f>IF(VLOOKUP($A70,Sheet1!$A$3:$AW$699,10,FALSE)="■","x","")</f>
        <v/>
      </c>
      <c r="P70" s="9" t="str">
        <f>IF(VLOOKUP($A70,Sheet1!$A$3:$AW$699,2,FALSE)="","",VLOOKUP($A70,Sheet1!$A$3:$AW$699,2,FALSE))</f>
        <v>P5.052</v>
      </c>
    </row>
    <row r="71" spans="1:16" ht="20.399999999999999" x14ac:dyDescent="0.3">
      <c r="A71" s="6">
        <v>345</v>
      </c>
      <c r="B71" s="6" t="s">
        <v>564</v>
      </c>
      <c r="C71" s="9" t="str">
        <f>IF(VLOOKUP($A71,Sheet1!$A$3:$AW$699,25,FALSE)="","",VLOOKUP($A71,Sheet1!$A$3:$AW$699,25,FALSE))</f>
        <v>PR/IO</v>
      </c>
      <c r="D71" s="142">
        <f>IF(VLOOKUP($A71,Sheet1!$A$3:$AW$699,15,FALSE)="","",VLOOKUP($A71,Sheet1!$A$3:$AW$699,15,FALSE))</f>
        <v>0</v>
      </c>
      <c r="E71" s="142">
        <f>IF(VLOOKUP($A71,Sheet1!$A$3:$AW$699,16,FALSE)="","",VLOOKUP($A71,Sheet1!$A$3:$AW$699,16,FALSE))</f>
        <v>32767</v>
      </c>
      <c r="F71" s="142">
        <f>IF(VLOOKUP($A71,Sheet1!$A$3:$AW$699,17,FALSE)="","",VLOOKUP($A71,Sheet1!$A$3:$AW$699,17,FALSE))</f>
        <v>4500</v>
      </c>
      <c r="G71" s="142" t="str">
        <f>IF(VLOOKUP($A71,Sheet1!$A$3:$AW$699,18,FALSE)="","",VLOOKUP($A71,Sheet1!$A$3:$AW$699,18,FALSE))</f>
        <v/>
      </c>
      <c r="H71" s="142" t="str">
        <f>IF(VLOOKUP($A71,Sheet1!$A$3:$AW$699,19,FALSE)="","",VLOOKUP($A71,Sheet1!$A$3:$AW$699,19,FALSE))</f>
        <v>ms</v>
      </c>
      <c r="I71" s="9" t="str">
        <f>IF(VLOOKUP($A71,Sheet1!$A$3:$AW$699,5,FALSE)="","",VLOOKUP($A71,Sheet1!$A$3:$AW$699,5,FALSE))</f>
        <v>UINT</v>
      </c>
      <c r="J71" s="7" t="s">
        <v>565</v>
      </c>
      <c r="K71" s="9" t="s">
        <v>499</v>
      </c>
      <c r="L71" s="146" t="str">
        <f>IF(VLOOKUP($A71,Sheet1!$A$3:$AW$699,7,FALSE)="★","x","")</f>
        <v/>
      </c>
      <c r="M71" s="146" t="str">
        <f>IF(VLOOKUP($A71,Sheet1!$A$3:$AW$699,8,FALSE)="▲","x","")</f>
        <v/>
      </c>
      <c r="N71" s="146" t="str">
        <f>IF(VLOOKUP($A71,Sheet1!$A$3:$AW$699,9,FALSE)="●","x","")</f>
        <v/>
      </c>
      <c r="O71" s="146" t="str">
        <f>IF(VLOOKUP($A71,Sheet1!$A$3:$AW$699,10,FALSE)="■","x","")</f>
        <v/>
      </c>
      <c r="P71" s="9" t="str">
        <f>IF(VLOOKUP($A71,Sheet1!$A$3:$AW$699,2,FALSE)="","",VLOOKUP($A71,Sheet1!$A$3:$AW$699,2,FALSE))</f>
        <v>P5.053</v>
      </c>
    </row>
    <row r="72" spans="1:16" ht="20.399999999999999" x14ac:dyDescent="0.3">
      <c r="A72" s="6">
        <v>346</v>
      </c>
      <c r="B72" s="6" t="s">
        <v>566</v>
      </c>
      <c r="C72" s="9" t="str">
        <f>IF(VLOOKUP($A72,Sheet1!$A$3:$AW$699,25,FALSE)="","",VLOOKUP($A72,Sheet1!$A$3:$AW$699,25,FALSE))</f>
        <v>PR/IO</v>
      </c>
      <c r="D72" s="142">
        <f>IF(VLOOKUP($A72,Sheet1!$A$3:$AW$699,15,FALSE)="","",VLOOKUP($A72,Sheet1!$A$3:$AW$699,15,FALSE))</f>
        <v>0</v>
      </c>
      <c r="E72" s="142">
        <f>IF(VLOOKUP($A72,Sheet1!$A$3:$AW$699,16,FALSE)="","",VLOOKUP($A72,Sheet1!$A$3:$AW$699,16,FALSE))</f>
        <v>32767</v>
      </c>
      <c r="F72" s="142">
        <f>IF(VLOOKUP($A72,Sheet1!$A$3:$AW$699,17,FALSE)="","",VLOOKUP($A72,Sheet1!$A$3:$AW$699,17,FALSE))</f>
        <v>5000</v>
      </c>
      <c r="G72" s="142" t="str">
        <f>IF(VLOOKUP($A72,Sheet1!$A$3:$AW$699,18,FALSE)="","",VLOOKUP($A72,Sheet1!$A$3:$AW$699,18,FALSE))</f>
        <v/>
      </c>
      <c r="H72" s="142" t="str">
        <f>IF(VLOOKUP($A72,Sheet1!$A$3:$AW$699,19,FALSE)="","",VLOOKUP($A72,Sheet1!$A$3:$AW$699,19,FALSE))</f>
        <v>ms</v>
      </c>
      <c r="I72" s="9" t="str">
        <f>IF(VLOOKUP($A72,Sheet1!$A$3:$AW$699,5,FALSE)="","",VLOOKUP($A72,Sheet1!$A$3:$AW$699,5,FALSE))</f>
        <v>UINT</v>
      </c>
      <c r="J72" s="7" t="s">
        <v>567</v>
      </c>
      <c r="K72" s="9" t="s">
        <v>499</v>
      </c>
      <c r="L72" s="146" t="str">
        <f>IF(VLOOKUP($A72,Sheet1!$A$3:$AW$699,7,FALSE)="★","x","")</f>
        <v/>
      </c>
      <c r="M72" s="146" t="str">
        <f>IF(VLOOKUP($A72,Sheet1!$A$3:$AW$699,8,FALSE)="▲","x","")</f>
        <v/>
      </c>
      <c r="N72" s="146" t="str">
        <f>IF(VLOOKUP($A72,Sheet1!$A$3:$AW$699,9,FALSE)="●","x","")</f>
        <v/>
      </c>
      <c r="O72" s="146" t="str">
        <f>IF(VLOOKUP($A72,Sheet1!$A$3:$AW$699,10,FALSE)="■","x","")</f>
        <v/>
      </c>
      <c r="P72" s="9" t="str">
        <f>IF(VLOOKUP($A72,Sheet1!$A$3:$AW$699,2,FALSE)="","",VLOOKUP($A72,Sheet1!$A$3:$AW$699,2,FALSE))</f>
        <v>P5.054</v>
      </c>
    </row>
    <row r="73" spans="1:16" ht="20.399999999999999" x14ac:dyDescent="0.3">
      <c r="A73" s="6">
        <v>347</v>
      </c>
      <c r="B73" s="6" t="s">
        <v>568</v>
      </c>
      <c r="C73" s="9" t="str">
        <f>IF(VLOOKUP($A73,Sheet1!$A$3:$AW$699,25,FALSE)="","",VLOOKUP($A73,Sheet1!$A$3:$AW$699,25,FALSE))</f>
        <v>PR/IO</v>
      </c>
      <c r="D73" s="142">
        <f>IF(VLOOKUP($A73,Sheet1!$A$3:$AW$699,15,FALSE)="","",VLOOKUP($A73,Sheet1!$A$3:$AW$699,15,FALSE))</f>
        <v>0</v>
      </c>
      <c r="E73" s="142">
        <f>IF(VLOOKUP($A73,Sheet1!$A$3:$AW$699,16,FALSE)="","",VLOOKUP($A73,Sheet1!$A$3:$AW$699,16,FALSE))</f>
        <v>32767</v>
      </c>
      <c r="F73" s="142">
        <f>IF(VLOOKUP($A73,Sheet1!$A$3:$AW$699,17,FALSE)="","",VLOOKUP($A73,Sheet1!$A$3:$AW$699,17,FALSE))</f>
        <v>5500</v>
      </c>
      <c r="G73" s="142" t="str">
        <f>IF(VLOOKUP($A73,Sheet1!$A$3:$AW$699,18,FALSE)="","",VLOOKUP($A73,Sheet1!$A$3:$AW$699,18,FALSE))</f>
        <v/>
      </c>
      <c r="H73" s="142" t="str">
        <f>IF(VLOOKUP($A73,Sheet1!$A$3:$AW$699,19,FALSE)="","",VLOOKUP($A73,Sheet1!$A$3:$AW$699,19,FALSE))</f>
        <v>ms</v>
      </c>
      <c r="I73" s="9" t="str">
        <f>IF(VLOOKUP($A73,Sheet1!$A$3:$AW$699,5,FALSE)="","",VLOOKUP($A73,Sheet1!$A$3:$AW$699,5,FALSE))</f>
        <v>UINT</v>
      </c>
      <c r="J73" s="7" t="s">
        <v>569</v>
      </c>
      <c r="K73" s="9" t="s">
        <v>499</v>
      </c>
      <c r="L73" s="146" t="str">
        <f>IF(VLOOKUP($A73,Sheet1!$A$3:$AW$699,7,FALSE)="★","x","")</f>
        <v/>
      </c>
      <c r="M73" s="146" t="str">
        <f>IF(VLOOKUP($A73,Sheet1!$A$3:$AW$699,8,FALSE)="▲","x","")</f>
        <v/>
      </c>
      <c r="N73" s="146" t="str">
        <f>IF(VLOOKUP($A73,Sheet1!$A$3:$AW$699,9,FALSE)="●","x","")</f>
        <v/>
      </c>
      <c r="O73" s="146" t="str">
        <f>IF(VLOOKUP($A73,Sheet1!$A$3:$AW$699,10,FALSE)="■","x","")</f>
        <v/>
      </c>
      <c r="P73" s="9" t="str">
        <f>IF(VLOOKUP($A73,Sheet1!$A$3:$AW$699,2,FALSE)="","",VLOOKUP($A73,Sheet1!$A$3:$AW$699,2,FALSE))</f>
        <v>P5.055</v>
      </c>
    </row>
    <row r="74" spans="1:16" ht="30.6" x14ac:dyDescent="0.3">
      <c r="A74" s="6">
        <v>348</v>
      </c>
      <c r="B74" s="6" t="s">
        <v>570</v>
      </c>
      <c r="C74" s="9" t="str">
        <f>IF(VLOOKUP($A74,Sheet1!$A$3:$AW$699,25,FALSE)="","",VLOOKUP($A74,Sheet1!$A$3:$AW$699,25,FALSE))</f>
        <v>All</v>
      </c>
      <c r="D74" s="142">
        <f>IF(VLOOKUP($A74,Sheet1!$A$3:$AW$699,15,FALSE)="","",VLOOKUP($A74,Sheet1!$A$3:$AW$699,15,FALSE))</f>
        <v>0</v>
      </c>
      <c r="E74" s="142">
        <f>IF(VLOOKUP($A74,Sheet1!$A$3:$AW$699,16,FALSE)="","",VLOOKUP($A74,Sheet1!$A$3:$AW$699,16,FALSE))</f>
        <v>799</v>
      </c>
      <c r="F74" s="142">
        <f>IF(VLOOKUP($A74,Sheet1!$A$3:$AW$699,17,FALSE)="","",VLOOKUP($A74,Sheet1!$A$3:$AW$699,17,FALSE))</f>
        <v>50</v>
      </c>
      <c r="G74" s="142" t="str">
        <f>IF(VLOOKUP($A74,Sheet1!$A$3:$AW$699,18,FALSE)="","",VLOOKUP($A74,Sheet1!$A$3:$AW$699,18,FALSE))</f>
        <v/>
      </c>
      <c r="H74" s="142" t="str">
        <f>IF(VLOOKUP($A74,Sheet1!$A$3:$AW$699,19,FALSE)="","",VLOOKUP($A74,Sheet1!$A$3:$AW$699,19,FALSE))</f>
        <v/>
      </c>
      <c r="I74" s="9" t="str">
        <f>IF(VLOOKUP($A74,Sheet1!$A$3:$AW$699,5,FALSE)="","",VLOOKUP($A74,Sheet1!$A$3:$AW$699,5,FALSE))</f>
        <v>INT</v>
      </c>
      <c r="J74" s="7" t="s">
        <v>571</v>
      </c>
      <c r="K74" s="9" t="s">
        <v>572</v>
      </c>
      <c r="L74" s="146" t="str">
        <f>IF(VLOOKUP($A74,Sheet1!$A$3:$AW$699,7,FALSE)="★","x","")</f>
        <v/>
      </c>
      <c r="M74" s="146" t="str">
        <f>IF(VLOOKUP($A74,Sheet1!$A$3:$AW$699,8,FALSE)="▲","x","")</f>
        <v/>
      </c>
      <c r="N74" s="146" t="str">
        <f>IF(VLOOKUP($A74,Sheet1!$A$3:$AW$699,9,FALSE)="●","x","")</f>
        <v/>
      </c>
      <c r="O74" s="146" t="str">
        <f>IF(VLOOKUP($A74,Sheet1!$A$3:$AW$699,10,FALSE)="■","x","")</f>
        <v/>
      </c>
      <c r="P74" s="9" t="str">
        <f>IF(VLOOKUP($A74,Sheet1!$A$3:$AW$699,2,FALSE)="","",VLOOKUP($A74,Sheet1!$A$3:$AW$699,2,FALSE))</f>
        <v>P5.056</v>
      </c>
    </row>
    <row r="75" spans="1:16" ht="81.599999999999994" x14ac:dyDescent="0.3">
      <c r="A75" s="6">
        <v>349</v>
      </c>
      <c r="B75" s="6" t="s">
        <v>573</v>
      </c>
      <c r="C75" s="9" t="str">
        <f>IF(VLOOKUP($A75,Sheet1!$A$3:$AW$699,25,FALSE)="","",VLOOKUP($A75,Sheet1!$A$3:$AW$699,25,FALSE))</f>
        <v>All</v>
      </c>
      <c r="D75" s="142">
        <f>IF(VLOOKUP($A75,Sheet1!$A$3:$AW$699,15,FALSE)="","",VLOOKUP($A75,Sheet1!$A$3:$AW$699,15,FALSE))</f>
        <v>-2147483648</v>
      </c>
      <c r="E75" s="142">
        <f>IF(VLOOKUP($A75,Sheet1!$A$3:$AW$699,16,FALSE)="","",VLOOKUP($A75,Sheet1!$A$3:$AW$699,16,FALSE))</f>
        <v>2147483647</v>
      </c>
      <c r="F75" s="142">
        <f>IF(VLOOKUP($A75,Sheet1!$A$3:$AW$699,17,FALSE)="","",VLOOKUP($A75,Sheet1!$A$3:$AW$699,17,FALSE))</f>
        <v>0</v>
      </c>
      <c r="G75" s="142" t="str">
        <f>IF(VLOOKUP($A75,Sheet1!$A$3:$AW$699,18,FALSE)="","",VLOOKUP($A75,Sheet1!$A$3:$AW$699,18,FALSE))</f>
        <v/>
      </c>
      <c r="H75" s="142" t="str">
        <f>IF(VLOOKUP($A75,Sheet1!$A$3:$AW$699,19,FALSE)="","",VLOOKUP($A75,Sheet1!$A$3:$AW$699,19,FALSE))</f>
        <v/>
      </c>
      <c r="I75" s="9" t="str">
        <f>IF(VLOOKUP($A75,Sheet1!$A$3:$AW$699,5,FALSE)="","",VLOOKUP($A75,Sheet1!$A$3:$AW$699,5,FALSE))</f>
        <v>DINT</v>
      </c>
      <c r="J75" s="7" t="s">
        <v>574</v>
      </c>
      <c r="K75" s="9" t="s">
        <v>572</v>
      </c>
      <c r="L75" s="146" t="str">
        <f>IF(VLOOKUP($A75,Sheet1!$A$3:$AW$699,7,FALSE)="★","x","")</f>
        <v/>
      </c>
      <c r="M75" s="146" t="str">
        <f>IF(VLOOKUP($A75,Sheet1!$A$3:$AW$699,8,FALSE)="▲","x","")</f>
        <v/>
      </c>
      <c r="N75" s="146" t="str">
        <f>IF(VLOOKUP($A75,Sheet1!$A$3:$AW$699,9,FALSE)="●","x","")</f>
        <v/>
      </c>
      <c r="O75" s="146" t="str">
        <f>IF(VLOOKUP($A75,Sheet1!$A$3:$AW$699,10,FALSE)="■","x","")</f>
        <v>x</v>
      </c>
      <c r="P75" s="9" t="str">
        <f>IF(VLOOKUP($A75,Sheet1!$A$3:$AW$699,2,FALSE)="","",VLOOKUP($A75,Sheet1!$A$3:$AW$699,2,FALSE))</f>
        <v>P5.057</v>
      </c>
    </row>
    <row r="76" spans="1:16" ht="21" customHeight="1" x14ac:dyDescent="0.3">
      <c r="A76" s="6">
        <v>350</v>
      </c>
      <c r="B76" s="6" t="s">
        <v>575</v>
      </c>
      <c r="C76" s="9" t="str">
        <f>IF(VLOOKUP($A76,Sheet1!$A$3:$AW$699,25,FALSE)="","",VLOOKUP($A76,Sheet1!$A$3:$AW$699,25,FALSE))</f>
        <v>All</v>
      </c>
      <c r="D76" s="142">
        <f>IF(VLOOKUP($A76,Sheet1!$A$3:$AW$699,15,FALSE)="","",VLOOKUP($A76,Sheet1!$A$3:$AW$699,15,FALSE))</f>
        <v>0</v>
      </c>
      <c r="E76" s="142">
        <f>IF(VLOOKUP($A76,Sheet1!$A$3:$AW$699,16,FALSE)="","",VLOOKUP($A76,Sheet1!$A$3:$AW$699,16,FALSE))</f>
        <v>800</v>
      </c>
      <c r="F76" s="142">
        <f>IF(VLOOKUP($A76,Sheet1!$A$3:$AW$699,17,FALSE)="","",VLOOKUP($A76,Sheet1!$A$3:$AW$699,17,FALSE))</f>
        <v>1</v>
      </c>
      <c r="G76" s="142" t="str">
        <f>IF(VLOOKUP($A76,Sheet1!$A$3:$AW$699,18,FALSE)="","",VLOOKUP($A76,Sheet1!$A$3:$AW$699,18,FALSE))</f>
        <v/>
      </c>
      <c r="H76" s="142" t="str">
        <f>IF(VLOOKUP($A76,Sheet1!$A$3:$AW$699,19,FALSE)="","",VLOOKUP($A76,Sheet1!$A$3:$AW$699,19,FALSE))</f>
        <v/>
      </c>
      <c r="I76" s="9" t="str">
        <f>IF(VLOOKUP($A76,Sheet1!$A$3:$AW$699,5,FALSE)="","",VLOOKUP($A76,Sheet1!$A$3:$AW$699,5,FALSE))</f>
        <v>INT</v>
      </c>
      <c r="J76" s="8" t="s">
        <v>576</v>
      </c>
      <c r="K76" s="9" t="s">
        <v>572</v>
      </c>
      <c r="L76" s="146" t="str">
        <f>IF(VLOOKUP($A76,Sheet1!$A$3:$AW$699,7,FALSE)="★","x","")</f>
        <v/>
      </c>
      <c r="M76" s="146" t="str">
        <f>IF(VLOOKUP($A76,Sheet1!$A$3:$AW$699,8,FALSE)="▲","x","")</f>
        <v/>
      </c>
      <c r="N76" s="146" t="str">
        <f>IF(VLOOKUP($A76,Sheet1!$A$3:$AW$699,9,FALSE)="●","x","")</f>
        <v/>
      </c>
      <c r="O76" s="146" t="str">
        <f>IF(VLOOKUP($A76,Sheet1!$A$3:$AW$699,10,FALSE)="■","x","")</f>
        <v>x</v>
      </c>
      <c r="P76" s="9" t="str">
        <f>IF(VLOOKUP($A76,Sheet1!$A$3:$AW$699,2,FALSE)="","",VLOOKUP($A76,Sheet1!$A$3:$AW$699,2,FALSE))</f>
        <v>P5.058</v>
      </c>
    </row>
    <row r="77" spans="1:16" ht="25.95" customHeight="1" x14ac:dyDescent="0.3">
      <c r="A77" s="6">
        <v>351</v>
      </c>
      <c r="B77" s="6" t="s">
        <v>577</v>
      </c>
      <c r="C77" s="9" t="str">
        <f>IF(VLOOKUP($A77,Sheet1!$A$3:$AW$699,25,FALSE)="","",VLOOKUP($A77,Sheet1!$A$3:$AW$699,25,FALSE))</f>
        <v>All</v>
      </c>
      <c r="D77" s="142" t="str">
        <f>IF(VLOOKUP($A77,Sheet1!$A$3:$AW$699,15,FALSE)="","",VLOOKUP($A77,Sheet1!$A$3:$AW$699,15,FALSE))</f>
        <v>0x00010000</v>
      </c>
      <c r="E77" s="142" t="str">
        <f>IF(VLOOKUP($A77,Sheet1!$A$3:$AW$699,16,FALSE)="","",VLOOKUP($A77,Sheet1!$A$3:$AW$699,16,FALSE))</f>
        <v>0x0FFF313F</v>
      </c>
      <c r="F77" s="142" t="str">
        <f>IF(VLOOKUP($A77,Sheet1!$A$3:$AW$699,17,FALSE)="","",VLOOKUP($A77,Sheet1!$A$3:$AW$699,17,FALSE))</f>
        <v>0x00640010</v>
      </c>
      <c r="G77" s="142" t="str">
        <f>IF(VLOOKUP($A77,Sheet1!$A$3:$AW$699,18,FALSE)="","",VLOOKUP($A77,Sheet1!$A$3:$AW$699,18,FALSE))</f>
        <v/>
      </c>
      <c r="H77" s="142" t="str">
        <f>IF(VLOOKUP($A77,Sheet1!$A$3:$AW$699,19,FALSE)="","",VLOOKUP($A77,Sheet1!$A$3:$AW$699,19,FALSE))</f>
        <v/>
      </c>
      <c r="I77" s="9" t="str">
        <f>IF(VLOOKUP($A77,Sheet1!$A$3:$AW$699,5,FALSE)="","",VLOOKUP($A77,Sheet1!$A$3:$AW$699,5,FALSE))</f>
        <v>UDINT</v>
      </c>
      <c r="J77" s="8" t="s">
        <v>578</v>
      </c>
      <c r="K77" s="9" t="s">
        <v>572</v>
      </c>
      <c r="L77" s="146" t="str">
        <f>IF(VLOOKUP($A77,Sheet1!$A$3:$AW$699,7,FALSE)="★","x","")</f>
        <v/>
      </c>
      <c r="M77" s="146" t="str">
        <f>IF(VLOOKUP($A77,Sheet1!$A$3:$AW$699,8,FALSE)="▲","x","")</f>
        <v/>
      </c>
      <c r="N77" s="146" t="str">
        <f>IF(VLOOKUP($A77,Sheet1!$A$3:$AW$699,9,FALSE)="●","x","")</f>
        <v/>
      </c>
      <c r="O77" s="146" t="str">
        <f>IF(VLOOKUP($A77,Sheet1!$A$3:$AW$699,10,FALSE)="■","x","")</f>
        <v>x</v>
      </c>
      <c r="P77" s="9" t="str">
        <f>IF(VLOOKUP($A77,Sheet1!$A$3:$AW$699,2,FALSE)="","",VLOOKUP($A77,Sheet1!$A$3:$AW$699,2,FALSE))</f>
        <v>P5.059</v>
      </c>
    </row>
    <row r="78" spans="1:16" ht="20.399999999999999" x14ac:dyDescent="0.3">
      <c r="A78" s="6">
        <v>352</v>
      </c>
      <c r="B78" s="6" t="str">
        <f>IF(VLOOKUP($A78,Sheet1!$A$3:$AW$699,20,FALSE)="","",VLOOKUP($A78,Sheet1!$A$3:$AW$699,20,FALSE))</f>
        <v>PresetVelocity0</v>
      </c>
      <c r="C78" s="9" t="str">
        <f>IF(VLOOKUP($A78,Sheet1!$A$3:$AW$699,25,FALSE)="","",VLOOKUP($A78,Sheet1!$A$3:$AW$699,25,FALSE))</f>
        <v>PR/IO</v>
      </c>
      <c r="D78" s="142" t="str">
        <f>IF(VLOOKUP($A78,Sheet1!$A$3:$AW$699,15,FALSE)="","",VLOOKUP($A78,Sheet1!$A$3:$AW$699,15,FALSE))</f>
        <v>0
0</v>
      </c>
      <c r="E78" s="142" t="str">
        <f>IF(VLOOKUP($A78,Sheet1!$A$3:$AW$699,16,FALSE)="","",VLOOKUP($A78,Sheet1!$A$3:$AW$699,16,FALSE))</f>
        <v>80000
15999999</v>
      </c>
      <c r="F78" s="142" t="str">
        <f>IF(VLOOKUP($A78,Sheet1!$A$3:$AW$699,17,FALSE)="","",VLOOKUP($A78,Sheet1!$A$3:$AW$699,17,FALSE))</f>
        <v>200
200</v>
      </c>
      <c r="G78" s="142" t="str">
        <f>IF(VLOOKUP($A78,Sheet1!$A$3:$AW$699,18,FALSE)="","",VLOOKUP($A78,Sheet1!$A$3:$AW$699,18,FALSE))</f>
        <v>0.1
1</v>
      </c>
      <c r="H78" s="142" t="str">
        <f>IF(VLOOKUP($A78,Sheet1!$A$3:$AW$699,19,FALSE)="","",VLOOKUP($A78,Sheet1!$A$3:$AW$699,19,FALSE))</f>
        <v>RPM
um/s</v>
      </c>
      <c r="I78" s="9" t="str">
        <f>IF(VLOOKUP($A78,Sheet1!$A$3:$AW$699,5,FALSE)="","",VLOOKUP($A78,Sheet1!$A$3:$AW$699,5,FALSE))</f>
        <v>DINT</v>
      </c>
      <c r="J78" s="7" t="s">
        <v>579</v>
      </c>
      <c r="K78" s="9" t="s">
        <v>499</v>
      </c>
      <c r="L78" s="146" t="str">
        <f>IF(VLOOKUP($A78,Sheet1!$A$3:$AW$699,7,FALSE)="★","x","")</f>
        <v/>
      </c>
      <c r="M78" s="146" t="str">
        <f>IF(VLOOKUP($A78,Sheet1!$A$3:$AW$699,8,FALSE)="▲","x","")</f>
        <v/>
      </c>
      <c r="N78" s="146" t="str">
        <f>IF(VLOOKUP($A78,Sheet1!$A$3:$AW$699,9,FALSE)="●","x","")</f>
        <v/>
      </c>
      <c r="O78" s="146" t="str">
        <f>IF(VLOOKUP($A78,Sheet1!$A$3:$AW$699,10,FALSE)="■","x","")</f>
        <v/>
      </c>
      <c r="P78" s="9" t="str">
        <f>IF(VLOOKUP($A78,Sheet1!$A$3:$AW$699,2,FALSE)="","",VLOOKUP($A78,Sheet1!$A$3:$AW$699,2,FALSE))</f>
        <v>P5.060</v>
      </c>
    </row>
    <row r="79" spans="1:16" ht="20.399999999999999" x14ac:dyDescent="0.3">
      <c r="A79" s="6">
        <v>353</v>
      </c>
      <c r="B79" s="6" t="str">
        <f>IF(VLOOKUP($A79,Sheet1!$A$3:$AW$699,20,FALSE)="","",VLOOKUP($A79,Sheet1!$A$3:$AW$699,20,FALSE))</f>
        <v>PresetVelocity1</v>
      </c>
      <c r="C79" s="9" t="str">
        <f>IF(VLOOKUP($A79,Sheet1!$A$3:$AW$699,25,FALSE)="","",VLOOKUP($A79,Sheet1!$A$3:$AW$699,25,FALSE))</f>
        <v>PR/IO</v>
      </c>
      <c r="D79" s="142" t="str">
        <f>IF(VLOOKUP($A79,Sheet1!$A$3:$AW$699,15,FALSE)="","",VLOOKUP($A79,Sheet1!$A$3:$AW$699,15,FALSE))</f>
        <v>0
0</v>
      </c>
      <c r="E79" s="142" t="str">
        <f>IF(VLOOKUP($A79,Sheet1!$A$3:$AW$699,16,FALSE)="","",VLOOKUP($A79,Sheet1!$A$3:$AW$699,16,FALSE))</f>
        <v>80000
15999999</v>
      </c>
      <c r="F79" s="142" t="str">
        <f>IF(VLOOKUP($A79,Sheet1!$A$3:$AW$699,17,FALSE)="","",VLOOKUP($A79,Sheet1!$A$3:$AW$699,17,FALSE))</f>
        <v>500
500</v>
      </c>
      <c r="G79" s="142" t="str">
        <f>IF(VLOOKUP($A79,Sheet1!$A$3:$AW$699,18,FALSE)="","",VLOOKUP($A79,Sheet1!$A$3:$AW$699,18,FALSE))</f>
        <v>0.1
1</v>
      </c>
      <c r="H79" s="142" t="str">
        <f>IF(VLOOKUP($A79,Sheet1!$A$3:$AW$699,19,FALSE)="","",VLOOKUP($A79,Sheet1!$A$3:$AW$699,19,FALSE))</f>
        <v>RPM
um/s</v>
      </c>
      <c r="I79" s="9" t="str">
        <f>IF(VLOOKUP($A79,Sheet1!$A$3:$AW$699,5,FALSE)="","",VLOOKUP($A79,Sheet1!$A$3:$AW$699,5,FALSE))</f>
        <v>DINT</v>
      </c>
      <c r="J79" s="7" t="s">
        <v>580</v>
      </c>
      <c r="K79" s="9" t="s">
        <v>499</v>
      </c>
      <c r="L79" s="146" t="str">
        <f>IF(VLOOKUP($A79,Sheet1!$A$3:$AW$699,7,FALSE)="★","x","")</f>
        <v/>
      </c>
      <c r="M79" s="146" t="str">
        <f>IF(VLOOKUP($A79,Sheet1!$A$3:$AW$699,8,FALSE)="▲","x","")</f>
        <v/>
      </c>
      <c r="N79" s="146" t="str">
        <f>IF(VLOOKUP($A79,Sheet1!$A$3:$AW$699,9,FALSE)="●","x","")</f>
        <v/>
      </c>
      <c r="O79" s="146" t="str">
        <f>IF(VLOOKUP($A79,Sheet1!$A$3:$AW$699,10,FALSE)="■","x","")</f>
        <v/>
      </c>
      <c r="P79" s="9" t="str">
        <f>IF(VLOOKUP($A79,Sheet1!$A$3:$AW$699,2,FALSE)="","",VLOOKUP($A79,Sheet1!$A$3:$AW$699,2,FALSE))</f>
        <v>P5.061</v>
      </c>
    </row>
    <row r="80" spans="1:16" ht="20.399999999999999" x14ac:dyDescent="0.3">
      <c r="A80" s="6">
        <v>354</v>
      </c>
      <c r="B80" s="6" t="str">
        <f>IF(VLOOKUP($A80,Sheet1!$A$3:$AW$699,20,FALSE)="","",VLOOKUP($A80,Sheet1!$A$3:$AW$699,20,FALSE))</f>
        <v>PresetVelocity2</v>
      </c>
      <c r="C80" s="9" t="str">
        <f>IF(VLOOKUP($A80,Sheet1!$A$3:$AW$699,25,FALSE)="","",VLOOKUP($A80,Sheet1!$A$3:$AW$699,25,FALSE))</f>
        <v>PR/IO</v>
      </c>
      <c r="D80" s="142" t="str">
        <f>IF(VLOOKUP($A80,Sheet1!$A$3:$AW$699,15,FALSE)="","",VLOOKUP($A80,Sheet1!$A$3:$AW$699,15,FALSE))</f>
        <v>0
0</v>
      </c>
      <c r="E80" s="142" t="str">
        <f>IF(VLOOKUP($A80,Sheet1!$A$3:$AW$699,16,FALSE)="","",VLOOKUP($A80,Sheet1!$A$3:$AW$699,16,FALSE))</f>
        <v>80000
15999999</v>
      </c>
      <c r="F80" s="142" t="str">
        <f>IF(VLOOKUP($A80,Sheet1!$A$3:$AW$699,17,FALSE)="","",VLOOKUP($A80,Sheet1!$A$3:$AW$699,17,FALSE))</f>
        <v>1000
1000</v>
      </c>
      <c r="G80" s="142" t="str">
        <f>IF(VLOOKUP($A80,Sheet1!$A$3:$AW$699,18,FALSE)="","",VLOOKUP($A80,Sheet1!$A$3:$AW$699,18,FALSE))</f>
        <v>0.1
1</v>
      </c>
      <c r="H80" s="142" t="str">
        <f>IF(VLOOKUP($A80,Sheet1!$A$3:$AW$699,19,FALSE)="","",VLOOKUP($A80,Sheet1!$A$3:$AW$699,19,FALSE))</f>
        <v>RPM
um/s</v>
      </c>
      <c r="I80" s="9" t="str">
        <f>IF(VLOOKUP($A80,Sheet1!$A$3:$AW$699,5,FALSE)="","",VLOOKUP($A80,Sheet1!$A$3:$AW$699,5,FALSE))</f>
        <v>DINT</v>
      </c>
      <c r="J80" s="7" t="s">
        <v>581</v>
      </c>
      <c r="K80" s="9" t="s">
        <v>499</v>
      </c>
      <c r="L80" s="146" t="str">
        <f>IF(VLOOKUP($A80,Sheet1!$A$3:$AW$699,7,FALSE)="★","x","")</f>
        <v/>
      </c>
      <c r="M80" s="146" t="str">
        <f>IF(VLOOKUP($A80,Sheet1!$A$3:$AW$699,8,FALSE)="▲","x","")</f>
        <v/>
      </c>
      <c r="N80" s="146" t="str">
        <f>IF(VLOOKUP($A80,Sheet1!$A$3:$AW$699,9,FALSE)="●","x","")</f>
        <v/>
      </c>
      <c r="O80" s="146" t="str">
        <f>IF(VLOOKUP($A80,Sheet1!$A$3:$AW$699,10,FALSE)="■","x","")</f>
        <v/>
      </c>
      <c r="P80" s="9" t="str">
        <f>IF(VLOOKUP($A80,Sheet1!$A$3:$AW$699,2,FALSE)="","",VLOOKUP($A80,Sheet1!$A$3:$AW$699,2,FALSE))</f>
        <v>P5.062</v>
      </c>
    </row>
    <row r="81" spans="1:16" ht="20.399999999999999" x14ac:dyDescent="0.3">
      <c r="A81" s="6">
        <v>355</v>
      </c>
      <c r="B81" s="6" t="str">
        <f>IF(VLOOKUP($A81,Sheet1!$A$3:$AW$699,20,FALSE)="","",VLOOKUP($A81,Sheet1!$A$3:$AW$699,20,FALSE))</f>
        <v>PresetVelocity3</v>
      </c>
      <c r="C81" s="9" t="str">
        <f>IF(VLOOKUP($A81,Sheet1!$A$3:$AW$699,25,FALSE)="","",VLOOKUP($A81,Sheet1!$A$3:$AW$699,25,FALSE))</f>
        <v>PR/IO</v>
      </c>
      <c r="D81" s="142" t="str">
        <f>IF(VLOOKUP($A81,Sheet1!$A$3:$AW$699,15,FALSE)="","",VLOOKUP($A81,Sheet1!$A$3:$AW$699,15,FALSE))</f>
        <v>0
0</v>
      </c>
      <c r="E81" s="142" t="str">
        <f>IF(VLOOKUP($A81,Sheet1!$A$3:$AW$699,16,FALSE)="","",VLOOKUP($A81,Sheet1!$A$3:$AW$699,16,FALSE))</f>
        <v>80000
15999999</v>
      </c>
      <c r="F81" s="142" t="str">
        <f>IF(VLOOKUP($A81,Sheet1!$A$3:$AW$699,17,FALSE)="","",VLOOKUP($A81,Sheet1!$A$3:$AW$699,17,FALSE))</f>
        <v>2000
2000</v>
      </c>
      <c r="G81" s="142" t="str">
        <f>IF(VLOOKUP($A81,Sheet1!$A$3:$AW$699,18,FALSE)="","",VLOOKUP($A81,Sheet1!$A$3:$AW$699,18,FALSE))</f>
        <v>0.1
1</v>
      </c>
      <c r="H81" s="142" t="str">
        <f>IF(VLOOKUP($A81,Sheet1!$A$3:$AW$699,19,FALSE)="","",VLOOKUP($A81,Sheet1!$A$3:$AW$699,19,FALSE))</f>
        <v>RPM
um/s</v>
      </c>
      <c r="I81" s="9" t="str">
        <f>IF(VLOOKUP($A81,Sheet1!$A$3:$AW$699,5,FALSE)="","",VLOOKUP($A81,Sheet1!$A$3:$AW$699,5,FALSE))</f>
        <v>DINT</v>
      </c>
      <c r="J81" s="7" t="s">
        <v>582</v>
      </c>
      <c r="K81" s="9" t="s">
        <v>499</v>
      </c>
      <c r="L81" s="146" t="str">
        <f>IF(VLOOKUP($A81,Sheet1!$A$3:$AW$699,7,FALSE)="★","x","")</f>
        <v/>
      </c>
      <c r="M81" s="146" t="str">
        <f>IF(VLOOKUP($A81,Sheet1!$A$3:$AW$699,8,FALSE)="▲","x","")</f>
        <v/>
      </c>
      <c r="N81" s="146" t="str">
        <f>IF(VLOOKUP($A81,Sheet1!$A$3:$AW$699,9,FALSE)="●","x","")</f>
        <v/>
      </c>
      <c r="O81" s="146" t="str">
        <f>IF(VLOOKUP($A81,Sheet1!$A$3:$AW$699,10,FALSE)="■","x","")</f>
        <v/>
      </c>
      <c r="P81" s="9" t="str">
        <f>IF(VLOOKUP($A81,Sheet1!$A$3:$AW$699,2,FALSE)="","",VLOOKUP($A81,Sheet1!$A$3:$AW$699,2,FALSE))</f>
        <v>P5.063</v>
      </c>
    </row>
    <row r="82" spans="1:16" ht="20.399999999999999" x14ac:dyDescent="0.3">
      <c r="A82" s="6">
        <v>356</v>
      </c>
      <c r="B82" s="6" t="str">
        <f>IF(VLOOKUP($A82,Sheet1!$A$3:$AW$699,20,FALSE)="","",VLOOKUP($A82,Sheet1!$A$3:$AW$699,20,FALSE))</f>
        <v>PresetVelocity4</v>
      </c>
      <c r="C82" s="9" t="str">
        <f>IF(VLOOKUP($A82,Sheet1!$A$3:$AW$699,25,FALSE)="","",VLOOKUP($A82,Sheet1!$A$3:$AW$699,25,FALSE))</f>
        <v>PR/IO</v>
      </c>
      <c r="D82" s="142" t="str">
        <f>IF(VLOOKUP($A82,Sheet1!$A$3:$AW$699,15,FALSE)="","",VLOOKUP($A82,Sheet1!$A$3:$AW$699,15,FALSE))</f>
        <v>0
0</v>
      </c>
      <c r="E82" s="142" t="str">
        <f>IF(VLOOKUP($A82,Sheet1!$A$3:$AW$699,16,FALSE)="","",VLOOKUP($A82,Sheet1!$A$3:$AW$699,16,FALSE))</f>
        <v>80000
15999999</v>
      </c>
      <c r="F82" s="142" t="str">
        <f>IF(VLOOKUP($A82,Sheet1!$A$3:$AW$699,17,FALSE)="","",VLOOKUP($A82,Sheet1!$A$3:$AW$699,17,FALSE))</f>
        <v>3000
3000</v>
      </c>
      <c r="G82" s="142" t="str">
        <f>IF(VLOOKUP($A82,Sheet1!$A$3:$AW$699,18,FALSE)="","",VLOOKUP($A82,Sheet1!$A$3:$AW$699,18,FALSE))</f>
        <v>0.1
1</v>
      </c>
      <c r="H82" s="142" t="str">
        <f>IF(VLOOKUP($A82,Sheet1!$A$3:$AW$699,19,FALSE)="","",VLOOKUP($A82,Sheet1!$A$3:$AW$699,19,FALSE))</f>
        <v>RPM
um/s</v>
      </c>
      <c r="I82" s="9" t="str">
        <f>IF(VLOOKUP($A82,Sheet1!$A$3:$AW$699,5,FALSE)="","",VLOOKUP($A82,Sheet1!$A$3:$AW$699,5,FALSE))</f>
        <v>DINT</v>
      </c>
      <c r="J82" s="7" t="s">
        <v>583</v>
      </c>
      <c r="K82" s="9" t="s">
        <v>499</v>
      </c>
      <c r="L82" s="146" t="str">
        <f>IF(VLOOKUP($A82,Sheet1!$A$3:$AW$699,7,FALSE)="★","x","")</f>
        <v/>
      </c>
      <c r="M82" s="146" t="str">
        <f>IF(VLOOKUP($A82,Sheet1!$A$3:$AW$699,8,FALSE)="▲","x","")</f>
        <v/>
      </c>
      <c r="N82" s="146" t="str">
        <f>IF(VLOOKUP($A82,Sheet1!$A$3:$AW$699,9,FALSE)="●","x","")</f>
        <v/>
      </c>
      <c r="O82" s="146" t="str">
        <f>IF(VLOOKUP($A82,Sheet1!$A$3:$AW$699,10,FALSE)="■","x","")</f>
        <v/>
      </c>
      <c r="P82" s="9" t="str">
        <f>IF(VLOOKUP($A82,Sheet1!$A$3:$AW$699,2,FALSE)="","",VLOOKUP($A82,Sheet1!$A$3:$AW$699,2,FALSE))</f>
        <v>P5.064</v>
      </c>
    </row>
    <row r="83" spans="1:16" ht="20.399999999999999" x14ac:dyDescent="0.3">
      <c r="A83" s="6">
        <v>357</v>
      </c>
      <c r="B83" s="6" t="str">
        <f>IF(VLOOKUP($A83,Sheet1!$A$3:$AW$699,20,FALSE)="","",VLOOKUP($A83,Sheet1!$A$3:$AW$699,20,FALSE))</f>
        <v>PresetVelocity5</v>
      </c>
      <c r="C83" s="9" t="str">
        <f>IF(VLOOKUP($A83,Sheet1!$A$3:$AW$699,25,FALSE)="","",VLOOKUP($A83,Sheet1!$A$3:$AW$699,25,FALSE))</f>
        <v>PR/IO</v>
      </c>
      <c r="D83" s="142" t="str">
        <f>IF(VLOOKUP($A83,Sheet1!$A$3:$AW$699,15,FALSE)="","",VLOOKUP($A83,Sheet1!$A$3:$AW$699,15,FALSE))</f>
        <v>0
0</v>
      </c>
      <c r="E83" s="142" t="str">
        <f>IF(VLOOKUP($A83,Sheet1!$A$3:$AW$699,16,FALSE)="","",VLOOKUP($A83,Sheet1!$A$3:$AW$699,16,FALSE))</f>
        <v>80000
15999999</v>
      </c>
      <c r="F83" s="142" t="str">
        <f>IF(VLOOKUP($A83,Sheet1!$A$3:$AW$699,17,FALSE)="","",VLOOKUP($A83,Sheet1!$A$3:$AW$699,17,FALSE))</f>
        <v>5000
5000</v>
      </c>
      <c r="G83" s="142" t="str">
        <f>IF(VLOOKUP($A83,Sheet1!$A$3:$AW$699,18,FALSE)="","",VLOOKUP($A83,Sheet1!$A$3:$AW$699,18,FALSE))</f>
        <v>0.1
1</v>
      </c>
      <c r="H83" s="142" t="str">
        <f>IF(VLOOKUP($A83,Sheet1!$A$3:$AW$699,19,FALSE)="","",VLOOKUP($A83,Sheet1!$A$3:$AW$699,19,FALSE))</f>
        <v>RPM
um/s</v>
      </c>
      <c r="I83" s="9" t="str">
        <f>IF(VLOOKUP($A83,Sheet1!$A$3:$AW$699,5,FALSE)="","",VLOOKUP($A83,Sheet1!$A$3:$AW$699,5,FALSE))</f>
        <v>DINT</v>
      </c>
      <c r="J83" s="7" t="s">
        <v>584</v>
      </c>
      <c r="K83" s="9" t="s">
        <v>499</v>
      </c>
      <c r="L83" s="146" t="str">
        <f>IF(VLOOKUP($A83,Sheet1!$A$3:$AW$699,7,FALSE)="★","x","")</f>
        <v/>
      </c>
      <c r="M83" s="146" t="str">
        <f>IF(VLOOKUP($A83,Sheet1!$A$3:$AW$699,8,FALSE)="▲","x","")</f>
        <v/>
      </c>
      <c r="N83" s="146" t="str">
        <f>IF(VLOOKUP($A83,Sheet1!$A$3:$AW$699,9,FALSE)="●","x","")</f>
        <v/>
      </c>
      <c r="O83" s="146" t="str">
        <f>IF(VLOOKUP($A83,Sheet1!$A$3:$AW$699,10,FALSE)="■","x","")</f>
        <v/>
      </c>
      <c r="P83" s="9" t="str">
        <f>IF(VLOOKUP($A83,Sheet1!$A$3:$AW$699,2,FALSE)="","",VLOOKUP($A83,Sheet1!$A$3:$AW$699,2,FALSE))</f>
        <v>P5.065</v>
      </c>
    </row>
    <row r="84" spans="1:16" ht="20.399999999999999" x14ac:dyDescent="0.3">
      <c r="A84" s="6">
        <v>358</v>
      </c>
      <c r="B84" s="6" t="str">
        <f>IF(VLOOKUP($A84,Sheet1!$A$3:$AW$699,20,FALSE)="","",VLOOKUP($A84,Sheet1!$A$3:$AW$699,20,FALSE))</f>
        <v>PresetVelocity6</v>
      </c>
      <c r="C84" s="9" t="str">
        <f>IF(VLOOKUP($A84,Sheet1!$A$3:$AW$699,25,FALSE)="","",VLOOKUP($A84,Sheet1!$A$3:$AW$699,25,FALSE))</f>
        <v>PR/IO</v>
      </c>
      <c r="D84" s="142" t="str">
        <f>IF(VLOOKUP($A84,Sheet1!$A$3:$AW$699,15,FALSE)="","",VLOOKUP($A84,Sheet1!$A$3:$AW$699,15,FALSE))</f>
        <v>0
0</v>
      </c>
      <c r="E84" s="142" t="str">
        <f>IF(VLOOKUP($A84,Sheet1!$A$3:$AW$699,16,FALSE)="","",VLOOKUP($A84,Sheet1!$A$3:$AW$699,16,FALSE))</f>
        <v>80000
15999999</v>
      </c>
      <c r="F84" s="142" t="str">
        <f>IF(VLOOKUP($A84,Sheet1!$A$3:$AW$699,17,FALSE)="","",VLOOKUP($A84,Sheet1!$A$3:$AW$699,17,FALSE))</f>
        <v>6000
6000</v>
      </c>
      <c r="G84" s="142" t="str">
        <f>IF(VLOOKUP($A84,Sheet1!$A$3:$AW$699,18,FALSE)="","",VLOOKUP($A84,Sheet1!$A$3:$AW$699,18,FALSE))</f>
        <v>0.1
1</v>
      </c>
      <c r="H84" s="142" t="str">
        <f>IF(VLOOKUP($A84,Sheet1!$A$3:$AW$699,19,FALSE)="","",VLOOKUP($A84,Sheet1!$A$3:$AW$699,19,FALSE))</f>
        <v>RPM
um/s</v>
      </c>
      <c r="I84" s="9" t="str">
        <f>IF(VLOOKUP($A84,Sheet1!$A$3:$AW$699,5,FALSE)="","",VLOOKUP($A84,Sheet1!$A$3:$AW$699,5,FALSE))</f>
        <v>DINT</v>
      </c>
      <c r="J84" s="7" t="s">
        <v>585</v>
      </c>
      <c r="K84" s="9" t="s">
        <v>499</v>
      </c>
      <c r="L84" s="146" t="str">
        <f>IF(VLOOKUP($A84,Sheet1!$A$3:$AW$699,7,FALSE)="★","x","")</f>
        <v/>
      </c>
      <c r="M84" s="146" t="str">
        <f>IF(VLOOKUP($A84,Sheet1!$A$3:$AW$699,8,FALSE)="▲","x","")</f>
        <v/>
      </c>
      <c r="N84" s="146" t="str">
        <f>IF(VLOOKUP($A84,Sheet1!$A$3:$AW$699,9,FALSE)="●","x","")</f>
        <v/>
      </c>
      <c r="O84" s="146" t="str">
        <f>IF(VLOOKUP($A84,Sheet1!$A$3:$AW$699,10,FALSE)="■","x","")</f>
        <v/>
      </c>
      <c r="P84" s="9" t="str">
        <f>IF(VLOOKUP($A84,Sheet1!$A$3:$AW$699,2,FALSE)="","",VLOOKUP($A84,Sheet1!$A$3:$AW$699,2,FALSE))</f>
        <v>P5.066</v>
      </c>
    </row>
    <row r="85" spans="1:16" ht="20.399999999999999" x14ac:dyDescent="0.3">
      <c r="A85" s="6">
        <v>359</v>
      </c>
      <c r="B85" s="6" t="str">
        <f>IF(VLOOKUP($A85,Sheet1!$A$3:$AW$699,20,FALSE)="","",VLOOKUP($A85,Sheet1!$A$3:$AW$699,20,FALSE))</f>
        <v>PresetVelocity7</v>
      </c>
      <c r="C85" s="9" t="str">
        <f>IF(VLOOKUP($A85,Sheet1!$A$3:$AW$699,25,FALSE)="","",VLOOKUP($A85,Sheet1!$A$3:$AW$699,25,FALSE))</f>
        <v>PR/IO</v>
      </c>
      <c r="D85" s="142" t="str">
        <f>IF(VLOOKUP($A85,Sheet1!$A$3:$AW$699,15,FALSE)="","",VLOOKUP($A85,Sheet1!$A$3:$AW$699,15,FALSE))</f>
        <v>0
0</v>
      </c>
      <c r="E85" s="142" t="str">
        <f>IF(VLOOKUP($A85,Sheet1!$A$3:$AW$699,16,FALSE)="","",VLOOKUP($A85,Sheet1!$A$3:$AW$699,16,FALSE))</f>
        <v>80000
15999999</v>
      </c>
      <c r="F85" s="142" t="str">
        <f>IF(VLOOKUP($A85,Sheet1!$A$3:$AW$699,17,FALSE)="","",VLOOKUP($A85,Sheet1!$A$3:$AW$699,17,FALSE))</f>
        <v>8000
8000</v>
      </c>
      <c r="G85" s="142" t="str">
        <f>IF(VLOOKUP($A85,Sheet1!$A$3:$AW$699,18,FALSE)="","",VLOOKUP($A85,Sheet1!$A$3:$AW$699,18,FALSE))</f>
        <v>0.1
1</v>
      </c>
      <c r="H85" s="142" t="str">
        <f>IF(VLOOKUP($A85,Sheet1!$A$3:$AW$699,19,FALSE)="","",VLOOKUP($A85,Sheet1!$A$3:$AW$699,19,FALSE))</f>
        <v>RPM
um/s</v>
      </c>
      <c r="I85" s="9" t="str">
        <f>IF(VLOOKUP($A85,Sheet1!$A$3:$AW$699,5,FALSE)="","",VLOOKUP($A85,Sheet1!$A$3:$AW$699,5,FALSE))</f>
        <v>DINT</v>
      </c>
      <c r="J85" s="7" t="s">
        <v>586</v>
      </c>
      <c r="K85" s="9" t="s">
        <v>499</v>
      </c>
      <c r="L85" s="146" t="str">
        <f>IF(VLOOKUP($A85,Sheet1!$A$3:$AW$699,7,FALSE)="★","x","")</f>
        <v/>
      </c>
      <c r="M85" s="146" t="str">
        <f>IF(VLOOKUP($A85,Sheet1!$A$3:$AW$699,8,FALSE)="▲","x","")</f>
        <v/>
      </c>
      <c r="N85" s="146" t="str">
        <f>IF(VLOOKUP($A85,Sheet1!$A$3:$AW$699,9,FALSE)="●","x","")</f>
        <v/>
      </c>
      <c r="O85" s="146" t="str">
        <f>IF(VLOOKUP($A85,Sheet1!$A$3:$AW$699,10,FALSE)="■","x","")</f>
        <v/>
      </c>
      <c r="P85" s="9" t="str">
        <f>IF(VLOOKUP($A85,Sheet1!$A$3:$AW$699,2,FALSE)="","",VLOOKUP($A85,Sheet1!$A$3:$AW$699,2,FALSE))</f>
        <v>P5.067</v>
      </c>
    </row>
    <row r="86" spans="1:16" ht="20.399999999999999" x14ac:dyDescent="0.3">
      <c r="A86" s="6">
        <v>360</v>
      </c>
      <c r="B86" s="6" t="str">
        <f>IF(VLOOKUP($A86,Sheet1!$A$3:$AW$699,20,FALSE)="","",VLOOKUP($A86,Sheet1!$A$3:$AW$699,20,FALSE))</f>
        <v>PresetVelocity8</v>
      </c>
      <c r="C86" s="9" t="str">
        <f>IF(VLOOKUP($A86,Sheet1!$A$3:$AW$699,25,FALSE)="","",VLOOKUP($A86,Sheet1!$A$3:$AW$699,25,FALSE))</f>
        <v>PR/IO</v>
      </c>
      <c r="D86" s="142" t="str">
        <f>IF(VLOOKUP($A86,Sheet1!$A$3:$AW$699,15,FALSE)="","",VLOOKUP($A86,Sheet1!$A$3:$AW$699,15,FALSE))</f>
        <v>0
0</v>
      </c>
      <c r="E86" s="142" t="str">
        <f>IF(VLOOKUP($A86,Sheet1!$A$3:$AW$699,16,FALSE)="","",VLOOKUP($A86,Sheet1!$A$3:$AW$699,16,FALSE))</f>
        <v>80000
15999999</v>
      </c>
      <c r="F86" s="142" t="str">
        <f>IF(VLOOKUP($A86,Sheet1!$A$3:$AW$699,17,FALSE)="","",VLOOKUP($A86,Sheet1!$A$3:$AW$699,17,FALSE))</f>
        <v>10000
10000</v>
      </c>
      <c r="G86" s="142" t="str">
        <f>IF(VLOOKUP($A86,Sheet1!$A$3:$AW$699,18,FALSE)="","",VLOOKUP($A86,Sheet1!$A$3:$AW$699,18,FALSE))</f>
        <v>0.1
1</v>
      </c>
      <c r="H86" s="142" t="str">
        <f>IF(VLOOKUP($A86,Sheet1!$A$3:$AW$699,19,FALSE)="","",VLOOKUP($A86,Sheet1!$A$3:$AW$699,19,FALSE))</f>
        <v>RPM
um/s</v>
      </c>
      <c r="I86" s="9" t="str">
        <f>IF(VLOOKUP($A86,Sheet1!$A$3:$AW$699,5,FALSE)="","",VLOOKUP($A86,Sheet1!$A$3:$AW$699,5,FALSE))</f>
        <v>DINT</v>
      </c>
      <c r="J86" s="7" t="s">
        <v>587</v>
      </c>
      <c r="K86" s="9" t="s">
        <v>499</v>
      </c>
      <c r="L86" s="146" t="str">
        <f>IF(VLOOKUP($A86,Sheet1!$A$3:$AW$699,7,FALSE)="★","x","")</f>
        <v/>
      </c>
      <c r="M86" s="146" t="str">
        <f>IF(VLOOKUP($A86,Sheet1!$A$3:$AW$699,8,FALSE)="▲","x","")</f>
        <v/>
      </c>
      <c r="N86" s="146" t="str">
        <f>IF(VLOOKUP($A86,Sheet1!$A$3:$AW$699,9,FALSE)="●","x","")</f>
        <v/>
      </c>
      <c r="O86" s="146" t="str">
        <f>IF(VLOOKUP($A86,Sheet1!$A$3:$AW$699,10,FALSE)="■","x","")</f>
        <v/>
      </c>
      <c r="P86" s="9" t="str">
        <f>IF(VLOOKUP($A86,Sheet1!$A$3:$AW$699,2,FALSE)="","",VLOOKUP($A86,Sheet1!$A$3:$AW$699,2,FALSE))</f>
        <v>P5.068</v>
      </c>
    </row>
    <row r="87" spans="1:16" ht="20.399999999999999" x14ac:dyDescent="0.3">
      <c r="A87" s="6">
        <v>361</v>
      </c>
      <c r="B87" s="6" t="str">
        <f>IF(VLOOKUP($A87,Sheet1!$A$3:$AW$699,20,FALSE)="","",VLOOKUP($A87,Sheet1!$A$3:$AW$699,20,FALSE))</f>
        <v>PresetVelocity9</v>
      </c>
      <c r="C87" s="9" t="str">
        <f>IF(VLOOKUP($A87,Sheet1!$A$3:$AW$699,25,FALSE)="","",VLOOKUP($A87,Sheet1!$A$3:$AW$699,25,FALSE))</f>
        <v>PR/IO</v>
      </c>
      <c r="D87" s="142" t="str">
        <f>IF(VLOOKUP($A87,Sheet1!$A$3:$AW$699,15,FALSE)="","",VLOOKUP($A87,Sheet1!$A$3:$AW$699,15,FALSE))</f>
        <v>0
0</v>
      </c>
      <c r="E87" s="142" t="str">
        <f>IF(VLOOKUP($A87,Sheet1!$A$3:$AW$699,16,FALSE)="","",VLOOKUP($A87,Sheet1!$A$3:$AW$699,16,FALSE))</f>
        <v>80000
15999999</v>
      </c>
      <c r="F87" s="142" t="str">
        <f>IF(VLOOKUP($A87,Sheet1!$A$3:$AW$699,17,FALSE)="","",VLOOKUP($A87,Sheet1!$A$3:$AW$699,17,FALSE))</f>
        <v>13000
13000</v>
      </c>
      <c r="G87" s="142" t="str">
        <f>IF(VLOOKUP($A87,Sheet1!$A$3:$AW$699,18,FALSE)="","",VLOOKUP($A87,Sheet1!$A$3:$AW$699,18,FALSE))</f>
        <v>0.1
1</v>
      </c>
      <c r="H87" s="142" t="str">
        <f>IF(VLOOKUP($A87,Sheet1!$A$3:$AW$699,19,FALSE)="","",VLOOKUP($A87,Sheet1!$A$3:$AW$699,19,FALSE))</f>
        <v>RPM
um/s</v>
      </c>
      <c r="I87" s="9" t="str">
        <f>IF(VLOOKUP($A87,Sheet1!$A$3:$AW$699,5,FALSE)="","",VLOOKUP($A87,Sheet1!$A$3:$AW$699,5,FALSE))</f>
        <v>DINT</v>
      </c>
      <c r="J87" s="7" t="s">
        <v>588</v>
      </c>
      <c r="K87" s="9" t="s">
        <v>499</v>
      </c>
      <c r="L87" s="146" t="str">
        <f>IF(VLOOKUP($A87,Sheet1!$A$3:$AW$699,7,FALSE)="★","x","")</f>
        <v/>
      </c>
      <c r="M87" s="146" t="str">
        <f>IF(VLOOKUP($A87,Sheet1!$A$3:$AW$699,8,FALSE)="▲","x","")</f>
        <v/>
      </c>
      <c r="N87" s="146" t="str">
        <f>IF(VLOOKUP($A87,Sheet1!$A$3:$AW$699,9,FALSE)="●","x","")</f>
        <v/>
      </c>
      <c r="O87" s="146" t="str">
        <f>IF(VLOOKUP($A87,Sheet1!$A$3:$AW$699,10,FALSE)="■","x","")</f>
        <v/>
      </c>
      <c r="P87" s="9" t="str">
        <f>IF(VLOOKUP($A87,Sheet1!$A$3:$AW$699,2,FALSE)="","",VLOOKUP($A87,Sheet1!$A$3:$AW$699,2,FALSE))</f>
        <v>P5.069</v>
      </c>
    </row>
    <row r="88" spans="1:16" ht="20.399999999999999" x14ac:dyDescent="0.3">
      <c r="A88" s="6">
        <v>362</v>
      </c>
      <c r="B88" s="6" t="str">
        <f>IF(VLOOKUP($A88,Sheet1!$A$3:$AW$699,20,FALSE)="","",VLOOKUP($A88,Sheet1!$A$3:$AW$699,20,FALSE))</f>
        <v>PresetVelocity10</v>
      </c>
      <c r="C88" s="9" t="str">
        <f>IF(VLOOKUP($A88,Sheet1!$A$3:$AW$699,25,FALSE)="","",VLOOKUP($A88,Sheet1!$A$3:$AW$699,25,FALSE))</f>
        <v>PR/IO</v>
      </c>
      <c r="D88" s="142" t="str">
        <f>IF(VLOOKUP($A88,Sheet1!$A$3:$AW$699,15,FALSE)="","",VLOOKUP($A88,Sheet1!$A$3:$AW$699,15,FALSE))</f>
        <v>0
0</v>
      </c>
      <c r="E88" s="142" t="str">
        <f>IF(VLOOKUP($A88,Sheet1!$A$3:$AW$699,16,FALSE)="","",VLOOKUP($A88,Sheet1!$A$3:$AW$699,16,FALSE))</f>
        <v>80000
15999999</v>
      </c>
      <c r="F88" s="142" t="str">
        <f>IF(VLOOKUP($A88,Sheet1!$A$3:$AW$699,17,FALSE)="","",VLOOKUP($A88,Sheet1!$A$3:$AW$699,17,FALSE))</f>
        <v>15000
15000</v>
      </c>
      <c r="G88" s="142" t="str">
        <f>IF(VLOOKUP($A88,Sheet1!$A$3:$AW$699,18,FALSE)="","",VLOOKUP($A88,Sheet1!$A$3:$AW$699,18,FALSE))</f>
        <v>0.1
1</v>
      </c>
      <c r="H88" s="142" t="str">
        <f>IF(VLOOKUP($A88,Sheet1!$A$3:$AW$699,19,FALSE)="","",VLOOKUP($A88,Sheet1!$A$3:$AW$699,19,FALSE))</f>
        <v>RPM
um/s</v>
      </c>
      <c r="I88" s="9" t="str">
        <f>IF(VLOOKUP($A88,Sheet1!$A$3:$AW$699,5,FALSE)="","",VLOOKUP($A88,Sheet1!$A$3:$AW$699,5,FALSE))</f>
        <v>DINT</v>
      </c>
      <c r="J88" s="7" t="s">
        <v>589</v>
      </c>
      <c r="K88" s="9" t="s">
        <v>499</v>
      </c>
      <c r="L88" s="146" t="str">
        <f>IF(VLOOKUP($A88,Sheet1!$A$3:$AW$699,7,FALSE)="★","x","")</f>
        <v/>
      </c>
      <c r="M88" s="146" t="str">
        <f>IF(VLOOKUP($A88,Sheet1!$A$3:$AW$699,8,FALSE)="▲","x","")</f>
        <v/>
      </c>
      <c r="N88" s="146" t="str">
        <f>IF(VLOOKUP($A88,Sheet1!$A$3:$AW$699,9,FALSE)="●","x","")</f>
        <v/>
      </c>
      <c r="O88" s="146" t="str">
        <f>IF(VLOOKUP($A88,Sheet1!$A$3:$AW$699,10,FALSE)="■","x","")</f>
        <v/>
      </c>
      <c r="P88" s="9" t="str">
        <f>IF(VLOOKUP($A88,Sheet1!$A$3:$AW$699,2,FALSE)="","",VLOOKUP($A88,Sheet1!$A$3:$AW$699,2,FALSE))</f>
        <v>P5.070</v>
      </c>
    </row>
    <row r="89" spans="1:16" ht="20.399999999999999" x14ac:dyDescent="0.3">
      <c r="A89" s="6">
        <v>363</v>
      </c>
      <c r="B89" s="6" t="str">
        <f>IF(VLOOKUP($A89,Sheet1!$A$3:$AW$699,20,FALSE)="","",VLOOKUP($A89,Sheet1!$A$3:$AW$699,20,FALSE))</f>
        <v>PresetVelocity11</v>
      </c>
      <c r="C89" s="9" t="str">
        <f>IF(VLOOKUP($A89,Sheet1!$A$3:$AW$699,25,FALSE)="","",VLOOKUP($A89,Sheet1!$A$3:$AW$699,25,FALSE))</f>
        <v>PR/IO</v>
      </c>
      <c r="D89" s="142" t="str">
        <f>IF(VLOOKUP($A89,Sheet1!$A$3:$AW$699,15,FALSE)="","",VLOOKUP($A89,Sheet1!$A$3:$AW$699,15,FALSE))</f>
        <v>0
0</v>
      </c>
      <c r="E89" s="142" t="str">
        <f>IF(VLOOKUP($A89,Sheet1!$A$3:$AW$699,16,FALSE)="","",VLOOKUP($A89,Sheet1!$A$3:$AW$699,16,FALSE))</f>
        <v>80000
15999999</v>
      </c>
      <c r="F89" s="142" t="str">
        <f>IF(VLOOKUP($A89,Sheet1!$A$3:$AW$699,17,FALSE)="","",VLOOKUP($A89,Sheet1!$A$3:$AW$699,17,FALSE))</f>
        <v>18000
18000</v>
      </c>
      <c r="G89" s="142" t="str">
        <f>IF(VLOOKUP($A89,Sheet1!$A$3:$AW$699,18,FALSE)="","",VLOOKUP($A89,Sheet1!$A$3:$AW$699,18,FALSE))</f>
        <v>0.1
1</v>
      </c>
      <c r="H89" s="142" t="str">
        <f>IF(VLOOKUP($A89,Sheet1!$A$3:$AW$699,19,FALSE)="","",VLOOKUP($A89,Sheet1!$A$3:$AW$699,19,FALSE))</f>
        <v>RPM
um/s</v>
      </c>
      <c r="I89" s="9" t="str">
        <f>IF(VLOOKUP($A89,Sheet1!$A$3:$AW$699,5,FALSE)="","",VLOOKUP($A89,Sheet1!$A$3:$AW$699,5,FALSE))</f>
        <v>DINT</v>
      </c>
      <c r="J89" s="7" t="s">
        <v>590</v>
      </c>
      <c r="K89" s="9" t="s">
        <v>499</v>
      </c>
      <c r="L89" s="146" t="str">
        <f>IF(VLOOKUP($A89,Sheet1!$A$3:$AW$699,7,FALSE)="★","x","")</f>
        <v/>
      </c>
      <c r="M89" s="146" t="str">
        <f>IF(VLOOKUP($A89,Sheet1!$A$3:$AW$699,8,FALSE)="▲","x","")</f>
        <v/>
      </c>
      <c r="N89" s="146" t="str">
        <f>IF(VLOOKUP($A89,Sheet1!$A$3:$AW$699,9,FALSE)="●","x","")</f>
        <v/>
      </c>
      <c r="O89" s="146" t="str">
        <f>IF(VLOOKUP($A89,Sheet1!$A$3:$AW$699,10,FALSE)="■","x","")</f>
        <v/>
      </c>
      <c r="P89" s="9" t="str">
        <f>IF(VLOOKUP($A89,Sheet1!$A$3:$AW$699,2,FALSE)="","",VLOOKUP($A89,Sheet1!$A$3:$AW$699,2,FALSE))</f>
        <v>P5.071</v>
      </c>
    </row>
    <row r="90" spans="1:16" ht="20.399999999999999" x14ac:dyDescent="0.3">
      <c r="A90" s="6">
        <v>364</v>
      </c>
      <c r="B90" s="6" t="str">
        <f>IF(VLOOKUP($A90,Sheet1!$A$3:$AW$699,20,FALSE)="","",VLOOKUP($A90,Sheet1!$A$3:$AW$699,20,FALSE))</f>
        <v>PresetVelocity12</v>
      </c>
      <c r="C90" s="9" t="str">
        <f>IF(VLOOKUP($A90,Sheet1!$A$3:$AW$699,25,FALSE)="","",VLOOKUP($A90,Sheet1!$A$3:$AW$699,25,FALSE))</f>
        <v>PR/IO</v>
      </c>
      <c r="D90" s="142" t="str">
        <f>IF(VLOOKUP($A90,Sheet1!$A$3:$AW$699,15,FALSE)="","",VLOOKUP($A90,Sheet1!$A$3:$AW$699,15,FALSE))</f>
        <v>0
0</v>
      </c>
      <c r="E90" s="142" t="str">
        <f>IF(VLOOKUP($A90,Sheet1!$A$3:$AW$699,16,FALSE)="","",VLOOKUP($A90,Sheet1!$A$3:$AW$699,16,FALSE))</f>
        <v>80000
15999999</v>
      </c>
      <c r="F90" s="142" t="str">
        <f>IF(VLOOKUP($A90,Sheet1!$A$3:$AW$699,17,FALSE)="","",VLOOKUP($A90,Sheet1!$A$3:$AW$699,17,FALSE))</f>
        <v>20000
20000</v>
      </c>
      <c r="G90" s="142" t="str">
        <f>IF(VLOOKUP($A90,Sheet1!$A$3:$AW$699,18,FALSE)="","",VLOOKUP($A90,Sheet1!$A$3:$AW$699,18,FALSE))</f>
        <v>0.1
1</v>
      </c>
      <c r="H90" s="142" t="str">
        <f>IF(VLOOKUP($A90,Sheet1!$A$3:$AW$699,19,FALSE)="","",VLOOKUP($A90,Sheet1!$A$3:$AW$699,19,FALSE))</f>
        <v>RPM
um/s</v>
      </c>
      <c r="I90" s="9" t="str">
        <f>IF(VLOOKUP($A90,Sheet1!$A$3:$AW$699,5,FALSE)="","",VLOOKUP($A90,Sheet1!$A$3:$AW$699,5,FALSE))</f>
        <v>DINT</v>
      </c>
      <c r="J90" s="7" t="s">
        <v>591</v>
      </c>
      <c r="K90" s="9" t="s">
        <v>499</v>
      </c>
      <c r="L90" s="146" t="str">
        <f>IF(VLOOKUP($A90,Sheet1!$A$3:$AW$699,7,FALSE)="★","x","")</f>
        <v/>
      </c>
      <c r="M90" s="146" t="str">
        <f>IF(VLOOKUP($A90,Sheet1!$A$3:$AW$699,8,FALSE)="▲","x","")</f>
        <v/>
      </c>
      <c r="N90" s="146" t="str">
        <f>IF(VLOOKUP($A90,Sheet1!$A$3:$AW$699,9,FALSE)="●","x","")</f>
        <v/>
      </c>
      <c r="O90" s="146" t="str">
        <f>IF(VLOOKUP($A90,Sheet1!$A$3:$AW$699,10,FALSE)="■","x","")</f>
        <v/>
      </c>
      <c r="P90" s="9" t="str">
        <f>IF(VLOOKUP($A90,Sheet1!$A$3:$AW$699,2,FALSE)="","",VLOOKUP($A90,Sheet1!$A$3:$AW$699,2,FALSE))</f>
        <v>P5.072</v>
      </c>
    </row>
    <row r="91" spans="1:16" ht="20.399999999999999" x14ac:dyDescent="0.3">
      <c r="A91" s="6">
        <v>365</v>
      </c>
      <c r="B91" s="6" t="str">
        <f>IF(VLOOKUP($A91,Sheet1!$A$3:$AW$699,20,FALSE)="","",VLOOKUP($A91,Sheet1!$A$3:$AW$699,20,FALSE))</f>
        <v>PresetVelocity13</v>
      </c>
      <c r="C91" s="9" t="str">
        <f>IF(VLOOKUP($A91,Sheet1!$A$3:$AW$699,25,FALSE)="","",VLOOKUP($A91,Sheet1!$A$3:$AW$699,25,FALSE))</f>
        <v>PR/IO</v>
      </c>
      <c r="D91" s="142" t="str">
        <f>IF(VLOOKUP($A91,Sheet1!$A$3:$AW$699,15,FALSE)="","",VLOOKUP($A91,Sheet1!$A$3:$AW$699,15,FALSE))</f>
        <v>0
0</v>
      </c>
      <c r="E91" s="142" t="str">
        <f>IF(VLOOKUP($A91,Sheet1!$A$3:$AW$699,16,FALSE)="","",VLOOKUP($A91,Sheet1!$A$3:$AW$699,16,FALSE))</f>
        <v>80000
15999999</v>
      </c>
      <c r="F91" s="142" t="str">
        <f>IF(VLOOKUP($A91,Sheet1!$A$3:$AW$699,17,FALSE)="","",VLOOKUP($A91,Sheet1!$A$3:$AW$699,17,FALSE))</f>
        <v>23000
23000</v>
      </c>
      <c r="G91" s="142" t="str">
        <f>IF(VLOOKUP($A91,Sheet1!$A$3:$AW$699,18,FALSE)="","",VLOOKUP($A91,Sheet1!$A$3:$AW$699,18,FALSE))</f>
        <v>0.1
1</v>
      </c>
      <c r="H91" s="142" t="str">
        <f>IF(VLOOKUP($A91,Sheet1!$A$3:$AW$699,19,FALSE)="","",VLOOKUP($A91,Sheet1!$A$3:$AW$699,19,FALSE))</f>
        <v>RPM
um/s</v>
      </c>
      <c r="I91" s="9" t="str">
        <f>IF(VLOOKUP($A91,Sheet1!$A$3:$AW$699,5,FALSE)="","",VLOOKUP($A91,Sheet1!$A$3:$AW$699,5,FALSE))</f>
        <v>DINT</v>
      </c>
      <c r="J91" s="7" t="s">
        <v>592</v>
      </c>
      <c r="K91" s="9" t="s">
        <v>499</v>
      </c>
      <c r="L91" s="146" t="str">
        <f>IF(VLOOKUP($A91,Sheet1!$A$3:$AW$699,7,FALSE)="★","x","")</f>
        <v/>
      </c>
      <c r="M91" s="146" t="str">
        <f>IF(VLOOKUP($A91,Sheet1!$A$3:$AW$699,8,FALSE)="▲","x","")</f>
        <v/>
      </c>
      <c r="N91" s="146" t="str">
        <f>IF(VLOOKUP($A91,Sheet1!$A$3:$AW$699,9,FALSE)="●","x","")</f>
        <v/>
      </c>
      <c r="O91" s="146" t="str">
        <f>IF(VLOOKUP($A91,Sheet1!$A$3:$AW$699,10,FALSE)="■","x","")</f>
        <v/>
      </c>
      <c r="P91" s="9" t="str">
        <f>IF(VLOOKUP($A91,Sheet1!$A$3:$AW$699,2,FALSE)="","",VLOOKUP($A91,Sheet1!$A$3:$AW$699,2,FALSE))</f>
        <v>P5.073</v>
      </c>
    </row>
    <row r="92" spans="1:16" ht="20.399999999999999" x14ac:dyDescent="0.3">
      <c r="A92" s="6">
        <v>366</v>
      </c>
      <c r="B92" s="6" t="str">
        <f>IF(VLOOKUP($A92,Sheet1!$A$3:$AW$699,20,FALSE)="","",VLOOKUP($A92,Sheet1!$A$3:$AW$699,20,FALSE))</f>
        <v>PresetVelocity14</v>
      </c>
      <c r="C92" s="9" t="str">
        <f>IF(VLOOKUP($A92,Sheet1!$A$3:$AW$699,25,FALSE)="","",VLOOKUP($A92,Sheet1!$A$3:$AW$699,25,FALSE))</f>
        <v>PR/IO</v>
      </c>
      <c r="D92" s="142" t="str">
        <f>IF(VLOOKUP($A92,Sheet1!$A$3:$AW$699,15,FALSE)="","",VLOOKUP($A92,Sheet1!$A$3:$AW$699,15,FALSE))</f>
        <v>0
0</v>
      </c>
      <c r="E92" s="142" t="str">
        <f>IF(VLOOKUP($A92,Sheet1!$A$3:$AW$699,16,FALSE)="","",VLOOKUP($A92,Sheet1!$A$3:$AW$699,16,FALSE))</f>
        <v>80000
15999999</v>
      </c>
      <c r="F92" s="142" t="str">
        <f>IF(VLOOKUP($A92,Sheet1!$A$3:$AW$699,17,FALSE)="","",VLOOKUP($A92,Sheet1!$A$3:$AW$699,17,FALSE))</f>
        <v>25000
25000</v>
      </c>
      <c r="G92" s="142" t="str">
        <f>IF(VLOOKUP($A92,Sheet1!$A$3:$AW$699,18,FALSE)="","",VLOOKUP($A92,Sheet1!$A$3:$AW$699,18,FALSE))</f>
        <v>0.1
1</v>
      </c>
      <c r="H92" s="142" t="str">
        <f>IF(VLOOKUP($A92,Sheet1!$A$3:$AW$699,19,FALSE)="","",VLOOKUP($A92,Sheet1!$A$3:$AW$699,19,FALSE))</f>
        <v>RPM
um/s</v>
      </c>
      <c r="I92" s="9" t="str">
        <f>IF(VLOOKUP($A92,Sheet1!$A$3:$AW$699,5,FALSE)="","",VLOOKUP($A92,Sheet1!$A$3:$AW$699,5,FALSE))</f>
        <v>DINT</v>
      </c>
      <c r="J92" s="7" t="s">
        <v>593</v>
      </c>
      <c r="K92" s="9" t="s">
        <v>499</v>
      </c>
      <c r="L92" s="146" t="str">
        <f>IF(VLOOKUP($A92,Sheet1!$A$3:$AW$699,7,FALSE)="★","x","")</f>
        <v/>
      </c>
      <c r="M92" s="146" t="str">
        <f>IF(VLOOKUP($A92,Sheet1!$A$3:$AW$699,8,FALSE)="▲","x","")</f>
        <v/>
      </c>
      <c r="N92" s="146" t="str">
        <f>IF(VLOOKUP($A92,Sheet1!$A$3:$AW$699,9,FALSE)="●","x","")</f>
        <v/>
      </c>
      <c r="O92" s="146" t="str">
        <f>IF(VLOOKUP($A92,Sheet1!$A$3:$AW$699,10,FALSE)="■","x","")</f>
        <v/>
      </c>
      <c r="P92" s="9" t="str">
        <f>IF(VLOOKUP($A92,Sheet1!$A$3:$AW$699,2,FALSE)="","",VLOOKUP($A92,Sheet1!$A$3:$AW$699,2,FALSE))</f>
        <v>P5.074</v>
      </c>
    </row>
    <row r="93" spans="1:16" ht="20.399999999999999" x14ac:dyDescent="0.3">
      <c r="A93" s="6">
        <v>367</v>
      </c>
      <c r="B93" s="6" t="str">
        <f>IF(VLOOKUP($A93,Sheet1!$A$3:$AW$699,20,FALSE)="","",VLOOKUP($A93,Sheet1!$A$3:$AW$699,20,FALSE))</f>
        <v>PresetVelocity15</v>
      </c>
      <c r="C93" s="9" t="str">
        <f>IF(VLOOKUP($A93,Sheet1!$A$3:$AW$699,25,FALSE)="","",VLOOKUP($A93,Sheet1!$A$3:$AW$699,25,FALSE))</f>
        <v>PR/IO</v>
      </c>
      <c r="D93" s="142" t="str">
        <f>IF(VLOOKUP($A93,Sheet1!$A$3:$AW$699,15,FALSE)="","",VLOOKUP($A93,Sheet1!$A$3:$AW$699,15,FALSE))</f>
        <v>0
0</v>
      </c>
      <c r="E93" s="142" t="str">
        <f>IF(VLOOKUP($A93,Sheet1!$A$3:$AW$699,16,FALSE)="","",VLOOKUP($A93,Sheet1!$A$3:$AW$699,16,FALSE))</f>
        <v>80000
15999999</v>
      </c>
      <c r="F93" s="142" t="str">
        <f>IF(VLOOKUP($A93,Sheet1!$A$3:$AW$699,17,FALSE)="","",VLOOKUP($A93,Sheet1!$A$3:$AW$699,17,FALSE))</f>
        <v>30000
30000</v>
      </c>
      <c r="G93" s="142" t="str">
        <f>IF(VLOOKUP($A93,Sheet1!$A$3:$AW$699,18,FALSE)="","",VLOOKUP($A93,Sheet1!$A$3:$AW$699,18,FALSE))</f>
        <v>0.1
1</v>
      </c>
      <c r="H93" s="142" t="str">
        <f>IF(VLOOKUP($A93,Sheet1!$A$3:$AW$699,19,FALSE)="","",VLOOKUP($A93,Sheet1!$A$3:$AW$699,19,FALSE))</f>
        <v>RPM
um/s</v>
      </c>
      <c r="I93" s="9" t="str">
        <f>IF(VLOOKUP($A93,Sheet1!$A$3:$AW$699,5,FALSE)="","",VLOOKUP($A93,Sheet1!$A$3:$AW$699,5,FALSE))</f>
        <v>DINT</v>
      </c>
      <c r="J93" s="7" t="s">
        <v>594</v>
      </c>
      <c r="K93" s="9" t="s">
        <v>499</v>
      </c>
      <c r="L93" s="146" t="str">
        <f>IF(VLOOKUP($A93,Sheet1!$A$3:$AW$699,7,FALSE)="★","x","")</f>
        <v/>
      </c>
      <c r="M93" s="146" t="str">
        <f>IF(VLOOKUP($A93,Sheet1!$A$3:$AW$699,8,FALSE)="▲","x","")</f>
        <v/>
      </c>
      <c r="N93" s="146" t="str">
        <f>IF(VLOOKUP($A93,Sheet1!$A$3:$AW$699,9,FALSE)="●","x","")</f>
        <v/>
      </c>
      <c r="O93" s="146" t="str">
        <f>IF(VLOOKUP($A93,Sheet1!$A$3:$AW$699,10,FALSE)="■","x","")</f>
        <v/>
      </c>
      <c r="P93" s="9" t="str">
        <f>IF(VLOOKUP($A93,Sheet1!$A$3:$AW$699,2,FALSE)="","",VLOOKUP($A93,Sheet1!$A$3:$AW$699,2,FALSE))</f>
        <v>P5.075</v>
      </c>
    </row>
    <row r="94" spans="1:16" ht="30.6" x14ac:dyDescent="0.3">
      <c r="A94" s="6">
        <v>368</v>
      </c>
      <c r="B94" s="6" t="s">
        <v>595</v>
      </c>
      <c r="C94" s="9" t="str">
        <f>IF(VLOOKUP($A94,Sheet1!$A$3:$AW$699,25,FALSE)="","",VLOOKUP($A94,Sheet1!$A$3:$AW$699,25,FALSE))</f>
        <v>All</v>
      </c>
      <c r="D94" s="142">
        <f>IF(VLOOKUP($A94,Sheet1!$A$3:$AW$699,15,FALSE)="","",VLOOKUP($A94,Sheet1!$A$3:$AW$699,15,FALSE))</f>
        <v>-1073741824</v>
      </c>
      <c r="E94" s="142">
        <f>IF(VLOOKUP($A94,Sheet1!$A$3:$AW$699,16,FALSE)="","",VLOOKUP($A94,Sheet1!$A$3:$AW$699,16,FALSE))</f>
        <v>1073741823</v>
      </c>
      <c r="F94" s="142">
        <f>IF(VLOOKUP($A94,Sheet1!$A$3:$AW$699,17,FALSE)="","",VLOOKUP($A94,Sheet1!$A$3:$AW$699,17,FALSE))</f>
        <v>0</v>
      </c>
      <c r="G94" s="142" t="str">
        <f>IF(VLOOKUP($A94,Sheet1!$A$3:$AW$699,18,FALSE)="","",VLOOKUP($A94,Sheet1!$A$3:$AW$699,18,FALSE))</f>
        <v/>
      </c>
      <c r="H94" s="142" t="str">
        <f>IF(VLOOKUP($A94,Sheet1!$A$3:$AW$699,19,FALSE)="","",VLOOKUP($A94,Sheet1!$A$3:$AW$699,19,FALSE))</f>
        <v/>
      </c>
      <c r="I94" s="9" t="str">
        <f>IF(VLOOKUP($A94,Sheet1!$A$3:$AW$699,5,FALSE)="","",VLOOKUP($A94,Sheet1!$A$3:$AW$699,5,FALSE))</f>
        <v>DINT</v>
      </c>
      <c r="J94" s="23" t="s">
        <v>596</v>
      </c>
      <c r="K94" s="9" t="s">
        <v>428</v>
      </c>
      <c r="L94" s="146" t="str">
        <f>IF(VLOOKUP($A94,Sheet1!$A$3:$AW$699,7,FALSE)="★","x","")</f>
        <v/>
      </c>
      <c r="M94" s="146" t="str">
        <f>IF(VLOOKUP($A94,Sheet1!$A$3:$AW$699,8,FALSE)="▲","x","")</f>
        <v/>
      </c>
      <c r="N94" s="146" t="str">
        <f>IF(VLOOKUP($A94,Sheet1!$A$3:$AW$699,9,FALSE)="●","x","")</f>
        <v/>
      </c>
      <c r="O94" s="146" t="str">
        <f>IF(VLOOKUP($A94,Sheet1!$A$3:$AW$699,10,FALSE)="■","x","")</f>
        <v/>
      </c>
      <c r="P94" s="9" t="str">
        <f>IF(VLOOKUP($A94,Sheet1!$A$3:$AW$699,2,FALSE)="","",VLOOKUP($A94,Sheet1!$A$3:$AW$699,2,FALSE))</f>
        <v>P5.076</v>
      </c>
    </row>
    <row r="95" spans="1:16" ht="30.6" x14ac:dyDescent="0.3">
      <c r="A95" s="6">
        <v>369</v>
      </c>
      <c r="B95" s="6" t="s">
        <v>597</v>
      </c>
      <c r="C95" s="9" t="str">
        <f>IF(VLOOKUP($A95,Sheet1!$A$3:$AW$699,25,FALSE)="","",VLOOKUP($A95,Sheet1!$A$3:$AW$699,25,FALSE))</f>
        <v>PR/IO</v>
      </c>
      <c r="D95" s="142">
        <f>IF(VLOOKUP($A95,Sheet1!$A$3:$AW$699,15,FALSE)="","",VLOOKUP($A95,Sheet1!$A$3:$AW$699,15,FALSE))</f>
        <v>0</v>
      </c>
      <c r="E95" s="142">
        <f>IF(VLOOKUP($A95,Sheet1!$A$3:$AW$699,16,FALSE)="","",VLOOKUP($A95,Sheet1!$A$3:$AW$699,16,FALSE))</f>
        <v>795</v>
      </c>
      <c r="F95" s="142">
        <f>IF(VLOOKUP($A95,Sheet1!$A$3:$AW$699,17,FALSE)="","",VLOOKUP($A95,Sheet1!$A$3:$AW$699,17,FALSE))</f>
        <v>100</v>
      </c>
      <c r="G95" s="142" t="str">
        <f>IF(VLOOKUP($A95,Sheet1!$A$3:$AW$699,18,FALSE)="","",VLOOKUP($A95,Sheet1!$A$3:$AW$699,18,FALSE))</f>
        <v/>
      </c>
      <c r="H95" s="142" t="str">
        <f>IF(VLOOKUP($A95,Sheet1!$A$3:$AW$699,19,FALSE)="","",VLOOKUP($A95,Sheet1!$A$3:$AW$699,19,FALSE))</f>
        <v/>
      </c>
      <c r="I95" s="9" t="str">
        <f>IF(VLOOKUP($A95,Sheet1!$A$3:$AW$699,5,FALSE)="","",VLOOKUP($A95,Sheet1!$A$3:$AW$699,5,FALSE))</f>
        <v>INT</v>
      </c>
      <c r="J95" s="8" t="s">
        <v>598</v>
      </c>
      <c r="K95" s="9" t="s">
        <v>496</v>
      </c>
      <c r="L95" s="146" t="str">
        <f>IF(VLOOKUP($A95,Sheet1!$A$3:$AW$699,7,FALSE)="★","x","")</f>
        <v/>
      </c>
      <c r="M95" s="146" t="str">
        <f>IF(VLOOKUP($A95,Sheet1!$A$3:$AW$699,8,FALSE)="▲","x","")</f>
        <v/>
      </c>
      <c r="N95" s="146" t="str">
        <f>IF(VLOOKUP($A95,Sheet1!$A$3:$AW$699,9,FALSE)="●","x","")</f>
        <v/>
      </c>
      <c r="O95" s="146" t="str">
        <f>IF(VLOOKUP($A95,Sheet1!$A$3:$AW$699,10,FALSE)="■","x","")</f>
        <v/>
      </c>
      <c r="P95" s="9" t="str">
        <f>IF(VLOOKUP($A95,Sheet1!$A$3:$AW$699,2,FALSE)="","",VLOOKUP($A95,Sheet1!$A$3:$AW$699,2,FALSE))</f>
        <v>P5.081</v>
      </c>
    </row>
    <row r="96" spans="1:16" ht="40.799999999999997" x14ac:dyDescent="0.3">
      <c r="A96" s="6">
        <v>370</v>
      </c>
      <c r="B96" s="6" t="s">
        <v>599</v>
      </c>
      <c r="C96" s="9" t="str">
        <f>IF(VLOOKUP($A96,Sheet1!$A$3:$AW$699,25,FALSE)="","",VLOOKUP($A96,Sheet1!$A$3:$AW$699,25,FALSE))</f>
        <v>PR/IO</v>
      </c>
      <c r="D96" s="142">
        <f>IF(VLOOKUP($A96,Sheet1!$A$3:$AW$699,15,FALSE)="","",VLOOKUP($A96,Sheet1!$A$3:$AW$699,15,FALSE))</f>
        <v>5</v>
      </c>
      <c r="E96" s="142">
        <f>IF(VLOOKUP($A96,Sheet1!$A$3:$AW$699,16,FALSE)="","",VLOOKUP($A96,Sheet1!$A$3:$AW$699,16,FALSE))</f>
        <v>720</v>
      </c>
      <c r="F96" s="142">
        <f>IF(VLOOKUP($A96,Sheet1!$A$3:$AW$699,17,FALSE)="","",VLOOKUP($A96,Sheet1!$A$3:$AW$699,17,FALSE))</f>
        <v>5</v>
      </c>
      <c r="G96" s="142" t="str">
        <f>IF(VLOOKUP($A96,Sheet1!$A$3:$AW$699,18,FALSE)="","",VLOOKUP($A96,Sheet1!$A$3:$AW$699,18,FALSE))</f>
        <v/>
      </c>
      <c r="H96" s="142" t="str">
        <f>IF(VLOOKUP($A96,Sheet1!$A$3:$AW$699,19,FALSE)="","",VLOOKUP($A96,Sheet1!$A$3:$AW$699,19,FALSE))</f>
        <v/>
      </c>
      <c r="I96" s="9" t="str">
        <f>IF(VLOOKUP($A96,Sheet1!$A$3:$AW$699,5,FALSE)="","",VLOOKUP($A96,Sheet1!$A$3:$AW$699,5,FALSE))</f>
        <v>INT</v>
      </c>
      <c r="J96" s="7" t="s">
        <v>600</v>
      </c>
      <c r="K96" s="9" t="s">
        <v>496</v>
      </c>
      <c r="L96" s="146" t="str">
        <f>IF(VLOOKUP($A96,Sheet1!$A$3:$AW$699,7,FALSE)="★","x","")</f>
        <v/>
      </c>
      <c r="M96" s="146" t="str">
        <f>IF(VLOOKUP($A96,Sheet1!$A$3:$AW$699,8,FALSE)="▲","x","")</f>
        <v/>
      </c>
      <c r="N96" s="146" t="str">
        <f>IF(VLOOKUP($A96,Sheet1!$A$3:$AW$699,9,FALSE)="●","x","")</f>
        <v/>
      </c>
      <c r="O96" s="146" t="str">
        <f>IF(VLOOKUP($A96,Sheet1!$A$3:$AW$699,10,FALSE)="■","x","")</f>
        <v/>
      </c>
      <c r="P96" s="9" t="str">
        <f>IF(VLOOKUP($A96,Sheet1!$A$3:$AW$699,2,FALSE)="","",VLOOKUP($A96,Sheet1!$A$3:$AW$699,2,FALSE))</f>
        <v>P5.082</v>
      </c>
    </row>
    <row r="97" spans="1:16" ht="40.799999999999997" x14ac:dyDescent="0.3">
      <c r="A97" s="6">
        <v>371</v>
      </c>
      <c r="B97" s="6" t="s">
        <v>601</v>
      </c>
      <c r="C97" s="9" t="str">
        <f>IF(VLOOKUP($A97,Sheet1!$A$3:$AW$699,25,FALSE)="","",VLOOKUP($A97,Sheet1!$A$3:$AW$699,25,FALSE))</f>
        <v>PR/IO</v>
      </c>
      <c r="D97" s="142">
        <f>IF(VLOOKUP($A97,Sheet1!$A$3:$AW$699,15,FALSE)="","",VLOOKUP($A97,Sheet1!$A$3:$AW$699,15,FALSE))</f>
        <v>1</v>
      </c>
      <c r="E97" s="142">
        <f>IF(VLOOKUP($A97,Sheet1!$A$3:$AW$699,16,FALSE)="","",VLOOKUP($A97,Sheet1!$A$3:$AW$699,16,FALSE))</f>
        <v>32767</v>
      </c>
      <c r="F97" s="142">
        <f>IF(VLOOKUP($A97,Sheet1!$A$3:$AW$699,17,FALSE)="","",VLOOKUP($A97,Sheet1!$A$3:$AW$699,17,FALSE))</f>
        <v>1</v>
      </c>
      <c r="G97" s="142" t="str">
        <f>IF(VLOOKUP($A97,Sheet1!$A$3:$AW$699,18,FALSE)="","",VLOOKUP($A97,Sheet1!$A$3:$AW$699,18,FALSE))</f>
        <v/>
      </c>
      <c r="H97" s="142" t="str">
        <f>IF(VLOOKUP($A97,Sheet1!$A$3:$AW$699,19,FALSE)="","",VLOOKUP($A97,Sheet1!$A$3:$AW$699,19,FALSE))</f>
        <v/>
      </c>
      <c r="I97" s="9" t="str">
        <f>IF(VLOOKUP($A97,Sheet1!$A$3:$AW$699,5,FALSE)="","",VLOOKUP($A97,Sheet1!$A$3:$AW$699,5,FALSE))</f>
        <v>INT</v>
      </c>
      <c r="J97" s="7" t="s">
        <v>602</v>
      </c>
      <c r="K97" s="9" t="s">
        <v>496</v>
      </c>
      <c r="L97" s="146" t="str">
        <f>IF(VLOOKUP($A97,Sheet1!$A$3:$AW$699,7,FALSE)="★","x","")</f>
        <v/>
      </c>
      <c r="M97" s="146" t="str">
        <f>IF(VLOOKUP($A97,Sheet1!$A$3:$AW$699,8,FALSE)="▲","x","")</f>
        <v/>
      </c>
      <c r="N97" s="146" t="str">
        <f>IF(VLOOKUP($A97,Sheet1!$A$3:$AW$699,9,FALSE)="●","x","")</f>
        <v/>
      </c>
      <c r="O97" s="146" t="str">
        <f>IF(VLOOKUP($A97,Sheet1!$A$3:$AW$699,10,FALSE)="■","x","")</f>
        <v/>
      </c>
      <c r="P97" s="9" t="str">
        <f>IF(VLOOKUP($A97,Sheet1!$A$3:$AW$699,2,FALSE)="","",VLOOKUP($A97,Sheet1!$A$3:$AW$699,2,FALSE))</f>
        <v>P5.083</v>
      </c>
    </row>
    <row r="98" spans="1:16" ht="51" x14ac:dyDescent="0.3">
      <c r="A98" s="6">
        <v>372</v>
      </c>
      <c r="B98" s="6" t="s">
        <v>603</v>
      </c>
      <c r="C98" s="9" t="str">
        <f>IF(VLOOKUP($A98,Sheet1!$A$3:$AW$699,25,FALSE)="","",VLOOKUP($A98,Sheet1!$A$3:$AW$699,25,FALSE))</f>
        <v>PR/IO</v>
      </c>
      <c r="D98" s="142">
        <f>IF(VLOOKUP($A98,Sheet1!$A$3:$AW$699,15,FALSE)="","",VLOOKUP($A98,Sheet1!$A$3:$AW$699,15,FALSE))</f>
        <v>10</v>
      </c>
      <c r="E98" s="142">
        <f>IF(VLOOKUP($A98,Sheet1!$A$3:$AW$699,16,FALSE)="","",VLOOKUP($A98,Sheet1!$A$3:$AW$699,16,FALSE))</f>
        <v>1073741823</v>
      </c>
      <c r="F98" s="142">
        <f>IF(VLOOKUP($A98,Sheet1!$A$3:$AW$699,17,FALSE)="","",VLOOKUP($A98,Sheet1!$A$3:$AW$699,17,FALSE))</f>
        <v>3600</v>
      </c>
      <c r="G98" s="142" t="str">
        <f>IF(VLOOKUP($A98,Sheet1!$A$3:$AW$699,18,FALSE)="","",VLOOKUP($A98,Sheet1!$A$3:$AW$699,18,FALSE))</f>
        <v/>
      </c>
      <c r="H98" s="142" t="str">
        <f>IF(VLOOKUP($A98,Sheet1!$A$3:$AW$699,19,FALSE)="","",VLOOKUP($A98,Sheet1!$A$3:$AW$699,19,FALSE))</f>
        <v/>
      </c>
      <c r="I98" s="9" t="str">
        <f>IF(VLOOKUP($A98,Sheet1!$A$3:$AW$699,5,FALSE)="","",VLOOKUP($A98,Sheet1!$A$3:$AW$699,5,FALSE))</f>
        <v>DINT</v>
      </c>
      <c r="J98" s="7" t="s">
        <v>604</v>
      </c>
      <c r="K98" s="9" t="s">
        <v>496</v>
      </c>
      <c r="L98" s="146" t="str">
        <f>IF(VLOOKUP($A98,Sheet1!$A$3:$AW$699,7,FALSE)="★","x","")</f>
        <v/>
      </c>
      <c r="M98" s="146" t="str">
        <f>IF(VLOOKUP($A98,Sheet1!$A$3:$AW$699,8,FALSE)="▲","x","")</f>
        <v/>
      </c>
      <c r="N98" s="146" t="str">
        <f>IF(VLOOKUP($A98,Sheet1!$A$3:$AW$699,9,FALSE)="●","x","")</f>
        <v/>
      </c>
      <c r="O98" s="146" t="str">
        <f>IF(VLOOKUP($A98,Sheet1!$A$3:$AW$699,10,FALSE)="■","x","")</f>
        <v/>
      </c>
      <c r="P98" s="9" t="str">
        <f>IF(VLOOKUP($A98,Sheet1!$A$3:$AW$699,2,FALSE)="","",VLOOKUP($A98,Sheet1!$A$3:$AW$699,2,FALSE))</f>
        <v>P5.084</v>
      </c>
    </row>
    <row r="99" spans="1:16" ht="20.399999999999999" x14ac:dyDescent="0.3">
      <c r="A99" s="6">
        <v>373</v>
      </c>
      <c r="B99" s="6" t="s">
        <v>605</v>
      </c>
      <c r="C99" s="9" t="str">
        <f>IF(VLOOKUP($A99,Sheet1!$A$3:$AW$699,25,FALSE)="","",VLOOKUP($A99,Sheet1!$A$3:$AW$699,25,FALSE))</f>
        <v>PR/IO</v>
      </c>
      <c r="D99" s="142">
        <f>IF(VLOOKUP($A99,Sheet1!$A$3:$AW$699,15,FALSE)="","",VLOOKUP($A99,Sheet1!$A$3:$AW$699,15,FALSE))</f>
        <v>0</v>
      </c>
      <c r="E99" s="142">
        <f>IF(VLOOKUP($A99,Sheet1!$A$3:$AW$699,16,FALSE)="","",VLOOKUP($A99,Sheet1!$A$3:$AW$699,16,FALSE))</f>
        <v>719</v>
      </c>
      <c r="F99" s="142">
        <f>IF(VLOOKUP($A99,Sheet1!$A$3:$AW$699,17,FALSE)="","",VLOOKUP($A99,Sheet1!$A$3:$AW$699,17,FALSE))</f>
        <v>0</v>
      </c>
      <c r="G99" s="142" t="str">
        <f>IF(VLOOKUP($A99,Sheet1!$A$3:$AW$699,18,FALSE)="","",VLOOKUP($A99,Sheet1!$A$3:$AW$699,18,FALSE))</f>
        <v/>
      </c>
      <c r="H99" s="142" t="str">
        <f>IF(VLOOKUP($A99,Sheet1!$A$3:$AW$699,19,FALSE)="","",VLOOKUP($A99,Sheet1!$A$3:$AW$699,19,FALSE))</f>
        <v/>
      </c>
      <c r="I99" s="9" t="str">
        <f>IF(VLOOKUP($A99,Sheet1!$A$3:$AW$699,5,FALSE)="","",VLOOKUP($A99,Sheet1!$A$3:$AW$699,5,FALSE))</f>
        <v>INT</v>
      </c>
      <c r="J99" s="17" t="s">
        <v>606</v>
      </c>
      <c r="K99" s="9" t="s">
        <v>496</v>
      </c>
      <c r="L99" s="146" t="str">
        <f>IF(VLOOKUP($A99,Sheet1!$A$3:$AW$699,7,FALSE)="★","x","")</f>
        <v/>
      </c>
      <c r="M99" s="146" t="str">
        <f>IF(VLOOKUP($A99,Sheet1!$A$3:$AW$699,8,FALSE)="▲","x","")</f>
        <v/>
      </c>
      <c r="N99" s="146" t="str">
        <f>IF(VLOOKUP($A99,Sheet1!$A$3:$AW$699,9,FALSE)="●","x","")</f>
        <v/>
      </c>
      <c r="O99" s="146" t="str">
        <f>IF(VLOOKUP($A99,Sheet1!$A$3:$AW$699,10,FALSE)="■","x","")</f>
        <v/>
      </c>
      <c r="P99" s="9" t="str">
        <f>IF(VLOOKUP($A99,Sheet1!$A$3:$AW$699,2,FALSE)="","",VLOOKUP($A99,Sheet1!$A$3:$AW$699,2,FALSE))</f>
        <v>P5.085</v>
      </c>
    </row>
    <row r="100" spans="1:16" ht="30.6" x14ac:dyDescent="0.3">
      <c r="A100" s="6">
        <v>374</v>
      </c>
      <c r="B100" s="6" t="s">
        <v>607</v>
      </c>
      <c r="C100" s="9" t="str">
        <f>IF(VLOOKUP($A100,Sheet1!$A$3:$AW$699,25,FALSE)="","",VLOOKUP($A100,Sheet1!$A$3:$AW$699,25,FALSE))</f>
        <v>PR/IO</v>
      </c>
      <c r="D100" s="142">
        <f>IF(VLOOKUP($A100,Sheet1!$A$3:$AW$699,15,FALSE)="","",VLOOKUP($A100,Sheet1!$A$3:$AW$699,15,FALSE))</f>
        <v>-2147483648</v>
      </c>
      <c r="E100" s="142">
        <f>IF(VLOOKUP($A100,Sheet1!$A$3:$AW$699,16,FALSE)="","",VLOOKUP($A100,Sheet1!$A$3:$AW$699,16,FALSE))</f>
        <v>2147483647</v>
      </c>
      <c r="F100" s="142">
        <f>IF(VLOOKUP($A100,Sheet1!$A$3:$AW$699,17,FALSE)="","",VLOOKUP($A100,Sheet1!$A$3:$AW$699,17,FALSE))</f>
        <v>0</v>
      </c>
      <c r="G100" s="142" t="str">
        <f>IF(VLOOKUP($A100,Sheet1!$A$3:$AW$699,18,FALSE)="","",VLOOKUP($A100,Sheet1!$A$3:$AW$699,18,FALSE))</f>
        <v/>
      </c>
      <c r="H100" s="142" t="str">
        <f>IF(VLOOKUP($A100,Sheet1!$A$3:$AW$699,19,FALSE)="","",VLOOKUP($A100,Sheet1!$A$3:$AW$699,19,FALSE))</f>
        <v/>
      </c>
      <c r="I100" s="9" t="str">
        <f>IF(VLOOKUP($A100,Sheet1!$A$3:$AW$699,5,FALSE)="","",VLOOKUP($A100,Sheet1!$A$3:$AW$699,5,FALSE))</f>
        <v>DINT</v>
      </c>
      <c r="J100" s="7" t="s">
        <v>608</v>
      </c>
      <c r="K100" s="9" t="s">
        <v>496</v>
      </c>
      <c r="L100" s="146" t="str">
        <f>IF(VLOOKUP($A100,Sheet1!$A$3:$AW$699,7,FALSE)="★","x","")</f>
        <v/>
      </c>
      <c r="M100" s="146" t="str">
        <f>IF(VLOOKUP($A100,Sheet1!$A$3:$AW$699,8,FALSE)="▲","x","")</f>
        <v/>
      </c>
      <c r="N100" s="146" t="str">
        <f>IF(VLOOKUP($A100,Sheet1!$A$3:$AW$699,9,FALSE)="●","x","")</f>
        <v/>
      </c>
      <c r="O100" s="146" t="str">
        <f>IF(VLOOKUP($A100,Sheet1!$A$3:$AW$699,10,FALSE)="■","x","")</f>
        <v>x</v>
      </c>
      <c r="P100" s="9" t="str">
        <f>IF(VLOOKUP($A100,Sheet1!$A$3:$AW$699,2,FALSE)="","",VLOOKUP($A100,Sheet1!$A$3:$AW$699,2,FALSE))</f>
        <v>P5.086</v>
      </c>
    </row>
    <row r="101" spans="1:16" ht="30.6" x14ac:dyDescent="0.3">
      <c r="A101" s="6">
        <v>375</v>
      </c>
      <c r="B101" s="6" t="s">
        <v>609</v>
      </c>
      <c r="C101" s="9" t="str">
        <f>IF(VLOOKUP($A101,Sheet1!$A$3:$AW$699,25,FALSE)="","",VLOOKUP($A101,Sheet1!$A$3:$AW$699,25,FALSE))</f>
        <v>PR/IO</v>
      </c>
      <c r="D101" s="142">
        <f>IF(VLOOKUP($A101,Sheet1!$A$3:$AW$699,15,FALSE)="","",VLOOKUP($A101,Sheet1!$A$3:$AW$699,15,FALSE))</f>
        <v>-1073741824</v>
      </c>
      <c r="E101" s="142">
        <f>IF(VLOOKUP($A101,Sheet1!$A$3:$AW$699,16,FALSE)="","",VLOOKUP($A101,Sheet1!$A$3:$AW$699,16,FALSE))</f>
        <v>1073741823</v>
      </c>
      <c r="F101" s="142">
        <f>IF(VLOOKUP($A101,Sheet1!$A$3:$AW$699,17,FALSE)="","",VLOOKUP($A101,Sheet1!$A$3:$AW$699,17,FALSE))</f>
        <v>0</v>
      </c>
      <c r="G101" s="142" t="str">
        <f>IF(VLOOKUP($A101,Sheet1!$A$3:$AW$699,18,FALSE)="","",VLOOKUP($A101,Sheet1!$A$3:$AW$699,18,FALSE))</f>
        <v/>
      </c>
      <c r="H101" s="142" t="str">
        <f>IF(VLOOKUP($A101,Sheet1!$A$3:$AW$699,19,FALSE)="","",VLOOKUP($A101,Sheet1!$A$3:$AW$699,19,FALSE))</f>
        <v/>
      </c>
      <c r="I101" s="9" t="str">
        <f>IF(VLOOKUP($A101,Sheet1!$A$3:$AW$699,5,FALSE)="","",VLOOKUP($A101,Sheet1!$A$3:$AW$699,5,FALSE))</f>
        <v>DINT</v>
      </c>
      <c r="J101" s="17" t="s">
        <v>610</v>
      </c>
      <c r="K101" s="9" t="s">
        <v>496</v>
      </c>
      <c r="L101" s="146" t="str">
        <f>IF(VLOOKUP($A101,Sheet1!$A$3:$AW$699,7,FALSE)="★","x","")</f>
        <v/>
      </c>
      <c r="M101" s="146" t="str">
        <f>IF(VLOOKUP($A101,Sheet1!$A$3:$AW$699,8,FALSE)="▲","x","")</f>
        <v/>
      </c>
      <c r="N101" s="146" t="str">
        <f>IF(VLOOKUP($A101,Sheet1!$A$3:$AW$699,9,FALSE)="●","x","")</f>
        <v/>
      </c>
      <c r="O101" s="146" t="str">
        <f>IF(VLOOKUP($A101,Sheet1!$A$3:$AW$699,10,FALSE)="■","x","")</f>
        <v/>
      </c>
      <c r="P101" s="9" t="str">
        <f>IF(VLOOKUP($A101,Sheet1!$A$3:$AW$699,2,FALSE)="","",VLOOKUP($A101,Sheet1!$A$3:$AW$699,2,FALSE))</f>
        <v>P5.087</v>
      </c>
    </row>
    <row r="102" spans="1:16" ht="40.799999999999997" x14ac:dyDescent="0.3">
      <c r="A102" s="6">
        <v>376</v>
      </c>
      <c r="B102" s="6" t="s">
        <v>611</v>
      </c>
      <c r="C102" s="9" t="str">
        <f>IF(VLOOKUP($A102,Sheet1!$A$3:$AW$699,25,FALSE)="","",VLOOKUP($A102,Sheet1!$A$3:$AW$699,25,FALSE))</f>
        <v>PR/IO</v>
      </c>
      <c r="D102" s="142" t="str">
        <f>IF(VLOOKUP($A102,Sheet1!$A$3:$AW$699,15,FALSE)="","",VLOOKUP($A102,Sheet1!$A$3:$AW$699,15,FALSE))</f>
        <v>0x00000010</v>
      </c>
      <c r="E102" s="142" t="str">
        <f>IF(VLOOKUP($A102,Sheet1!$A$3:$AW$699,16,FALSE)="","",VLOOKUP($A102,Sheet1!$A$3:$AW$699,16,FALSE))</f>
        <v>0x0063F147</v>
      </c>
      <c r="F102" s="142" t="str">
        <f>IF(VLOOKUP($A102,Sheet1!$A$3:$AW$699,17,FALSE)="","",VLOOKUP($A102,Sheet1!$A$3:$AW$699,17,FALSE))</f>
        <v>0x00000010</v>
      </c>
      <c r="G102" s="142" t="str">
        <f>IF(VLOOKUP($A102,Sheet1!$A$3:$AW$699,18,FALSE)="","",VLOOKUP($A102,Sheet1!$A$3:$AW$699,18,FALSE))</f>
        <v/>
      </c>
      <c r="H102" s="142" t="str">
        <f>IF(VLOOKUP($A102,Sheet1!$A$3:$AW$699,19,FALSE)="","",VLOOKUP($A102,Sheet1!$A$3:$AW$699,19,FALSE))</f>
        <v/>
      </c>
      <c r="I102" s="9" t="str">
        <f>IF(VLOOKUP($A102,Sheet1!$A$3:$AW$699,5,FALSE)="","",VLOOKUP($A102,Sheet1!$A$3:$AW$699,5,FALSE))</f>
        <v>UDINT</v>
      </c>
      <c r="J102" s="24" t="s">
        <v>612</v>
      </c>
      <c r="K102" s="9" t="s">
        <v>496</v>
      </c>
      <c r="L102" s="146" t="str">
        <f>IF(VLOOKUP($A102,Sheet1!$A$3:$AW$699,7,FALSE)="★","x","")</f>
        <v/>
      </c>
      <c r="M102" s="146" t="str">
        <f>IF(VLOOKUP($A102,Sheet1!$A$3:$AW$699,8,FALSE)="▲","x","")</f>
        <v/>
      </c>
      <c r="N102" s="146" t="str">
        <f>IF(VLOOKUP($A102,Sheet1!$A$3:$AW$699,9,FALSE)="●","x","")</f>
        <v/>
      </c>
      <c r="O102" s="146" t="str">
        <f>IF(VLOOKUP($A102,Sheet1!$A$3:$AW$699,10,FALSE)="■","x","")</f>
        <v/>
      </c>
      <c r="P102" s="9" t="str">
        <f>IF(VLOOKUP($A102,Sheet1!$A$3:$AW$699,2,FALSE)="","",VLOOKUP($A102,Sheet1!$A$3:$AW$699,2,FALSE))</f>
        <v>P5.088</v>
      </c>
    </row>
    <row r="103" spans="1:16" ht="30.6" x14ac:dyDescent="0.3">
      <c r="A103" s="6">
        <v>377</v>
      </c>
      <c r="B103" s="6" t="s">
        <v>613</v>
      </c>
      <c r="C103" s="9" t="str">
        <f>IF(VLOOKUP($A103,Sheet1!$A$3:$AW$699,25,FALSE)="","",VLOOKUP($A103,Sheet1!$A$3:$AW$699,25,FALSE))</f>
        <v>PR/IO</v>
      </c>
      <c r="D103" s="142">
        <f>IF(VLOOKUP($A103,Sheet1!$A$3:$AW$699,15,FALSE)="","",VLOOKUP($A103,Sheet1!$A$3:$AW$699,15,FALSE))</f>
        <v>-1073741824</v>
      </c>
      <c r="E103" s="142">
        <f>IF(VLOOKUP($A103,Sheet1!$A$3:$AW$699,16,FALSE)="","",VLOOKUP($A103,Sheet1!$A$3:$AW$699,16,FALSE))</f>
        <v>1073741823</v>
      </c>
      <c r="F103" s="142">
        <f>IF(VLOOKUP($A103,Sheet1!$A$3:$AW$699,17,FALSE)="","",VLOOKUP($A103,Sheet1!$A$3:$AW$699,17,FALSE))</f>
        <v>0</v>
      </c>
      <c r="G103" s="142" t="str">
        <f>IF(VLOOKUP($A103,Sheet1!$A$3:$AW$699,18,FALSE)="","",VLOOKUP($A103,Sheet1!$A$3:$AW$699,18,FALSE))</f>
        <v/>
      </c>
      <c r="H103" s="142" t="str">
        <f>IF(VLOOKUP($A103,Sheet1!$A$3:$AW$699,19,FALSE)="","",VLOOKUP($A103,Sheet1!$A$3:$AW$699,19,FALSE))</f>
        <v/>
      </c>
      <c r="I103" s="9" t="str">
        <f>IF(VLOOKUP($A103,Sheet1!$A$3:$AW$699,5,FALSE)="","",VLOOKUP($A103,Sheet1!$A$3:$AW$699,5,FALSE))</f>
        <v>DINT</v>
      </c>
      <c r="J103" s="17" t="s">
        <v>614</v>
      </c>
      <c r="K103" s="9" t="s">
        <v>496</v>
      </c>
      <c r="L103" s="146" t="str">
        <f>IF(VLOOKUP($A103,Sheet1!$A$3:$AW$699,7,FALSE)="★","x","")</f>
        <v/>
      </c>
      <c r="M103" s="146" t="str">
        <f>IF(VLOOKUP($A103,Sheet1!$A$3:$AW$699,8,FALSE)="▲","x","")</f>
        <v/>
      </c>
      <c r="N103" s="146" t="str">
        <f>IF(VLOOKUP($A103,Sheet1!$A$3:$AW$699,9,FALSE)="●","x","")</f>
        <v/>
      </c>
      <c r="O103" s="146" t="str">
        <f>IF(VLOOKUP($A103,Sheet1!$A$3:$AW$699,10,FALSE)="■","x","")</f>
        <v/>
      </c>
      <c r="P103" s="9" t="str">
        <f>IF(VLOOKUP($A103,Sheet1!$A$3:$AW$699,2,FALSE)="","",VLOOKUP($A103,Sheet1!$A$3:$AW$699,2,FALSE))</f>
        <v>P5.089</v>
      </c>
    </row>
    <row r="104" spans="1:16" ht="71.400000000000006" x14ac:dyDescent="0.3">
      <c r="A104" s="6">
        <v>378</v>
      </c>
      <c r="B104" s="6" t="s">
        <v>615</v>
      </c>
      <c r="C104" s="9" t="str">
        <f>IF(VLOOKUP($A104,Sheet1!$A$3:$AW$699,25,FALSE)="","",VLOOKUP($A104,Sheet1!$A$3:$AW$699,25,FALSE))</f>
        <v>PR/IO</v>
      </c>
      <c r="D104" s="142">
        <f>IF(VLOOKUP($A104,Sheet1!$A$3:$AW$699,15,FALSE)="","",VLOOKUP($A104,Sheet1!$A$3:$AW$699,15,FALSE))</f>
        <v>0</v>
      </c>
      <c r="E104" s="142">
        <f>IF(VLOOKUP($A104,Sheet1!$A$3:$AW$699,16,FALSE)="","",VLOOKUP($A104,Sheet1!$A$3:$AW$699,16,FALSE))</f>
        <v>360</v>
      </c>
      <c r="F104" s="142">
        <f>IF(VLOOKUP($A104,Sheet1!$A$3:$AW$699,17,FALSE)="","",VLOOKUP($A104,Sheet1!$A$3:$AW$699,17,FALSE))</f>
        <v>270</v>
      </c>
      <c r="G104" s="142" t="str">
        <f>IF(VLOOKUP($A104,Sheet1!$A$3:$AW$699,18,FALSE)="","",VLOOKUP($A104,Sheet1!$A$3:$AW$699,18,FALSE))</f>
        <v/>
      </c>
      <c r="H104" s="142" t="str">
        <f>IF(VLOOKUP($A104,Sheet1!$A$3:$AW$699,19,FALSE)="","",VLOOKUP($A104,Sheet1!$A$3:$AW$699,19,FALSE))</f>
        <v>Degrees</v>
      </c>
      <c r="I104" s="9" t="str">
        <f>IF(VLOOKUP($A104,Sheet1!$A$3:$AW$699,5,FALSE)="","",VLOOKUP($A104,Sheet1!$A$3:$AW$699,5,FALSE))</f>
        <v>INT</v>
      </c>
      <c r="J104" s="8" t="s">
        <v>616</v>
      </c>
      <c r="K104" s="9" t="s">
        <v>496</v>
      </c>
      <c r="L104" s="146" t="str">
        <f>IF(VLOOKUP($A104,Sheet1!$A$3:$AW$699,7,FALSE)="★","x","")</f>
        <v/>
      </c>
      <c r="M104" s="146" t="str">
        <f>IF(VLOOKUP($A104,Sheet1!$A$3:$AW$699,8,FALSE)="▲","x","")</f>
        <v/>
      </c>
      <c r="N104" s="146" t="str">
        <f>IF(VLOOKUP($A104,Sheet1!$A$3:$AW$699,9,FALSE)="●","x","")</f>
        <v/>
      </c>
      <c r="O104" s="146" t="str">
        <f>IF(VLOOKUP($A104,Sheet1!$A$3:$AW$699,10,FALSE)="■","x","")</f>
        <v/>
      </c>
      <c r="P104" s="9" t="str">
        <f>IF(VLOOKUP($A104,Sheet1!$A$3:$AW$699,2,FALSE)="","",VLOOKUP($A104,Sheet1!$A$3:$AW$699,2,FALSE))</f>
        <v>P5.090</v>
      </c>
    </row>
    <row r="105" spans="1:16" ht="71.400000000000006" x14ac:dyDescent="0.3">
      <c r="A105" s="6">
        <v>379</v>
      </c>
      <c r="B105" s="6" t="s">
        <v>617</v>
      </c>
      <c r="C105" s="9" t="str">
        <f>IF(VLOOKUP($A105,Sheet1!$A$3:$AW$699,25,FALSE)="","",VLOOKUP($A105,Sheet1!$A$3:$AW$699,25,FALSE))</f>
        <v>PR/IO</v>
      </c>
      <c r="D105" s="142">
        <f>IF(VLOOKUP($A105,Sheet1!$A$3:$AW$699,15,FALSE)="","",VLOOKUP($A105,Sheet1!$A$3:$AW$699,15,FALSE))</f>
        <v>0</v>
      </c>
      <c r="E105" s="142">
        <f>IF(VLOOKUP($A105,Sheet1!$A$3:$AW$699,16,FALSE)="","",VLOOKUP($A105,Sheet1!$A$3:$AW$699,16,FALSE))</f>
        <v>360</v>
      </c>
      <c r="F105" s="142">
        <f>IF(VLOOKUP($A105,Sheet1!$A$3:$AW$699,17,FALSE)="","",VLOOKUP($A105,Sheet1!$A$3:$AW$699,17,FALSE))</f>
        <v>360</v>
      </c>
      <c r="G105" s="142" t="str">
        <f>IF(VLOOKUP($A105,Sheet1!$A$3:$AW$699,18,FALSE)="","",VLOOKUP($A105,Sheet1!$A$3:$AW$699,18,FALSE))</f>
        <v/>
      </c>
      <c r="H105" s="142" t="str">
        <f>IF(VLOOKUP($A105,Sheet1!$A$3:$AW$699,19,FALSE)="","",VLOOKUP($A105,Sheet1!$A$3:$AW$699,19,FALSE))</f>
        <v>Degrees</v>
      </c>
      <c r="I105" s="9" t="str">
        <f>IF(VLOOKUP($A105,Sheet1!$A$3:$AW$699,5,FALSE)="","",VLOOKUP($A105,Sheet1!$A$3:$AW$699,5,FALSE))</f>
        <v>INT</v>
      </c>
      <c r="J105" s="8" t="s">
        <v>618</v>
      </c>
      <c r="K105" s="9" t="s">
        <v>496</v>
      </c>
      <c r="L105" s="146" t="str">
        <f>IF(VLOOKUP($A105,Sheet1!$A$3:$AW$699,7,FALSE)="★","x","")</f>
        <v/>
      </c>
      <c r="M105" s="146" t="str">
        <f>IF(VLOOKUP($A105,Sheet1!$A$3:$AW$699,8,FALSE)="▲","x","")</f>
        <v/>
      </c>
      <c r="N105" s="146" t="str">
        <f>IF(VLOOKUP($A105,Sheet1!$A$3:$AW$699,9,FALSE)="●","x","")</f>
        <v/>
      </c>
      <c r="O105" s="146" t="str">
        <f>IF(VLOOKUP($A105,Sheet1!$A$3:$AW$699,10,FALSE)="■","x","")</f>
        <v/>
      </c>
      <c r="P105" s="9" t="str">
        <f>IF(VLOOKUP($A105,Sheet1!$A$3:$AW$699,2,FALSE)="","",VLOOKUP($A105,Sheet1!$A$3:$AW$699,2,FALSE))</f>
        <v>P5.091</v>
      </c>
    </row>
    <row r="106" spans="1:16" ht="51" x14ac:dyDescent="0.3">
      <c r="A106" s="6">
        <v>380</v>
      </c>
      <c r="B106" s="6" t="s">
        <v>619</v>
      </c>
      <c r="C106" s="9" t="str">
        <f>IF(VLOOKUP($A106,Sheet1!$A$3:$AW$699,25,FALSE)="","",VLOOKUP($A106,Sheet1!$A$3:$AW$699,25,FALSE))</f>
        <v>PR/IO</v>
      </c>
      <c r="D106" s="142">
        <f>IF(VLOOKUP($A106,Sheet1!$A$3:$AW$699,15,FALSE)="","",VLOOKUP($A106,Sheet1!$A$3:$AW$699,15,FALSE))</f>
        <v>-2147483648</v>
      </c>
      <c r="E106" s="142">
        <f>IF(VLOOKUP($A106,Sheet1!$A$3:$AW$699,16,FALSE)="","",VLOOKUP($A106,Sheet1!$A$3:$AW$699,16,FALSE))</f>
        <v>2147483647</v>
      </c>
      <c r="F106" s="142">
        <f>IF(VLOOKUP($A106,Sheet1!$A$3:$AW$699,17,FALSE)="","",VLOOKUP($A106,Sheet1!$A$3:$AW$699,17,FALSE))</f>
        <v>0</v>
      </c>
      <c r="G106" s="142" t="str">
        <f>IF(VLOOKUP($A106,Sheet1!$A$3:$AW$699,18,FALSE)="","",VLOOKUP($A106,Sheet1!$A$3:$AW$699,18,FALSE))</f>
        <v/>
      </c>
      <c r="H106" s="142" t="str">
        <f>IF(VLOOKUP($A106,Sheet1!$A$3:$AW$699,19,FALSE)="","",VLOOKUP($A106,Sheet1!$A$3:$AW$699,19,FALSE))</f>
        <v/>
      </c>
      <c r="I106" s="9" t="str">
        <f>IF(VLOOKUP($A106,Sheet1!$A$3:$AW$699,5,FALSE)="","",VLOOKUP($A106,Sheet1!$A$3:$AW$699,5,FALSE))</f>
        <v>DINT</v>
      </c>
      <c r="J106" s="17" t="s">
        <v>620</v>
      </c>
      <c r="K106" s="6" t="s">
        <v>433</v>
      </c>
      <c r="L106" s="146" t="str">
        <f>IF(VLOOKUP($A106,Sheet1!$A$3:$AW$699,7,FALSE)="★","x","")</f>
        <v/>
      </c>
      <c r="M106" s="146" t="str">
        <f>IF(VLOOKUP($A106,Sheet1!$A$3:$AW$699,8,FALSE)="▲","x","")</f>
        <v/>
      </c>
      <c r="N106" s="146" t="str">
        <f>IF(VLOOKUP($A106,Sheet1!$A$3:$AW$699,9,FALSE)="●","x","")</f>
        <v/>
      </c>
      <c r="O106" s="146" t="str">
        <f>IF(VLOOKUP($A106,Sheet1!$A$3:$AW$699,10,FALSE)="■","x","")</f>
        <v/>
      </c>
      <c r="P106" s="9" t="str">
        <f>IF(VLOOKUP($A106,Sheet1!$A$3:$AW$699,2,FALSE)="","",VLOOKUP($A106,Sheet1!$A$3:$AW$699,2,FALSE))</f>
        <v>P5.092</v>
      </c>
    </row>
    <row r="107" spans="1:16" ht="30.6" x14ac:dyDescent="0.3">
      <c r="A107" s="6">
        <v>381</v>
      </c>
      <c r="B107" s="6" t="s">
        <v>621</v>
      </c>
      <c r="C107" s="9" t="str">
        <f>IF(VLOOKUP($A107,Sheet1!$A$3:$AW$699,25,FALSE)="","",VLOOKUP($A107,Sheet1!$A$3:$AW$699,25,FALSE))</f>
        <v>All</v>
      </c>
      <c r="D107" s="142" t="str">
        <f>IF(VLOOKUP($A107,Sheet1!$A$3:$AW$699,15,FALSE)="","",VLOOKUP($A107,Sheet1!$A$3:$AW$699,15,FALSE))</f>
        <v>0x00000000</v>
      </c>
      <c r="E107" s="142" t="str">
        <f>IF(VLOOKUP($A107,Sheet1!$A$3:$AW$699,16,FALSE)="","",VLOOKUP($A107,Sheet1!$A$3:$AW$699,16,FALSE))</f>
        <v>0xFFFFFFFF</v>
      </c>
      <c r="F107" s="142" t="str">
        <f>IF(VLOOKUP($A107,Sheet1!$A$3:$AW$699,17,FALSE)="","",VLOOKUP($A107,Sheet1!$A$3:$AW$699,17,FALSE))</f>
        <v>0x00000000</v>
      </c>
      <c r="G107" s="142" t="str">
        <f>IF(VLOOKUP($A107,Sheet1!$A$3:$AW$699,18,FALSE)="","",VLOOKUP($A107,Sheet1!$A$3:$AW$699,18,FALSE))</f>
        <v/>
      </c>
      <c r="H107" s="142" t="str">
        <f>IF(VLOOKUP($A107,Sheet1!$A$3:$AW$699,19,FALSE)="","",VLOOKUP($A107,Sheet1!$A$3:$AW$699,19,FALSE))</f>
        <v/>
      </c>
      <c r="I107" s="9" t="str">
        <f>IF(VLOOKUP($A107,Sheet1!$A$3:$AW$699,5,FALSE)="","",VLOOKUP($A107,Sheet1!$A$3:$AW$699,5,FALSE))</f>
        <v>UDINT</v>
      </c>
      <c r="J107" s="17" t="s">
        <v>622</v>
      </c>
      <c r="K107" s="6" t="s">
        <v>433</v>
      </c>
      <c r="L107" s="146" t="str">
        <f>IF(VLOOKUP($A107,Sheet1!$A$3:$AW$699,7,FALSE)="★","x","")</f>
        <v/>
      </c>
      <c r="M107" s="146" t="str">
        <f>IF(VLOOKUP($A107,Sheet1!$A$3:$AW$699,8,FALSE)="▲","x","")</f>
        <v/>
      </c>
      <c r="N107" s="146" t="str">
        <f>IF(VLOOKUP($A107,Sheet1!$A$3:$AW$699,9,FALSE)="●","x","")</f>
        <v/>
      </c>
      <c r="O107" s="146" t="str">
        <f>IF(VLOOKUP($A107,Sheet1!$A$3:$AW$699,10,FALSE)="■","x","")</f>
        <v/>
      </c>
      <c r="P107" s="9" t="str">
        <f>IF(VLOOKUP($A107,Sheet1!$A$3:$AW$699,2,FALSE)="","",VLOOKUP($A107,Sheet1!$A$3:$AW$699,2,FALSE))</f>
        <v>P5.093</v>
      </c>
    </row>
    <row r="108" spans="1:16" ht="30.6" x14ac:dyDescent="0.3">
      <c r="A108" s="6">
        <v>382</v>
      </c>
      <c r="B108" s="6" t="s">
        <v>623</v>
      </c>
      <c r="C108" s="9" t="str">
        <f>IF(VLOOKUP($A108,Sheet1!$A$3:$AW$699,25,FALSE)="","",VLOOKUP($A108,Sheet1!$A$3:$AW$699,25,FALSE))</f>
        <v>All</v>
      </c>
      <c r="D108" s="142">
        <f>IF(VLOOKUP($A108,Sheet1!$A$3:$AW$699,15,FALSE)="","",VLOOKUP($A108,Sheet1!$A$3:$AW$699,15,FALSE))</f>
        <v>-2147483648</v>
      </c>
      <c r="E108" s="142">
        <f>IF(VLOOKUP($A108,Sheet1!$A$3:$AW$699,16,FALSE)="","",VLOOKUP($A108,Sheet1!$A$3:$AW$699,16,FALSE))</f>
        <v>2147483647</v>
      </c>
      <c r="F108" s="142">
        <f>IF(VLOOKUP($A108,Sheet1!$A$3:$AW$699,17,FALSE)="","",VLOOKUP($A108,Sheet1!$A$3:$AW$699,17,FALSE))</f>
        <v>0</v>
      </c>
      <c r="G108" s="142" t="str">
        <f>IF(VLOOKUP($A108,Sheet1!$A$3:$AW$699,18,FALSE)="","",VLOOKUP($A108,Sheet1!$A$3:$AW$699,18,FALSE))</f>
        <v/>
      </c>
      <c r="H108" s="142" t="str">
        <f>IF(VLOOKUP($A108,Sheet1!$A$3:$AW$699,19,FALSE)="","",VLOOKUP($A108,Sheet1!$A$3:$AW$699,19,FALSE))</f>
        <v/>
      </c>
      <c r="I108" s="9" t="str">
        <f>IF(VLOOKUP($A108,Sheet1!$A$3:$AW$699,5,FALSE)="","",VLOOKUP($A108,Sheet1!$A$3:$AW$699,5,FALSE))</f>
        <v>DINT</v>
      </c>
      <c r="J108" s="17" t="s">
        <v>624</v>
      </c>
      <c r="K108" s="6" t="s">
        <v>433</v>
      </c>
      <c r="L108" s="146" t="str">
        <f>IF(VLOOKUP($A108,Sheet1!$A$3:$AW$699,7,FALSE)="★","x","")</f>
        <v/>
      </c>
      <c r="M108" s="146" t="str">
        <f>IF(VLOOKUP($A108,Sheet1!$A$3:$AW$699,8,FALSE)="▲","x","")</f>
        <v/>
      </c>
      <c r="N108" s="146" t="str">
        <f>IF(VLOOKUP($A108,Sheet1!$A$3:$AW$699,9,FALSE)="●","x","")</f>
        <v/>
      </c>
      <c r="O108" s="146" t="str">
        <f>IF(VLOOKUP($A108,Sheet1!$A$3:$AW$699,10,FALSE)="■","x","")</f>
        <v/>
      </c>
      <c r="P108" s="9" t="str">
        <f>IF(VLOOKUP($A108,Sheet1!$A$3:$AW$699,2,FALSE)="","",VLOOKUP($A108,Sheet1!$A$3:$AW$699,2,FALSE))</f>
        <v>P5.094</v>
      </c>
    </row>
    <row r="109" spans="1:16" ht="30.6" x14ac:dyDescent="0.3">
      <c r="A109" s="6">
        <v>383</v>
      </c>
      <c r="B109" s="6" t="s">
        <v>625</v>
      </c>
      <c r="C109" s="9" t="str">
        <f>IF(VLOOKUP($A109,Sheet1!$A$3:$AW$699,25,FALSE)="","",VLOOKUP($A109,Sheet1!$A$3:$AW$699,25,FALSE))</f>
        <v>All</v>
      </c>
      <c r="D109" s="142">
        <f>IF(VLOOKUP($A109,Sheet1!$A$3:$AW$699,15,FALSE)="","",VLOOKUP($A109,Sheet1!$A$3:$AW$699,15,FALSE))</f>
        <v>-2147483648</v>
      </c>
      <c r="E109" s="142">
        <f>IF(VLOOKUP($A109,Sheet1!$A$3:$AW$699,16,FALSE)="","",VLOOKUP($A109,Sheet1!$A$3:$AW$699,16,FALSE))</f>
        <v>2147483647</v>
      </c>
      <c r="F109" s="142">
        <f>IF(VLOOKUP($A109,Sheet1!$A$3:$AW$699,17,FALSE)="","",VLOOKUP($A109,Sheet1!$A$3:$AW$699,17,FALSE))</f>
        <v>0</v>
      </c>
      <c r="G109" s="142" t="str">
        <f>IF(VLOOKUP($A109,Sheet1!$A$3:$AW$699,18,FALSE)="","",VLOOKUP($A109,Sheet1!$A$3:$AW$699,18,FALSE))</f>
        <v/>
      </c>
      <c r="H109" s="142" t="str">
        <f>IF(VLOOKUP($A109,Sheet1!$A$3:$AW$699,19,FALSE)="","",VLOOKUP($A109,Sheet1!$A$3:$AW$699,19,FALSE))</f>
        <v/>
      </c>
      <c r="I109" s="9" t="str">
        <f>IF(VLOOKUP($A109,Sheet1!$A$3:$AW$699,5,FALSE)="","",VLOOKUP($A109,Sheet1!$A$3:$AW$699,5,FALSE))</f>
        <v>DINT</v>
      </c>
      <c r="J109" s="17" t="s">
        <v>626</v>
      </c>
      <c r="K109" s="6" t="s">
        <v>433</v>
      </c>
      <c r="L109" s="146" t="str">
        <f>IF(VLOOKUP($A109,Sheet1!$A$3:$AW$699,7,FALSE)="★","x","")</f>
        <v/>
      </c>
      <c r="M109" s="146" t="str">
        <f>IF(VLOOKUP($A109,Sheet1!$A$3:$AW$699,8,FALSE)="▲","x","")</f>
        <v/>
      </c>
      <c r="N109" s="146" t="str">
        <f>IF(VLOOKUP($A109,Sheet1!$A$3:$AW$699,9,FALSE)="●","x","")</f>
        <v/>
      </c>
      <c r="O109" s="146" t="str">
        <f>IF(VLOOKUP($A109,Sheet1!$A$3:$AW$699,10,FALSE)="■","x","")</f>
        <v/>
      </c>
      <c r="P109" s="9" t="str">
        <f>IF(VLOOKUP($A109,Sheet1!$A$3:$AW$699,2,FALSE)="","",VLOOKUP($A109,Sheet1!$A$3:$AW$699,2,FALSE))</f>
        <v>P5.095</v>
      </c>
    </row>
    <row r="110" spans="1:16" ht="30.6" x14ac:dyDescent="0.3">
      <c r="A110" s="6">
        <v>384</v>
      </c>
      <c r="B110" s="6" t="s">
        <v>627</v>
      </c>
      <c r="C110" s="9" t="str">
        <f>IF(VLOOKUP($A110,Sheet1!$A$3:$AW$699,25,FALSE)="","",VLOOKUP($A110,Sheet1!$A$3:$AW$699,25,FALSE))</f>
        <v>All</v>
      </c>
      <c r="D110" s="142">
        <f>IF(VLOOKUP($A110,Sheet1!$A$3:$AW$699,15,FALSE)="","",VLOOKUP($A110,Sheet1!$A$3:$AW$699,15,FALSE))</f>
        <v>-2147483648</v>
      </c>
      <c r="E110" s="142">
        <f>IF(VLOOKUP($A110,Sheet1!$A$3:$AW$699,16,FALSE)="","",VLOOKUP($A110,Sheet1!$A$3:$AW$699,16,FALSE))</f>
        <v>2147483647</v>
      </c>
      <c r="F110" s="142">
        <f>IF(VLOOKUP($A110,Sheet1!$A$3:$AW$699,17,FALSE)="","",VLOOKUP($A110,Sheet1!$A$3:$AW$699,17,FALSE))</f>
        <v>0</v>
      </c>
      <c r="G110" s="142" t="str">
        <f>IF(VLOOKUP($A110,Sheet1!$A$3:$AW$699,18,FALSE)="","",VLOOKUP($A110,Sheet1!$A$3:$AW$699,18,FALSE))</f>
        <v/>
      </c>
      <c r="H110" s="142" t="str">
        <f>IF(VLOOKUP($A110,Sheet1!$A$3:$AW$699,19,FALSE)="","",VLOOKUP($A110,Sheet1!$A$3:$AW$699,19,FALSE))</f>
        <v/>
      </c>
      <c r="I110" s="9" t="str">
        <f>IF(VLOOKUP($A110,Sheet1!$A$3:$AW$699,5,FALSE)="","",VLOOKUP($A110,Sheet1!$A$3:$AW$699,5,FALSE))</f>
        <v>DINT</v>
      </c>
      <c r="J110" s="17" t="s">
        <v>628</v>
      </c>
      <c r="K110" s="6" t="s">
        <v>433</v>
      </c>
      <c r="L110" s="146" t="str">
        <f>IF(VLOOKUP($A110,Sheet1!$A$3:$AW$699,7,FALSE)="★","x","")</f>
        <v/>
      </c>
      <c r="M110" s="146" t="str">
        <f>IF(VLOOKUP($A110,Sheet1!$A$3:$AW$699,8,FALSE)="▲","x","")</f>
        <v/>
      </c>
      <c r="N110" s="146" t="str">
        <f>IF(VLOOKUP($A110,Sheet1!$A$3:$AW$699,9,FALSE)="●","x","")</f>
        <v/>
      </c>
      <c r="O110" s="146" t="str">
        <f>IF(VLOOKUP($A110,Sheet1!$A$3:$AW$699,10,FALSE)="■","x","")</f>
        <v/>
      </c>
      <c r="P110" s="9" t="str">
        <f>IF(VLOOKUP($A110,Sheet1!$A$3:$AW$699,2,FALSE)="","",VLOOKUP($A110,Sheet1!$A$3:$AW$699,2,FALSE))</f>
        <v>P5.096</v>
      </c>
    </row>
    <row r="111" spans="1:16" ht="71.400000000000006" x14ac:dyDescent="0.3">
      <c r="A111" s="6">
        <v>385</v>
      </c>
      <c r="B111" s="6" t="s">
        <v>629</v>
      </c>
      <c r="C111" s="9" t="str">
        <f>IF(VLOOKUP($A111,Sheet1!$A$3:$AW$699,25,FALSE)="","",VLOOKUP($A111,Sheet1!$A$3:$AW$699,25,FALSE))</f>
        <v>All</v>
      </c>
      <c r="D111" s="142" t="str">
        <f>IF(VLOOKUP($A111,Sheet1!$A$3:$AW$699,15,FALSE)="","",VLOOKUP($A111,Sheet1!$A$3:$AW$699,15,FALSE))</f>
        <v>0x0000</v>
      </c>
      <c r="E111" s="142" t="str">
        <f>IF(VLOOKUP($A111,Sheet1!$A$3:$AW$699,16,FALSE)="","",VLOOKUP($A111,Sheet1!$A$3:$AW$699,16,FALSE))</f>
        <v>0xF99F</v>
      </c>
      <c r="F111" s="142" t="str">
        <f>IF(VLOOKUP($A111,Sheet1!$A$3:$AW$699,17,FALSE)="","",VLOOKUP($A111,Sheet1!$A$3:$AW$699,17,FALSE))</f>
        <v>0x0000</v>
      </c>
      <c r="G111" s="142" t="str">
        <f>IF(VLOOKUP($A111,Sheet1!$A$3:$AW$699,18,FALSE)="","",VLOOKUP($A111,Sheet1!$A$3:$AW$699,18,FALSE))</f>
        <v/>
      </c>
      <c r="H111" s="142" t="str">
        <f>IF(VLOOKUP($A111,Sheet1!$A$3:$AW$699,19,FALSE)="","",VLOOKUP($A111,Sheet1!$A$3:$AW$699,19,FALSE))</f>
        <v/>
      </c>
      <c r="I111" s="9" t="str">
        <f>IF(VLOOKUP($A111,Sheet1!$A$3:$AW$699,5,FALSE)="","",VLOOKUP($A111,Sheet1!$A$3:$AW$699,5,FALSE))</f>
        <v>UINT</v>
      </c>
      <c r="J111" s="8" t="s">
        <v>630</v>
      </c>
      <c r="K111" s="6" t="s">
        <v>433</v>
      </c>
      <c r="L111" s="146" t="str">
        <f>IF(VLOOKUP($A111,Sheet1!$A$3:$AW$699,7,FALSE)="★","x","")</f>
        <v/>
      </c>
      <c r="M111" s="146" t="str">
        <f>IF(VLOOKUP($A111,Sheet1!$A$3:$AW$699,8,FALSE)="▲","x","")</f>
        <v/>
      </c>
      <c r="N111" s="146" t="str">
        <f>IF(VLOOKUP($A111,Sheet1!$A$3:$AW$699,9,FALSE)="●","x","")</f>
        <v/>
      </c>
      <c r="O111" s="146" t="str">
        <f>IF(VLOOKUP($A111,Sheet1!$A$3:$AW$699,10,FALSE)="■","x","")</f>
        <v>x</v>
      </c>
      <c r="P111" s="9" t="str">
        <f>IF(VLOOKUP($A111,Sheet1!$A$3:$AW$699,2,FALSE)="","",VLOOKUP($A111,Sheet1!$A$3:$AW$699,2,FALSE))</f>
        <v>P5.097</v>
      </c>
    </row>
    <row r="112" spans="1:16" ht="142.80000000000001" x14ac:dyDescent="0.3">
      <c r="A112" s="6">
        <v>386</v>
      </c>
      <c r="B112" s="6" t="s">
        <v>631</v>
      </c>
      <c r="C112" s="9" t="str">
        <f>IF(VLOOKUP($A112,Sheet1!$A$3:$AW$699,25,FALSE)="","",VLOOKUP($A112,Sheet1!$A$3:$AW$699,25,FALSE))</f>
        <v>PR/IO</v>
      </c>
      <c r="D112" s="142" t="str">
        <f>IF(VLOOKUP($A112,Sheet1!$A$3:$AW$699,15,FALSE)="","",VLOOKUP($A112,Sheet1!$A$3:$AW$699,15,FALSE))</f>
        <v>0x0000</v>
      </c>
      <c r="E112" s="142" t="str">
        <f>IF(VLOOKUP($A112,Sheet1!$A$3:$AW$699,16,FALSE)="","",VLOOKUP($A112,Sheet1!$A$3:$AW$699,16,FALSE))</f>
        <v>0xDDDD</v>
      </c>
      <c r="F112" s="142" t="str">
        <f>IF(VLOOKUP($A112,Sheet1!$A$3:$AW$699,17,FALSE)="","",VLOOKUP($A112,Sheet1!$A$3:$AW$699,17,FALSE))</f>
        <v>0x0000</v>
      </c>
      <c r="G112" s="142" t="str">
        <f>IF(VLOOKUP($A112,Sheet1!$A$3:$AW$699,18,FALSE)="","",VLOOKUP($A112,Sheet1!$A$3:$AW$699,18,FALSE))</f>
        <v/>
      </c>
      <c r="H112" s="142" t="str">
        <f>IF(VLOOKUP($A112,Sheet1!$A$3:$AW$699,19,FALSE)="","",VLOOKUP($A112,Sheet1!$A$3:$AW$699,19,FALSE))</f>
        <v/>
      </c>
      <c r="I112" s="9" t="str">
        <f>IF(VLOOKUP($A112,Sheet1!$A$3:$AW$699,5,FALSE)="","",VLOOKUP($A112,Sheet1!$A$3:$AW$699,5,FALSE))</f>
        <v>UINT</v>
      </c>
      <c r="J112" s="7" t="s">
        <v>632</v>
      </c>
      <c r="K112" s="9" t="s">
        <v>633</v>
      </c>
      <c r="L112" s="146" t="str">
        <f>IF(VLOOKUP($A112,Sheet1!$A$3:$AW$699,7,FALSE)="★","x","")</f>
        <v/>
      </c>
      <c r="M112" s="146" t="str">
        <f>IF(VLOOKUP($A112,Sheet1!$A$3:$AW$699,8,FALSE)="▲","x","")</f>
        <v/>
      </c>
      <c r="N112" s="146" t="str">
        <f>IF(VLOOKUP($A112,Sheet1!$A$3:$AW$699,9,FALSE)="●","x","")</f>
        <v/>
      </c>
      <c r="O112" s="146" t="str">
        <f>IF(VLOOKUP($A112,Sheet1!$A$3:$AW$699,10,FALSE)="■","x","")</f>
        <v/>
      </c>
      <c r="P112" s="9" t="str">
        <f>IF(VLOOKUP($A112,Sheet1!$A$3:$AW$699,2,FALSE)="","",VLOOKUP($A112,Sheet1!$A$3:$AW$699,2,FALSE))</f>
        <v>P5.098</v>
      </c>
    </row>
    <row r="113" spans="1:16" ht="142.80000000000001" x14ac:dyDescent="0.3">
      <c r="A113" s="6">
        <v>387</v>
      </c>
      <c r="B113" s="6" t="s">
        <v>634</v>
      </c>
      <c r="C113" s="9" t="str">
        <f>IF(VLOOKUP($A113,Sheet1!$A$3:$AW$699,25,FALSE)="","",VLOOKUP($A113,Sheet1!$A$3:$AW$699,25,FALSE))</f>
        <v>PR/IO</v>
      </c>
      <c r="D113" s="142" t="str">
        <f>IF(VLOOKUP($A113,Sheet1!$A$3:$AW$699,15,FALSE)="","",VLOOKUP($A113,Sheet1!$A$3:$AW$699,15,FALSE))</f>
        <v>0x0000</v>
      </c>
      <c r="E113" s="142" t="str">
        <f>IF(VLOOKUP($A113,Sheet1!$A$3:$AW$699,16,FALSE)="","",VLOOKUP($A113,Sheet1!$A$3:$AW$699,16,FALSE))</f>
        <v>0xDDDD</v>
      </c>
      <c r="F113" s="142" t="str">
        <f>IF(VLOOKUP($A113,Sheet1!$A$3:$AW$699,17,FALSE)="","",VLOOKUP($A113,Sheet1!$A$3:$AW$699,17,FALSE))</f>
        <v>0x0000</v>
      </c>
      <c r="G113" s="142" t="str">
        <f>IF(VLOOKUP($A113,Sheet1!$A$3:$AW$699,18,FALSE)="","",VLOOKUP($A113,Sheet1!$A$3:$AW$699,18,FALSE))</f>
        <v/>
      </c>
      <c r="H113" s="142" t="str">
        <f>IF(VLOOKUP($A113,Sheet1!$A$3:$AW$699,19,FALSE)="","",VLOOKUP($A113,Sheet1!$A$3:$AW$699,19,FALSE))</f>
        <v/>
      </c>
      <c r="I113" s="9" t="str">
        <f>IF(VLOOKUP($A113,Sheet1!$A$3:$AW$699,5,FALSE)="","",VLOOKUP($A113,Sheet1!$A$3:$AW$699,5,FALSE))</f>
        <v>UINT</v>
      </c>
      <c r="J113" s="7" t="s">
        <v>635</v>
      </c>
      <c r="K113" s="9" t="s">
        <v>633</v>
      </c>
      <c r="L113" s="146" t="str">
        <f>IF(VLOOKUP($A113,Sheet1!$A$3:$AW$699,7,FALSE)="★","x","")</f>
        <v/>
      </c>
      <c r="M113" s="146" t="str">
        <f>IF(VLOOKUP($A113,Sheet1!$A$3:$AW$699,8,FALSE)="▲","x","")</f>
        <v/>
      </c>
      <c r="N113" s="146" t="str">
        <f>IF(VLOOKUP($A113,Sheet1!$A$3:$AW$699,9,FALSE)="●","x","")</f>
        <v/>
      </c>
      <c r="O113" s="146" t="str">
        <f>IF(VLOOKUP($A113,Sheet1!$A$3:$AW$699,10,FALSE)="■","x","")</f>
        <v/>
      </c>
      <c r="P113" s="9" t="str">
        <f>IF(VLOOKUP($A113,Sheet1!$A$3:$AW$699,2,FALSE)="","",VLOOKUP($A113,Sheet1!$A$3:$AW$699,2,FALSE))</f>
        <v>P5.099</v>
      </c>
    </row>
    <row r="114" spans="1:16" ht="20.399999999999999" x14ac:dyDescent="0.3">
      <c r="A114" s="6">
        <v>388</v>
      </c>
      <c r="B114" s="6" t="s">
        <v>636</v>
      </c>
      <c r="C114" s="9" t="str">
        <f>IF(VLOOKUP($A114,Sheet1!$A$3:$AW$699,25,FALSE)="","",VLOOKUP($A114,Sheet1!$A$3:$AW$699,25,FALSE))</f>
        <v>All</v>
      </c>
      <c r="D114" s="142">
        <f>IF(VLOOKUP($A114,Sheet1!$A$3:$AW$699,15,FALSE)="","",VLOOKUP($A114,Sheet1!$A$3:$AW$699,15,FALSE))</f>
        <v>-2147483648</v>
      </c>
      <c r="E114" s="142">
        <f>IF(VLOOKUP($A114,Sheet1!$A$3:$AW$699,16,FALSE)="","",VLOOKUP($A114,Sheet1!$A$3:$AW$699,16,FALSE))</f>
        <v>2147483647</v>
      </c>
      <c r="F114" s="142">
        <f>IF(VLOOKUP($A114,Sheet1!$A$3:$AW$699,17,FALSE)="","",VLOOKUP($A114,Sheet1!$A$3:$AW$699,17,FALSE))</f>
        <v>0</v>
      </c>
      <c r="G114" s="142" t="str">
        <f>IF(VLOOKUP($A114,Sheet1!$A$3:$AW$699,18,FALSE)="","",VLOOKUP($A114,Sheet1!$A$3:$AW$699,18,FALSE))</f>
        <v/>
      </c>
      <c r="H114" s="142" t="str">
        <f>IF(VLOOKUP($A114,Sheet1!$A$3:$AW$699,19,FALSE)="","",VLOOKUP($A114,Sheet1!$A$3:$AW$699,19,FALSE))</f>
        <v/>
      </c>
      <c r="I114" s="9" t="str">
        <f>IF(VLOOKUP($A114,Sheet1!$A$3:$AW$699,5,FALSE)="","",VLOOKUP($A114,Sheet1!$A$3:$AW$699,5,FALSE))</f>
        <v>DINT</v>
      </c>
      <c r="J114" s="23" t="s">
        <v>637</v>
      </c>
      <c r="K114" s="6" t="s">
        <v>433</v>
      </c>
      <c r="L114" s="146" t="str">
        <f>IF(VLOOKUP($A114,Sheet1!$A$3:$AW$699,7,FALSE)="★","x","")</f>
        <v/>
      </c>
      <c r="M114" s="146" t="str">
        <f>IF(VLOOKUP($A114,Sheet1!$A$3:$AW$699,8,FALSE)="▲","x","")</f>
        <v/>
      </c>
      <c r="N114" s="146" t="str">
        <f>IF(VLOOKUP($A114,Sheet1!$A$3:$AW$699,9,FALSE)="●","x","")</f>
        <v/>
      </c>
      <c r="O114" s="146" t="str">
        <f>IF(VLOOKUP($A114,Sheet1!$A$3:$AW$699,10,FALSE)="■","x","")</f>
        <v>x</v>
      </c>
      <c r="P114" s="9" t="str">
        <f>IF(VLOOKUP($A114,Sheet1!$A$3:$AW$699,2,FALSE)="","",VLOOKUP($A114,Sheet1!$A$3:$AW$699,2,FALSE))</f>
        <v>P5.100</v>
      </c>
    </row>
    <row r="115" spans="1:16" ht="20.399999999999999" x14ac:dyDescent="0.3">
      <c r="A115" s="6">
        <v>389</v>
      </c>
      <c r="B115" s="6" t="s">
        <v>638</v>
      </c>
      <c r="C115" s="9" t="str">
        <f>IF(VLOOKUP($A115,Sheet1!$A$3:$AW$699,25,FALSE)="","",VLOOKUP($A115,Sheet1!$A$3:$AW$699,25,FALSE))</f>
        <v>All</v>
      </c>
      <c r="D115" s="142">
        <f>IF(VLOOKUP($A115,Sheet1!$A$3:$AW$699,15,FALSE)="","",VLOOKUP($A115,Sheet1!$A$3:$AW$699,15,FALSE))</f>
        <v>-2147483648</v>
      </c>
      <c r="E115" s="142">
        <f>IF(VLOOKUP($A115,Sheet1!$A$3:$AW$699,16,FALSE)="","",VLOOKUP($A115,Sheet1!$A$3:$AW$699,16,FALSE))</f>
        <v>2147483647</v>
      </c>
      <c r="F115" s="142">
        <f>IF(VLOOKUP($A115,Sheet1!$A$3:$AW$699,17,FALSE)="","",VLOOKUP($A115,Sheet1!$A$3:$AW$699,17,FALSE))</f>
        <v>0</v>
      </c>
      <c r="G115" s="142" t="str">
        <f>IF(VLOOKUP($A115,Sheet1!$A$3:$AW$699,18,FALSE)="","",VLOOKUP($A115,Sheet1!$A$3:$AW$699,18,FALSE))</f>
        <v/>
      </c>
      <c r="H115" s="142" t="str">
        <f>IF(VLOOKUP($A115,Sheet1!$A$3:$AW$699,19,FALSE)="","",VLOOKUP($A115,Sheet1!$A$3:$AW$699,19,FALSE))</f>
        <v/>
      </c>
      <c r="I115" s="9" t="str">
        <f>IF(VLOOKUP($A115,Sheet1!$A$3:$AW$699,5,FALSE)="","",VLOOKUP($A115,Sheet1!$A$3:$AW$699,5,FALSE))</f>
        <v>DINT</v>
      </c>
      <c r="J115" s="23" t="s">
        <v>639</v>
      </c>
      <c r="K115" s="6" t="s">
        <v>433</v>
      </c>
      <c r="L115" s="146" t="str">
        <f>IF(VLOOKUP($A115,Sheet1!$A$3:$AW$699,7,FALSE)="★","x","")</f>
        <v/>
      </c>
      <c r="M115" s="146" t="str">
        <f>IF(VLOOKUP($A115,Sheet1!$A$3:$AW$699,8,FALSE)="▲","x","")</f>
        <v/>
      </c>
      <c r="N115" s="146" t="str">
        <f>IF(VLOOKUP($A115,Sheet1!$A$3:$AW$699,9,FALSE)="●","x","")</f>
        <v/>
      </c>
      <c r="O115" s="146" t="str">
        <f>IF(VLOOKUP($A115,Sheet1!$A$3:$AW$699,10,FALSE)="■","x","")</f>
        <v>x</v>
      </c>
      <c r="P115" s="9" t="str">
        <f>IF(VLOOKUP($A115,Sheet1!$A$3:$AW$699,2,FALSE)="","",VLOOKUP($A115,Sheet1!$A$3:$AW$699,2,FALSE))</f>
        <v>P5.101</v>
      </c>
    </row>
    <row r="116" spans="1:16" ht="20.399999999999999" x14ac:dyDescent="0.3">
      <c r="A116" s="6">
        <v>390</v>
      </c>
      <c r="B116" s="6" t="s">
        <v>640</v>
      </c>
      <c r="C116" s="9" t="str">
        <f>IF(VLOOKUP($A116,Sheet1!$A$3:$AW$699,25,FALSE)="","",VLOOKUP($A116,Sheet1!$A$3:$AW$699,25,FALSE))</f>
        <v>All</v>
      </c>
      <c r="D116" s="142">
        <f>IF(VLOOKUP($A116,Sheet1!$A$3:$AW$699,15,FALSE)="","",VLOOKUP($A116,Sheet1!$A$3:$AW$699,15,FALSE))</f>
        <v>-2147483648</v>
      </c>
      <c r="E116" s="142">
        <f>IF(VLOOKUP($A116,Sheet1!$A$3:$AW$699,16,FALSE)="","",VLOOKUP($A116,Sheet1!$A$3:$AW$699,16,FALSE))</f>
        <v>2147483647</v>
      </c>
      <c r="F116" s="142">
        <f>IF(VLOOKUP($A116,Sheet1!$A$3:$AW$699,17,FALSE)="","",VLOOKUP($A116,Sheet1!$A$3:$AW$699,17,FALSE))</f>
        <v>0</v>
      </c>
      <c r="G116" s="142" t="str">
        <f>IF(VLOOKUP($A116,Sheet1!$A$3:$AW$699,18,FALSE)="","",VLOOKUP($A116,Sheet1!$A$3:$AW$699,18,FALSE))</f>
        <v/>
      </c>
      <c r="H116" s="142" t="str">
        <f>IF(VLOOKUP($A116,Sheet1!$A$3:$AW$699,19,FALSE)="","",VLOOKUP($A116,Sheet1!$A$3:$AW$699,19,FALSE))</f>
        <v/>
      </c>
      <c r="I116" s="9" t="str">
        <f>IF(VLOOKUP($A116,Sheet1!$A$3:$AW$699,5,FALSE)="","",VLOOKUP($A116,Sheet1!$A$3:$AW$699,5,FALSE))</f>
        <v>DINT</v>
      </c>
      <c r="J116" s="23" t="s">
        <v>641</v>
      </c>
      <c r="K116" s="6" t="s">
        <v>433</v>
      </c>
      <c r="L116" s="146" t="str">
        <f>IF(VLOOKUP($A116,Sheet1!$A$3:$AW$699,7,FALSE)="★","x","")</f>
        <v/>
      </c>
      <c r="M116" s="146" t="str">
        <f>IF(VLOOKUP($A116,Sheet1!$A$3:$AW$699,8,FALSE)="▲","x","")</f>
        <v/>
      </c>
      <c r="N116" s="146" t="str">
        <f>IF(VLOOKUP($A116,Sheet1!$A$3:$AW$699,9,FALSE)="●","x","")</f>
        <v/>
      </c>
      <c r="O116" s="146" t="str">
        <f>IF(VLOOKUP($A116,Sheet1!$A$3:$AW$699,10,FALSE)="■","x","")</f>
        <v>x</v>
      </c>
      <c r="P116" s="9" t="str">
        <f>IF(VLOOKUP($A116,Sheet1!$A$3:$AW$699,2,FALSE)="","",VLOOKUP($A116,Sheet1!$A$3:$AW$699,2,FALSE))</f>
        <v>P5.102</v>
      </c>
    </row>
    <row r="117" spans="1:16" ht="20.399999999999999" x14ac:dyDescent="0.3">
      <c r="A117" s="6">
        <v>391</v>
      </c>
      <c r="B117" s="6" t="s">
        <v>642</v>
      </c>
      <c r="C117" s="9" t="str">
        <f>IF(VLOOKUP($A117,Sheet1!$A$3:$AW$699,25,FALSE)="","",VLOOKUP($A117,Sheet1!$A$3:$AW$699,25,FALSE))</f>
        <v>All</v>
      </c>
      <c r="D117" s="142">
        <f>IF(VLOOKUP($A117,Sheet1!$A$3:$AW$699,15,FALSE)="","",VLOOKUP($A117,Sheet1!$A$3:$AW$699,15,FALSE))</f>
        <v>-2147483648</v>
      </c>
      <c r="E117" s="142">
        <f>IF(VLOOKUP($A117,Sheet1!$A$3:$AW$699,16,FALSE)="","",VLOOKUP($A117,Sheet1!$A$3:$AW$699,16,FALSE))</f>
        <v>2147483647</v>
      </c>
      <c r="F117" s="142">
        <f>IF(VLOOKUP($A117,Sheet1!$A$3:$AW$699,17,FALSE)="","",VLOOKUP($A117,Sheet1!$A$3:$AW$699,17,FALSE))</f>
        <v>0</v>
      </c>
      <c r="G117" s="142" t="str">
        <f>IF(VLOOKUP($A117,Sheet1!$A$3:$AW$699,18,FALSE)="","",VLOOKUP($A117,Sheet1!$A$3:$AW$699,18,FALSE))</f>
        <v/>
      </c>
      <c r="H117" s="142" t="str">
        <f>IF(VLOOKUP($A117,Sheet1!$A$3:$AW$699,19,FALSE)="","",VLOOKUP($A117,Sheet1!$A$3:$AW$699,19,FALSE))</f>
        <v/>
      </c>
      <c r="I117" s="9" t="str">
        <f>IF(VLOOKUP($A117,Sheet1!$A$3:$AW$699,5,FALSE)="","",VLOOKUP($A117,Sheet1!$A$3:$AW$699,5,FALSE))</f>
        <v>DINT</v>
      </c>
      <c r="J117" s="23" t="s">
        <v>643</v>
      </c>
      <c r="K117" s="6" t="s">
        <v>433</v>
      </c>
      <c r="L117" s="146" t="str">
        <f>IF(VLOOKUP($A117,Sheet1!$A$3:$AW$699,7,FALSE)="★","x","")</f>
        <v/>
      </c>
      <c r="M117" s="146" t="str">
        <f>IF(VLOOKUP($A117,Sheet1!$A$3:$AW$699,8,FALSE)="▲","x","")</f>
        <v/>
      </c>
      <c r="N117" s="146" t="str">
        <f>IF(VLOOKUP($A117,Sheet1!$A$3:$AW$699,9,FALSE)="●","x","")</f>
        <v/>
      </c>
      <c r="O117" s="146" t="str">
        <f>IF(VLOOKUP($A117,Sheet1!$A$3:$AW$699,10,FALSE)="■","x","")</f>
        <v>x</v>
      </c>
      <c r="P117" s="9" t="str">
        <f>IF(VLOOKUP($A117,Sheet1!$A$3:$AW$699,2,FALSE)="","",VLOOKUP($A117,Sheet1!$A$3:$AW$699,2,FALSE))</f>
        <v>P5.103</v>
      </c>
    </row>
    <row r="118" spans="1:16" ht="30.6" x14ac:dyDescent="0.3">
      <c r="A118" s="6">
        <v>392</v>
      </c>
      <c r="B118" s="6" t="s">
        <v>644</v>
      </c>
      <c r="C118" s="9" t="str">
        <f>IF(VLOOKUP($A118,Sheet1!$A$3:$AW$699,25,FALSE)="","",VLOOKUP($A118,Sheet1!$A$3:$AW$699,25,FALSE))</f>
        <v>All</v>
      </c>
      <c r="D118" s="142">
        <f>IF(VLOOKUP($A118,Sheet1!$A$3:$AW$699,15,FALSE)="","",VLOOKUP($A118,Sheet1!$A$3:$AW$699,15,FALSE))</f>
        <v>0</v>
      </c>
      <c r="E118" s="142">
        <f>IF(VLOOKUP($A118,Sheet1!$A$3:$AW$699,16,FALSE)="","",VLOOKUP($A118,Sheet1!$A$3:$AW$699,16,FALSE))</f>
        <v>799</v>
      </c>
      <c r="F118" s="142">
        <f>IF(VLOOKUP($A118,Sheet1!$A$3:$AW$699,17,FALSE)="","",VLOOKUP($A118,Sheet1!$A$3:$AW$699,17,FALSE))</f>
        <v>10</v>
      </c>
      <c r="G118" s="142" t="str">
        <f>IF(VLOOKUP($A118,Sheet1!$A$3:$AW$699,18,FALSE)="","",VLOOKUP($A118,Sheet1!$A$3:$AW$699,18,FALSE))</f>
        <v/>
      </c>
      <c r="H118" s="142" t="str">
        <f>IF(VLOOKUP($A118,Sheet1!$A$3:$AW$699,19,FALSE)="","",VLOOKUP($A118,Sheet1!$A$3:$AW$699,19,FALSE))</f>
        <v/>
      </c>
      <c r="I118" s="9" t="str">
        <f>IF(VLOOKUP($A118,Sheet1!$A$3:$AW$699,5,FALSE)="","",VLOOKUP($A118,Sheet1!$A$3:$AW$699,5,FALSE))</f>
        <v>INT</v>
      </c>
      <c r="J118" s="7" t="s">
        <v>645</v>
      </c>
      <c r="K118" s="9" t="s">
        <v>428</v>
      </c>
      <c r="L118" s="146" t="str">
        <f>IF(VLOOKUP($A118,Sheet1!$A$3:$AW$699,7,FALSE)="★","x","")</f>
        <v/>
      </c>
      <c r="M118" s="146" t="str">
        <f>IF(VLOOKUP($A118,Sheet1!$A$3:$AW$699,8,FALSE)="▲","x","")</f>
        <v/>
      </c>
      <c r="N118" s="146" t="str">
        <f>IF(VLOOKUP($A118,Sheet1!$A$3:$AW$699,9,FALSE)="●","x","")</f>
        <v/>
      </c>
      <c r="O118" s="146" t="str">
        <f>IF(VLOOKUP($A118,Sheet1!$A$3:$AW$699,10,FALSE)="■","x","")</f>
        <v/>
      </c>
      <c r="P118" s="9" t="str">
        <f>IF(VLOOKUP($A118,Sheet1!$A$3:$AW$699,2,FALSE)="","",VLOOKUP($A118,Sheet1!$A$3:$AW$699,2,FALSE))</f>
        <v>P5.107</v>
      </c>
    </row>
    <row r="119" spans="1:16" ht="40.799999999999997" x14ac:dyDescent="0.3">
      <c r="A119" s="6">
        <v>393</v>
      </c>
      <c r="B119" s="6" t="s">
        <v>646</v>
      </c>
      <c r="C119" s="9" t="str">
        <f>IF(VLOOKUP($A119,Sheet1!$A$3:$AW$699,25,FALSE)="","",VLOOKUP($A119,Sheet1!$A$3:$AW$699,25,FALSE))</f>
        <v>All</v>
      </c>
      <c r="D119" s="142">
        <f>IF(VLOOKUP($A119,Sheet1!$A$3:$AW$699,15,FALSE)="","",VLOOKUP($A119,Sheet1!$A$3:$AW$699,15,FALSE))</f>
        <v>-2147483648</v>
      </c>
      <c r="E119" s="142">
        <f>IF(VLOOKUP($A119,Sheet1!$A$3:$AW$699,16,FALSE)="","",VLOOKUP($A119,Sheet1!$A$3:$AW$699,16,FALSE))</f>
        <v>2147483647</v>
      </c>
      <c r="F119" s="142">
        <f>IF(VLOOKUP($A119,Sheet1!$A$3:$AW$699,17,FALSE)="","",VLOOKUP($A119,Sheet1!$A$3:$AW$699,17,FALSE))</f>
        <v>0</v>
      </c>
      <c r="G119" s="142" t="str">
        <f>IF(VLOOKUP($A119,Sheet1!$A$3:$AW$699,18,FALSE)="","",VLOOKUP($A119,Sheet1!$A$3:$AW$699,18,FALSE))</f>
        <v/>
      </c>
      <c r="H119" s="142" t="str">
        <f>IF(VLOOKUP($A119,Sheet1!$A$3:$AW$699,19,FALSE)="","",VLOOKUP($A119,Sheet1!$A$3:$AW$699,19,FALSE))</f>
        <v/>
      </c>
      <c r="I119" s="9" t="str">
        <f>IF(VLOOKUP($A119,Sheet1!$A$3:$AW$699,5,FALSE)="","",VLOOKUP($A119,Sheet1!$A$3:$AW$699,5,FALSE))</f>
        <v>DINT</v>
      </c>
      <c r="J119" s="7" t="s">
        <v>647</v>
      </c>
      <c r="K119" s="9" t="s">
        <v>428</v>
      </c>
      <c r="L119" s="146" t="str">
        <f>IF(VLOOKUP($A119,Sheet1!$A$3:$AW$699,7,FALSE)="★","x","")</f>
        <v/>
      </c>
      <c r="M119" s="146" t="str">
        <f>IF(VLOOKUP($A119,Sheet1!$A$3:$AW$699,8,FALSE)="▲","x","")</f>
        <v/>
      </c>
      <c r="N119" s="146" t="str">
        <f>IF(VLOOKUP($A119,Sheet1!$A$3:$AW$699,9,FALSE)="●","x","")</f>
        <v/>
      </c>
      <c r="O119" s="146" t="str">
        <f>IF(VLOOKUP($A119,Sheet1!$A$3:$AW$699,10,FALSE)="■","x","")</f>
        <v>x</v>
      </c>
      <c r="P119" s="9" t="str">
        <f>IF(VLOOKUP($A119,Sheet1!$A$3:$AW$699,2,FALSE)="","",VLOOKUP($A119,Sheet1!$A$3:$AW$699,2,FALSE))</f>
        <v>P5.108</v>
      </c>
    </row>
    <row r="120" spans="1:16" ht="51" x14ac:dyDescent="0.3">
      <c r="A120" s="6">
        <v>394</v>
      </c>
      <c r="B120" s="6" t="s">
        <v>648</v>
      </c>
      <c r="C120" s="9" t="str">
        <f>IF(VLOOKUP($A120,Sheet1!$A$3:$AW$699,25,FALSE)="","",VLOOKUP($A120,Sheet1!$A$3:$AW$699,25,FALSE))</f>
        <v>All</v>
      </c>
      <c r="D120" s="142">
        <f>IF(VLOOKUP($A120,Sheet1!$A$3:$AW$699,15,FALSE)="","",VLOOKUP($A120,Sheet1!$A$3:$AW$699,15,FALSE))</f>
        <v>0</v>
      </c>
      <c r="E120" s="142">
        <f>IF(VLOOKUP($A120,Sheet1!$A$3:$AW$699,16,FALSE)="","",VLOOKUP($A120,Sheet1!$A$3:$AW$699,16,FALSE))</f>
        <v>800</v>
      </c>
      <c r="F120" s="142">
        <f>IF(VLOOKUP($A120,Sheet1!$A$3:$AW$699,17,FALSE)="","",VLOOKUP($A120,Sheet1!$A$3:$AW$699,17,FALSE))</f>
        <v>1</v>
      </c>
      <c r="G120" s="142" t="str">
        <f>IF(VLOOKUP($A120,Sheet1!$A$3:$AW$699,18,FALSE)="","",VLOOKUP($A120,Sheet1!$A$3:$AW$699,18,FALSE))</f>
        <v/>
      </c>
      <c r="H120" s="142" t="str">
        <f>IF(VLOOKUP($A120,Sheet1!$A$3:$AW$699,19,FALSE)="","",VLOOKUP($A120,Sheet1!$A$3:$AW$699,19,FALSE))</f>
        <v/>
      </c>
      <c r="I120" s="9" t="str">
        <f>IF(VLOOKUP($A120,Sheet1!$A$3:$AW$699,5,FALSE)="","",VLOOKUP($A120,Sheet1!$A$3:$AW$699,5,FALSE))</f>
        <v>INT</v>
      </c>
      <c r="J120" s="7" t="s">
        <v>649</v>
      </c>
      <c r="K120" s="9" t="s">
        <v>428</v>
      </c>
      <c r="L120" s="146" t="str">
        <f>IF(VLOOKUP($A120,Sheet1!$A$3:$AW$699,7,FALSE)="★","x","")</f>
        <v/>
      </c>
      <c r="M120" s="146" t="str">
        <f>IF(VLOOKUP($A120,Sheet1!$A$3:$AW$699,8,FALSE)="▲","x","")</f>
        <v/>
      </c>
      <c r="N120" s="146" t="str">
        <f>IF(VLOOKUP($A120,Sheet1!$A$3:$AW$699,9,FALSE)="●","x","")</f>
        <v/>
      </c>
      <c r="O120" s="146" t="str">
        <f>IF(VLOOKUP($A120,Sheet1!$A$3:$AW$699,10,FALSE)="■","x","")</f>
        <v>x</v>
      </c>
      <c r="P120" s="9" t="str">
        <f>IF(VLOOKUP($A120,Sheet1!$A$3:$AW$699,2,FALSE)="","",VLOOKUP($A120,Sheet1!$A$3:$AW$699,2,FALSE))</f>
        <v>P5.109</v>
      </c>
    </row>
    <row r="121" spans="1:16" ht="173.4" x14ac:dyDescent="0.3">
      <c r="A121" s="6">
        <v>395</v>
      </c>
      <c r="B121" s="6" t="s">
        <v>650</v>
      </c>
      <c r="C121" s="9" t="str">
        <f>IF(VLOOKUP($A121,Sheet1!$A$3:$AW$699,25,FALSE)="","",VLOOKUP($A121,Sheet1!$A$3:$AW$699,25,FALSE))</f>
        <v>All</v>
      </c>
      <c r="D121" s="142" t="str">
        <f>IF(VLOOKUP($A121,Sheet1!$A$3:$AW$699,15,FALSE)="","",VLOOKUP($A121,Sheet1!$A$3:$AW$699,15,FALSE))</f>
        <v>0x00000000</v>
      </c>
      <c r="E121" s="142" t="str">
        <f>IF(VLOOKUP($A121,Sheet1!$A$3:$AW$699,16,FALSE)="","",VLOOKUP($A121,Sheet1!$A$3:$AW$699,16,FALSE))</f>
        <v>0x6F00F13F</v>
      </c>
      <c r="F121" s="142" t="str">
        <f>IF(VLOOKUP($A121,Sheet1!$A$3:$AW$699,17,FALSE)="","",VLOOKUP($A121,Sheet1!$A$3:$AW$699,17,FALSE))</f>
        <v>0x3C002010</v>
      </c>
      <c r="G121" s="142" t="str">
        <f>IF(VLOOKUP($A121,Sheet1!$A$3:$AW$699,18,FALSE)="","",VLOOKUP($A121,Sheet1!$A$3:$AW$699,18,FALSE))</f>
        <v/>
      </c>
      <c r="H121" s="142" t="str">
        <f>IF(VLOOKUP($A121,Sheet1!$A$3:$AW$699,19,FALSE)="","",VLOOKUP($A121,Sheet1!$A$3:$AW$699,19,FALSE))</f>
        <v/>
      </c>
      <c r="I121" s="9" t="str">
        <f>IF(VLOOKUP($A121,Sheet1!$A$3:$AW$699,5,FALSE)="","",VLOOKUP($A121,Sheet1!$A$3:$AW$699,5,FALSE))</f>
        <v>UDINT</v>
      </c>
      <c r="J121" s="8" t="s">
        <v>651</v>
      </c>
      <c r="K121" s="9" t="s">
        <v>428</v>
      </c>
      <c r="L121" s="146" t="str">
        <f>IF(VLOOKUP($A121,Sheet1!$A$3:$AW$699,7,FALSE)="★","x","")</f>
        <v/>
      </c>
      <c r="M121" s="146" t="str">
        <f>IF(VLOOKUP($A121,Sheet1!$A$3:$AW$699,8,FALSE)="▲","x","")</f>
        <v/>
      </c>
      <c r="N121" s="146" t="str">
        <f>IF(VLOOKUP($A121,Sheet1!$A$3:$AW$699,9,FALSE)="●","x","")</f>
        <v/>
      </c>
      <c r="O121" s="146" t="str">
        <f>IF(VLOOKUP($A121,Sheet1!$A$3:$AW$699,10,FALSE)="■","x","")</f>
        <v>x</v>
      </c>
      <c r="P121" s="9" t="str">
        <f>IF(VLOOKUP($A121,Sheet1!$A$3:$AW$699,2,FALSE)="","",VLOOKUP($A121,Sheet1!$A$3:$AW$699,2,FALSE))</f>
        <v>P5.110</v>
      </c>
    </row>
    <row r="122" spans="1:16" ht="30.6" x14ac:dyDescent="0.3">
      <c r="A122" s="6">
        <v>396</v>
      </c>
      <c r="B122" s="6" t="s">
        <v>652</v>
      </c>
      <c r="C122" s="9" t="str">
        <f>IF(VLOOKUP($A122,Sheet1!$A$3:$AW$699,25,FALSE)="","",VLOOKUP($A122,Sheet1!$A$3:$AW$699,25,FALSE))</f>
        <v>All</v>
      </c>
      <c r="D122" s="142">
        <f>IF(VLOOKUP($A122,Sheet1!$A$3:$AW$699,15,FALSE)="","",VLOOKUP($A122,Sheet1!$A$3:$AW$699,15,FALSE))</f>
        <v>-1073741824</v>
      </c>
      <c r="E122" s="142">
        <f>IF(VLOOKUP($A122,Sheet1!$A$3:$AW$699,16,FALSE)="","",VLOOKUP($A122,Sheet1!$A$3:$AW$699,16,FALSE))</f>
        <v>1073741823</v>
      </c>
      <c r="F122" s="142">
        <f>IF(VLOOKUP($A122,Sheet1!$A$3:$AW$699,17,FALSE)="","",VLOOKUP($A122,Sheet1!$A$3:$AW$699,17,FALSE))</f>
        <v>0</v>
      </c>
      <c r="G122" s="142" t="str">
        <f>IF(VLOOKUP($A122,Sheet1!$A$3:$AW$699,18,FALSE)="","",VLOOKUP($A122,Sheet1!$A$3:$AW$699,18,FALSE))</f>
        <v/>
      </c>
      <c r="H122" s="142" t="str">
        <f>IF(VLOOKUP($A122,Sheet1!$A$3:$AW$699,19,FALSE)="","",VLOOKUP($A122,Sheet1!$A$3:$AW$699,19,FALSE))</f>
        <v/>
      </c>
      <c r="I122" s="9" t="str">
        <f>IF(VLOOKUP($A122,Sheet1!$A$3:$AW$699,5,FALSE)="","",VLOOKUP($A122,Sheet1!$A$3:$AW$699,5,FALSE))</f>
        <v>DINT</v>
      </c>
      <c r="J122" s="7" t="s">
        <v>653</v>
      </c>
      <c r="K122" s="9" t="s">
        <v>428</v>
      </c>
      <c r="L122" s="146" t="str">
        <f>IF(VLOOKUP($A122,Sheet1!$A$3:$AW$699,7,FALSE)="★","x","")</f>
        <v/>
      </c>
      <c r="M122" s="146" t="str">
        <f>IF(VLOOKUP($A122,Sheet1!$A$3:$AW$699,8,FALSE)="▲","x","")</f>
        <v/>
      </c>
      <c r="N122" s="146" t="str">
        <f>IF(VLOOKUP($A122,Sheet1!$A$3:$AW$699,9,FALSE)="●","x","")</f>
        <v/>
      </c>
      <c r="O122" s="146" t="str">
        <f>IF(VLOOKUP($A122,Sheet1!$A$3:$AW$699,10,FALSE)="■","x","")</f>
        <v/>
      </c>
      <c r="P122" s="9" t="str">
        <f>IF(VLOOKUP($A122,Sheet1!$A$3:$AW$699,2,FALSE)="","",VLOOKUP($A122,Sheet1!$A$3:$AW$699,2,FALSE))</f>
        <v>P5.111</v>
      </c>
    </row>
    <row r="123" spans="1:16" ht="204" x14ac:dyDescent="0.3">
      <c r="A123" s="9">
        <v>397</v>
      </c>
      <c r="B123" s="9" t="str">
        <f>IF(VLOOKUP($A123,Sheet1!$A$3:$AW$699,20,FALSE)="","",VLOOKUP($A123,Sheet1!$A$3:$AW$699,20,FALSE))</f>
        <v>HomingSetting</v>
      </c>
      <c r="C123" s="9" t="str">
        <f>IF(VLOOKUP($A123,Sheet1!$A$3:$AW$699,25,FALSE)="","",VLOOKUP($A123,Sheet1!$A$3:$AW$699,25,FALSE))</f>
        <v>PR/IO</v>
      </c>
      <c r="D123" s="142" t="str">
        <f>IF(VLOOKUP($A123,Sheet1!$A$3:$AW$699,15,FALSE)="","",VLOOKUP($A123,Sheet1!$A$3:$AW$699,15,FALSE))</f>
        <v>0x00000000</v>
      </c>
      <c r="E123" s="142" t="str">
        <f>IF(VLOOKUP($A123,Sheet1!$A$3:$AW$699,16,FALSE)="","",VLOOKUP($A123,Sheet1!$A$3:$AW$699,16,FALSE))</f>
        <v>0xFFFFFF63</v>
      </c>
      <c r="F123" s="142" t="str">
        <f>IF(VLOOKUP($A123,Sheet1!$A$3:$AW$699,17,FALSE)="","",VLOOKUP($A123,Sheet1!$A$3:$AW$699,17,FALSE))</f>
        <v>0x00000000</v>
      </c>
      <c r="G123" s="142" t="str">
        <f>IF(VLOOKUP($A123,Sheet1!$A$3:$AW$699,18,FALSE)="","",VLOOKUP($A123,Sheet1!$A$3:$AW$699,18,FALSE))</f>
        <v/>
      </c>
      <c r="H123" s="142" t="str">
        <f>IF(VLOOKUP($A123,Sheet1!$A$3:$AW$699,19,FALSE)="","",VLOOKUP($A123,Sheet1!$A$3:$AW$699,19,FALSE))</f>
        <v/>
      </c>
      <c r="I123" s="9" t="str">
        <f>IF(VLOOKUP($A123,Sheet1!$A$3:$AW$699,5,FALSE)="","",VLOOKUP($A123,Sheet1!$A$3:$AW$699,5,FALSE))</f>
        <v>UDINT</v>
      </c>
      <c r="J123" s="8" t="s">
        <v>654</v>
      </c>
      <c r="K123" s="9" t="s">
        <v>655</v>
      </c>
      <c r="L123" s="146" t="str">
        <f>IF(VLOOKUP($A123,Sheet1!$A$3:$AW$699,7,FALSE)="★","x","")</f>
        <v/>
      </c>
      <c r="M123" s="146" t="str">
        <f>IF(VLOOKUP($A123,Sheet1!$A$3:$AW$699,8,FALSE)="▲","x","")</f>
        <v/>
      </c>
      <c r="N123" s="146" t="str">
        <f>IF(VLOOKUP($A123,Sheet1!$A$3:$AW$699,9,FALSE)="●","x","")</f>
        <v/>
      </c>
      <c r="O123" s="146" t="str">
        <f>IF(VLOOKUP($A123,Sheet1!$A$3:$AW$699,10,FALSE)="■","x","")</f>
        <v/>
      </c>
      <c r="P123" s="9" t="str">
        <f>IF(VLOOKUP($A123,Sheet1!$A$3:$AW$699,2,FALSE)="","",VLOOKUP($A123,Sheet1!$A$3:$AW$699,2,FALSE))</f>
        <v>P6.000</v>
      </c>
    </row>
    <row r="124" spans="1:16" ht="20.399999999999999" x14ac:dyDescent="0.3">
      <c r="A124" s="9">
        <v>398</v>
      </c>
      <c r="B124" s="9" t="str">
        <f>IF(VLOOKUP($A124,Sheet1!$A$3:$AW$699,20,FALSE)="","",VLOOKUP($A124,Sheet1!$A$3:$AW$699,20,FALSE))</f>
        <v>HomePosition</v>
      </c>
      <c r="C124" s="9" t="str">
        <f>IF(VLOOKUP($A124,Sheet1!$A$3:$AW$699,25,FALSE)="","",VLOOKUP($A124,Sheet1!$A$3:$AW$699,25,FALSE))</f>
        <v>PR/IO</v>
      </c>
      <c r="D124" s="142">
        <f>IF(VLOOKUP($A124,Sheet1!$A$3:$AW$699,15,FALSE)="","",VLOOKUP($A124,Sheet1!$A$3:$AW$699,15,FALSE))</f>
        <v>-2147483648</v>
      </c>
      <c r="E124" s="142">
        <f>IF(VLOOKUP($A124,Sheet1!$A$3:$AW$699,16,FALSE)="","",VLOOKUP($A124,Sheet1!$A$3:$AW$699,16,FALSE))</f>
        <v>2147483647</v>
      </c>
      <c r="F124" s="142">
        <f>IF(VLOOKUP($A124,Sheet1!$A$3:$AW$699,17,FALSE)="","",VLOOKUP($A124,Sheet1!$A$3:$AW$699,17,FALSE))</f>
        <v>0</v>
      </c>
      <c r="G124" s="142" t="str">
        <f>IF(VLOOKUP($A124,Sheet1!$A$3:$AW$699,18,FALSE)="","",VLOOKUP($A124,Sheet1!$A$3:$AW$699,18,FALSE))</f>
        <v/>
      </c>
      <c r="H124" s="142" t="str">
        <f>IF(VLOOKUP($A124,Sheet1!$A$3:$AW$699,19,FALSE)="","",VLOOKUP($A124,Sheet1!$A$3:$AW$699,19,FALSE))</f>
        <v/>
      </c>
      <c r="I124" s="9" t="str">
        <f>IF(VLOOKUP($A124,Sheet1!$A$3:$AW$699,5,FALSE)="","",VLOOKUP($A124,Sheet1!$A$3:$AW$699,5,FALSE))</f>
        <v>DINT</v>
      </c>
      <c r="J124" s="17" t="s">
        <v>656</v>
      </c>
      <c r="K124" s="9" t="s">
        <v>655</v>
      </c>
      <c r="L124" s="146" t="str">
        <f>IF(VLOOKUP($A124,Sheet1!$A$3:$AW$699,7,FALSE)="★","x","")</f>
        <v/>
      </c>
      <c r="M124" s="146" t="str">
        <f>IF(VLOOKUP($A124,Sheet1!$A$3:$AW$699,8,FALSE)="▲","x","")</f>
        <v/>
      </c>
      <c r="N124" s="146" t="str">
        <f>IF(VLOOKUP($A124,Sheet1!$A$3:$AW$699,9,FALSE)="●","x","")</f>
        <v/>
      </c>
      <c r="O124" s="146" t="str">
        <f>IF(VLOOKUP($A124,Sheet1!$A$3:$AW$699,10,FALSE)="■","x","")</f>
        <v/>
      </c>
      <c r="P124" s="9" t="str">
        <f>IF(VLOOKUP($A124,Sheet1!$A$3:$AW$699,2,FALSE)="","",VLOOKUP($A124,Sheet1!$A$3:$AW$699,2,FALSE))</f>
        <v>P6.001</v>
      </c>
    </row>
    <row r="125" spans="1:16" ht="51" x14ac:dyDescent="0.3">
      <c r="A125" s="9">
        <v>399</v>
      </c>
      <c r="B125" s="9" t="str">
        <f>IF(VLOOKUP($A125,Sheet1!$A$3:$AW$699,20,FALSE)="","",VLOOKUP($A125,Sheet1!$A$3:$AW$699,20,FALSE))</f>
        <v>PRCmd1Setting</v>
      </c>
      <c r="C125" s="9" t="str">
        <f>IF(VLOOKUP($A125,Sheet1!$A$3:$AW$699,25,FALSE)="","",VLOOKUP($A125,Sheet1!$A$3:$AW$699,25,FALSE))</f>
        <v>PR/IO</v>
      </c>
      <c r="D125" s="142" t="str">
        <f>IF(VLOOKUP($A125,Sheet1!$A$3:$AW$699,15,FALSE)="","",VLOOKUP($A125,Sheet1!$A$3:$AW$699,15,FALSE))</f>
        <v>0x00000000</v>
      </c>
      <c r="E125" s="142" t="str">
        <f>IF(VLOOKUP($A125,Sheet1!$A$3:$AW$699,16,FALSE)="","",VLOOKUP($A125,Sheet1!$A$3:$AW$699,16,FALSE))</f>
        <v>0xFFFFFFFF</v>
      </c>
      <c r="F125" s="142" t="str">
        <f>IF(VLOOKUP($A125,Sheet1!$A$3:$AW$699,17,FALSE)="","",VLOOKUP($A125,Sheet1!$A$3:$AW$699,17,FALSE))</f>
        <v>0x00000000</v>
      </c>
      <c r="G125" s="142" t="str">
        <f>IF(VLOOKUP($A125,Sheet1!$A$3:$AW$699,18,FALSE)="","",VLOOKUP($A125,Sheet1!$A$3:$AW$699,18,FALSE))</f>
        <v/>
      </c>
      <c r="H125" s="142" t="str">
        <f>IF(VLOOKUP($A125,Sheet1!$A$3:$AW$699,19,FALSE)="","",VLOOKUP($A125,Sheet1!$A$3:$AW$699,19,FALSE))</f>
        <v/>
      </c>
      <c r="I125" s="9" t="str">
        <f>IF(VLOOKUP($A125,Sheet1!$A$3:$AW$699,5,FALSE)="","",VLOOKUP($A125,Sheet1!$A$3:$AW$699,5,FALSE))</f>
        <v>UDINT</v>
      </c>
      <c r="J125" s="24" t="s">
        <v>657</v>
      </c>
      <c r="K125" s="9" t="s">
        <v>658</v>
      </c>
      <c r="L125" s="146" t="str">
        <f>IF(VLOOKUP($A125,Sheet1!$A$3:$AW$699,7,FALSE)="★","x","")</f>
        <v/>
      </c>
      <c r="M125" s="146" t="str">
        <f>IF(VLOOKUP($A125,Sheet1!$A$3:$AW$699,8,FALSE)="▲","x","")</f>
        <v/>
      </c>
      <c r="N125" s="146" t="str">
        <f>IF(VLOOKUP($A125,Sheet1!$A$3:$AW$699,9,FALSE)="●","x","")</f>
        <v/>
      </c>
      <c r="O125" s="146" t="str">
        <f>IF(VLOOKUP($A125,Sheet1!$A$3:$AW$699,10,FALSE)="■","x","")</f>
        <v/>
      </c>
      <c r="P125" s="9" t="str">
        <f>IF(VLOOKUP($A125,Sheet1!$A$3:$AW$699,2,FALSE)="","",VLOOKUP($A125,Sheet1!$A$3:$AW$699,2,FALSE))</f>
        <v>P6.002</v>
      </c>
    </row>
    <row r="126" spans="1:16" ht="51" x14ac:dyDescent="0.3">
      <c r="A126" s="9">
        <v>400</v>
      </c>
      <c r="B126" s="9" t="str">
        <f>IF(VLOOKUP($A126,Sheet1!$A$3:$AW$699,20,FALSE)="","",VLOOKUP($A126,Sheet1!$A$3:$AW$699,20,FALSE))</f>
        <v>PRCmd1Data</v>
      </c>
      <c r="C126" s="9" t="str">
        <f>IF(VLOOKUP($A126,Sheet1!$A$3:$AW$699,25,FALSE)="","",VLOOKUP($A126,Sheet1!$A$3:$AW$699,25,FALSE))</f>
        <v>PR/IO</v>
      </c>
      <c r="D126" s="142">
        <f>IF(VLOOKUP($A126,Sheet1!$A$3:$AW$699,15,FALSE)="","",VLOOKUP($A126,Sheet1!$A$3:$AW$699,15,FALSE))</f>
        <v>-2147483648</v>
      </c>
      <c r="E126" s="142">
        <f>IF(VLOOKUP($A126,Sheet1!$A$3:$AW$699,16,FALSE)="","",VLOOKUP($A126,Sheet1!$A$3:$AW$699,16,FALSE))</f>
        <v>2147483647</v>
      </c>
      <c r="F126" s="142">
        <f>IF(VLOOKUP($A126,Sheet1!$A$3:$AW$699,17,FALSE)="","",VLOOKUP($A126,Sheet1!$A$3:$AW$699,17,FALSE))</f>
        <v>0</v>
      </c>
      <c r="G126" s="142" t="str">
        <f>IF(VLOOKUP($A126,Sheet1!$A$3:$AW$699,18,FALSE)="","",VLOOKUP($A126,Sheet1!$A$3:$AW$699,18,FALSE))</f>
        <v/>
      </c>
      <c r="H126" s="142" t="str">
        <f>IF(VLOOKUP($A126,Sheet1!$A$3:$AW$699,19,FALSE)="","",VLOOKUP($A126,Sheet1!$A$3:$AW$699,19,FALSE))</f>
        <v/>
      </c>
      <c r="I126" s="9" t="str">
        <f>IF(VLOOKUP($A126,Sheet1!$A$3:$AW$699,5,FALSE)="","",VLOOKUP($A126,Sheet1!$A$3:$AW$699,5,FALSE))</f>
        <v>DINT</v>
      </c>
      <c r="J126" s="8" t="s">
        <v>659</v>
      </c>
      <c r="K126" s="9" t="s">
        <v>658</v>
      </c>
      <c r="L126" s="146" t="str">
        <f>IF(VLOOKUP($A126,Sheet1!$A$3:$AW$699,7,FALSE)="★","x","")</f>
        <v/>
      </c>
      <c r="M126" s="146" t="str">
        <f>IF(VLOOKUP($A126,Sheet1!$A$3:$AW$699,8,FALSE)="▲","x","")</f>
        <v/>
      </c>
      <c r="N126" s="146" t="str">
        <f>IF(VLOOKUP($A126,Sheet1!$A$3:$AW$699,9,FALSE)="●","x","")</f>
        <v/>
      </c>
      <c r="O126" s="146" t="str">
        <f>IF(VLOOKUP($A126,Sheet1!$A$3:$AW$699,10,FALSE)="■","x","")</f>
        <v/>
      </c>
      <c r="P126" s="9" t="str">
        <f>IF(VLOOKUP($A126,Sheet1!$A$3:$AW$699,2,FALSE)="","",VLOOKUP($A126,Sheet1!$A$3:$AW$699,2,FALSE))</f>
        <v>P6.003</v>
      </c>
    </row>
    <row r="127" spans="1:16" ht="20.399999999999999" x14ac:dyDescent="0.3">
      <c r="A127" s="9">
        <v>401</v>
      </c>
      <c r="B127" s="9" t="str">
        <f>IF(VLOOKUP($A127,Sheet1!$A$3:$AW$699,20,FALSE)="","",VLOOKUP($A127,Sheet1!$A$3:$AW$699,20,FALSE))</f>
        <v>PRCmd2Setting</v>
      </c>
      <c r="C127" s="9" t="str">
        <f>IF(VLOOKUP($A127,Sheet1!$A$3:$AW$699,25,FALSE)="","",VLOOKUP($A127,Sheet1!$A$3:$AW$699,25,FALSE))</f>
        <v>PR/IO</v>
      </c>
      <c r="D127" s="142" t="str">
        <f>IF(VLOOKUP($A127,Sheet1!$A$3:$AW$699,15,FALSE)="","",VLOOKUP($A127,Sheet1!$A$3:$AW$699,15,FALSE))</f>
        <v>0x00000000</v>
      </c>
      <c r="E127" s="142" t="str">
        <f>IF(VLOOKUP($A127,Sheet1!$A$3:$AW$699,16,FALSE)="","",VLOOKUP($A127,Sheet1!$A$3:$AW$699,16,FALSE))</f>
        <v>0xFFFFFFFF</v>
      </c>
      <c r="F127" s="142" t="str">
        <f>IF(VLOOKUP($A127,Sheet1!$A$3:$AW$699,17,FALSE)="","",VLOOKUP($A127,Sheet1!$A$3:$AW$699,17,FALSE))</f>
        <v>0x00000000</v>
      </c>
      <c r="G127" s="142" t="str">
        <f>IF(VLOOKUP($A127,Sheet1!$A$3:$AW$699,18,FALSE)="","",VLOOKUP($A127,Sheet1!$A$3:$AW$699,18,FALSE))</f>
        <v/>
      </c>
      <c r="H127" s="142" t="str">
        <f>IF(VLOOKUP($A127,Sheet1!$A$3:$AW$699,19,FALSE)="","",VLOOKUP($A127,Sheet1!$A$3:$AW$699,19,FALSE))</f>
        <v/>
      </c>
      <c r="I127" s="9" t="str">
        <f>IF(VLOOKUP($A127,Sheet1!$A$3:$AW$699,5,FALSE)="","",VLOOKUP($A127,Sheet1!$A$3:$AW$699,5,FALSE))</f>
        <v>UDINT</v>
      </c>
      <c r="J127" s="23" t="s">
        <v>660</v>
      </c>
      <c r="K127" s="9" t="s">
        <v>658</v>
      </c>
      <c r="L127" s="146" t="str">
        <f>IF(VLOOKUP($A127,Sheet1!$A$3:$AW$699,7,FALSE)="★","x","")</f>
        <v/>
      </c>
      <c r="M127" s="146" t="str">
        <f>IF(VLOOKUP($A127,Sheet1!$A$3:$AW$699,8,FALSE)="▲","x","")</f>
        <v/>
      </c>
      <c r="N127" s="146" t="str">
        <f>IF(VLOOKUP($A127,Sheet1!$A$3:$AW$699,9,FALSE)="●","x","")</f>
        <v/>
      </c>
      <c r="O127" s="146" t="str">
        <f>IF(VLOOKUP($A127,Sheet1!$A$3:$AW$699,10,FALSE)="■","x","")</f>
        <v/>
      </c>
      <c r="P127" s="9" t="str">
        <f>IF(VLOOKUP($A127,Sheet1!$A$3:$AW$699,2,FALSE)="","",VLOOKUP($A127,Sheet1!$A$3:$AW$699,2,FALSE))</f>
        <v>P6.004</v>
      </c>
    </row>
    <row r="128" spans="1:16" ht="20.399999999999999" x14ac:dyDescent="0.3">
      <c r="A128" s="9">
        <v>402</v>
      </c>
      <c r="B128" s="9" t="str">
        <f>IF(VLOOKUP($A128,Sheet1!$A$3:$AW$699,20,FALSE)="","",VLOOKUP($A128,Sheet1!$A$3:$AW$699,20,FALSE))</f>
        <v>PRCmd2Data</v>
      </c>
      <c r="C128" s="9" t="str">
        <f>IF(VLOOKUP($A128,Sheet1!$A$3:$AW$699,25,FALSE)="","",VLOOKUP($A128,Sheet1!$A$3:$AW$699,25,FALSE))</f>
        <v>PR/IO</v>
      </c>
      <c r="D128" s="142">
        <f>IF(VLOOKUP($A128,Sheet1!$A$3:$AW$699,15,FALSE)="","",VLOOKUP($A128,Sheet1!$A$3:$AW$699,15,FALSE))</f>
        <v>-2147483648</v>
      </c>
      <c r="E128" s="142">
        <f>IF(VLOOKUP($A128,Sheet1!$A$3:$AW$699,16,FALSE)="","",VLOOKUP($A128,Sheet1!$A$3:$AW$699,16,FALSE))</f>
        <v>2147483647</v>
      </c>
      <c r="F128" s="142">
        <f>IF(VLOOKUP($A128,Sheet1!$A$3:$AW$699,17,FALSE)="","",VLOOKUP($A128,Sheet1!$A$3:$AW$699,17,FALSE))</f>
        <v>0</v>
      </c>
      <c r="G128" s="142" t="str">
        <f>IF(VLOOKUP($A128,Sheet1!$A$3:$AW$699,18,FALSE)="","",VLOOKUP($A128,Sheet1!$A$3:$AW$699,18,FALSE))</f>
        <v/>
      </c>
      <c r="H128" s="142" t="str">
        <f>IF(VLOOKUP($A128,Sheet1!$A$3:$AW$699,19,FALSE)="","",VLOOKUP($A128,Sheet1!$A$3:$AW$699,19,FALSE))</f>
        <v/>
      </c>
      <c r="I128" s="9" t="str">
        <f>IF(VLOOKUP($A128,Sheet1!$A$3:$AW$699,5,FALSE)="","",VLOOKUP($A128,Sheet1!$A$3:$AW$699,5,FALSE))</f>
        <v>DINT</v>
      </c>
      <c r="J128" s="23" t="s">
        <v>661</v>
      </c>
      <c r="K128" s="9" t="s">
        <v>658</v>
      </c>
      <c r="L128" s="146" t="str">
        <f>IF(VLOOKUP($A128,Sheet1!$A$3:$AW$699,7,FALSE)="★","x","")</f>
        <v/>
      </c>
      <c r="M128" s="146" t="str">
        <f>IF(VLOOKUP($A128,Sheet1!$A$3:$AW$699,8,FALSE)="▲","x","")</f>
        <v/>
      </c>
      <c r="N128" s="146" t="str">
        <f>IF(VLOOKUP($A128,Sheet1!$A$3:$AW$699,9,FALSE)="●","x","")</f>
        <v/>
      </c>
      <c r="O128" s="146" t="str">
        <f>IF(VLOOKUP($A128,Sheet1!$A$3:$AW$699,10,FALSE)="■","x","")</f>
        <v/>
      </c>
      <c r="P128" s="9" t="str">
        <f>IF(VLOOKUP($A128,Sheet1!$A$3:$AW$699,2,FALSE)="","",VLOOKUP($A128,Sheet1!$A$3:$AW$699,2,FALSE))</f>
        <v>P6.005</v>
      </c>
    </row>
    <row r="129" spans="1:16" ht="20.399999999999999" x14ac:dyDescent="0.3">
      <c r="A129" s="9">
        <v>403</v>
      </c>
      <c r="B129" s="9" t="str">
        <f>IF(VLOOKUP($A129,Sheet1!$A$3:$AW$699,20,FALSE)="","",VLOOKUP($A129,Sheet1!$A$3:$AW$699,20,FALSE))</f>
        <v>PRCmd3Setting</v>
      </c>
      <c r="C129" s="9" t="str">
        <f>IF(VLOOKUP($A129,Sheet1!$A$3:$AW$699,25,FALSE)="","",VLOOKUP($A129,Sheet1!$A$3:$AW$699,25,FALSE))</f>
        <v>PR/IO</v>
      </c>
      <c r="D129" s="142" t="str">
        <f>IF(VLOOKUP($A129,Sheet1!$A$3:$AW$699,15,FALSE)="","",VLOOKUP($A129,Sheet1!$A$3:$AW$699,15,FALSE))</f>
        <v>0x00000000</v>
      </c>
      <c r="E129" s="142" t="str">
        <f>IF(VLOOKUP($A129,Sheet1!$A$3:$AW$699,16,FALSE)="","",VLOOKUP($A129,Sheet1!$A$3:$AW$699,16,FALSE))</f>
        <v>0xFFFFFFFF</v>
      </c>
      <c r="F129" s="142" t="str">
        <f>IF(VLOOKUP($A129,Sheet1!$A$3:$AW$699,17,FALSE)="","",VLOOKUP($A129,Sheet1!$A$3:$AW$699,17,FALSE))</f>
        <v>0x00000000</v>
      </c>
      <c r="G129" s="142" t="str">
        <f>IF(VLOOKUP($A129,Sheet1!$A$3:$AW$699,18,FALSE)="","",VLOOKUP($A129,Sheet1!$A$3:$AW$699,18,FALSE))</f>
        <v/>
      </c>
      <c r="H129" s="142" t="str">
        <f>IF(VLOOKUP($A129,Sheet1!$A$3:$AW$699,19,FALSE)="","",VLOOKUP($A129,Sheet1!$A$3:$AW$699,19,FALSE))</f>
        <v/>
      </c>
      <c r="I129" s="9" t="str">
        <f>IF(VLOOKUP($A129,Sheet1!$A$3:$AW$699,5,FALSE)="","",VLOOKUP($A129,Sheet1!$A$3:$AW$699,5,FALSE))</f>
        <v>UDINT</v>
      </c>
      <c r="J129" s="23" t="s">
        <v>662</v>
      </c>
      <c r="K129" s="9" t="s">
        <v>658</v>
      </c>
      <c r="L129" s="146" t="str">
        <f>IF(VLOOKUP($A129,Sheet1!$A$3:$AW$699,7,FALSE)="★","x","")</f>
        <v/>
      </c>
      <c r="M129" s="146" t="str">
        <f>IF(VLOOKUP($A129,Sheet1!$A$3:$AW$699,8,FALSE)="▲","x","")</f>
        <v/>
      </c>
      <c r="N129" s="146" t="str">
        <f>IF(VLOOKUP($A129,Sheet1!$A$3:$AW$699,9,FALSE)="●","x","")</f>
        <v/>
      </c>
      <c r="O129" s="146" t="str">
        <f>IF(VLOOKUP($A129,Sheet1!$A$3:$AW$699,10,FALSE)="■","x","")</f>
        <v/>
      </c>
      <c r="P129" s="9" t="str">
        <f>IF(VLOOKUP($A129,Sheet1!$A$3:$AW$699,2,FALSE)="","",VLOOKUP($A129,Sheet1!$A$3:$AW$699,2,FALSE))</f>
        <v>P6.006</v>
      </c>
    </row>
    <row r="130" spans="1:16" ht="20.399999999999999" x14ac:dyDescent="0.3">
      <c r="A130" s="9">
        <v>404</v>
      </c>
      <c r="B130" s="9" t="str">
        <f>IF(VLOOKUP($A130,Sheet1!$A$3:$AW$699,20,FALSE)="","",VLOOKUP($A130,Sheet1!$A$3:$AW$699,20,FALSE))</f>
        <v>PRCmd3Data</v>
      </c>
      <c r="C130" s="9" t="str">
        <f>IF(VLOOKUP($A130,Sheet1!$A$3:$AW$699,25,FALSE)="","",VLOOKUP($A130,Sheet1!$A$3:$AW$699,25,FALSE))</f>
        <v>PR/IO</v>
      </c>
      <c r="D130" s="142">
        <f>IF(VLOOKUP($A130,Sheet1!$A$3:$AW$699,15,FALSE)="","",VLOOKUP($A130,Sheet1!$A$3:$AW$699,15,FALSE))</f>
        <v>-2147483648</v>
      </c>
      <c r="E130" s="142">
        <f>IF(VLOOKUP($A130,Sheet1!$A$3:$AW$699,16,FALSE)="","",VLOOKUP($A130,Sheet1!$A$3:$AW$699,16,FALSE))</f>
        <v>2147483647</v>
      </c>
      <c r="F130" s="142">
        <f>IF(VLOOKUP($A130,Sheet1!$A$3:$AW$699,17,FALSE)="","",VLOOKUP($A130,Sheet1!$A$3:$AW$699,17,FALSE))</f>
        <v>0</v>
      </c>
      <c r="G130" s="142" t="str">
        <f>IF(VLOOKUP($A130,Sheet1!$A$3:$AW$699,18,FALSE)="","",VLOOKUP($A130,Sheet1!$A$3:$AW$699,18,FALSE))</f>
        <v/>
      </c>
      <c r="H130" s="142" t="str">
        <f>IF(VLOOKUP($A130,Sheet1!$A$3:$AW$699,19,FALSE)="","",VLOOKUP($A130,Sheet1!$A$3:$AW$699,19,FALSE))</f>
        <v/>
      </c>
      <c r="I130" s="9" t="str">
        <f>IF(VLOOKUP($A130,Sheet1!$A$3:$AW$699,5,FALSE)="","",VLOOKUP($A130,Sheet1!$A$3:$AW$699,5,FALSE))</f>
        <v>DINT</v>
      </c>
      <c r="J130" s="23" t="s">
        <v>663</v>
      </c>
      <c r="K130" s="9" t="s">
        <v>658</v>
      </c>
      <c r="L130" s="146" t="str">
        <f>IF(VLOOKUP($A130,Sheet1!$A$3:$AW$699,7,FALSE)="★","x","")</f>
        <v/>
      </c>
      <c r="M130" s="146" t="str">
        <f>IF(VLOOKUP($A130,Sheet1!$A$3:$AW$699,8,FALSE)="▲","x","")</f>
        <v/>
      </c>
      <c r="N130" s="146" t="str">
        <f>IF(VLOOKUP($A130,Sheet1!$A$3:$AW$699,9,FALSE)="●","x","")</f>
        <v/>
      </c>
      <c r="O130" s="146" t="str">
        <f>IF(VLOOKUP($A130,Sheet1!$A$3:$AW$699,10,FALSE)="■","x","")</f>
        <v/>
      </c>
      <c r="P130" s="9" t="str">
        <f>IF(VLOOKUP($A130,Sheet1!$A$3:$AW$699,2,FALSE)="","",VLOOKUP($A130,Sheet1!$A$3:$AW$699,2,FALSE))</f>
        <v>P6.007</v>
      </c>
    </row>
    <row r="131" spans="1:16" ht="20.399999999999999" x14ac:dyDescent="0.3">
      <c r="A131" s="9">
        <v>405</v>
      </c>
      <c r="B131" s="9" t="str">
        <f>IF(VLOOKUP($A131,Sheet1!$A$3:$AW$699,20,FALSE)="","",VLOOKUP($A131,Sheet1!$A$3:$AW$699,20,FALSE))</f>
        <v>PRCmd4Setting</v>
      </c>
      <c r="C131" s="9" t="str">
        <f>IF(VLOOKUP($A131,Sheet1!$A$3:$AW$699,25,FALSE)="","",VLOOKUP($A131,Sheet1!$A$3:$AW$699,25,FALSE))</f>
        <v>PR/IO</v>
      </c>
      <c r="D131" s="142" t="str">
        <f>IF(VLOOKUP($A131,Sheet1!$A$3:$AW$699,15,FALSE)="","",VLOOKUP($A131,Sheet1!$A$3:$AW$699,15,FALSE))</f>
        <v>0x00000000</v>
      </c>
      <c r="E131" s="142" t="str">
        <f>IF(VLOOKUP($A131,Sheet1!$A$3:$AW$699,16,FALSE)="","",VLOOKUP($A131,Sheet1!$A$3:$AW$699,16,FALSE))</f>
        <v>0xFFFFFFFF</v>
      </c>
      <c r="F131" s="142" t="str">
        <f>IF(VLOOKUP($A131,Sheet1!$A$3:$AW$699,17,FALSE)="","",VLOOKUP($A131,Sheet1!$A$3:$AW$699,17,FALSE))</f>
        <v>0x00000000</v>
      </c>
      <c r="G131" s="142" t="str">
        <f>IF(VLOOKUP($A131,Sheet1!$A$3:$AW$699,18,FALSE)="","",VLOOKUP($A131,Sheet1!$A$3:$AW$699,18,FALSE))</f>
        <v/>
      </c>
      <c r="H131" s="142" t="str">
        <f>IF(VLOOKUP($A131,Sheet1!$A$3:$AW$699,19,FALSE)="","",VLOOKUP($A131,Sheet1!$A$3:$AW$699,19,FALSE))</f>
        <v/>
      </c>
      <c r="I131" s="9" t="str">
        <f>IF(VLOOKUP($A131,Sheet1!$A$3:$AW$699,5,FALSE)="","",VLOOKUP($A131,Sheet1!$A$3:$AW$699,5,FALSE))</f>
        <v>UDINT</v>
      </c>
      <c r="J131" s="23" t="s">
        <v>664</v>
      </c>
      <c r="K131" s="9" t="s">
        <v>658</v>
      </c>
      <c r="L131" s="146" t="str">
        <f>IF(VLOOKUP($A131,Sheet1!$A$3:$AW$699,7,FALSE)="★","x","")</f>
        <v/>
      </c>
      <c r="M131" s="146" t="str">
        <f>IF(VLOOKUP($A131,Sheet1!$A$3:$AW$699,8,FALSE)="▲","x","")</f>
        <v/>
      </c>
      <c r="N131" s="146" t="str">
        <f>IF(VLOOKUP($A131,Sheet1!$A$3:$AW$699,9,FALSE)="●","x","")</f>
        <v/>
      </c>
      <c r="O131" s="146" t="str">
        <f>IF(VLOOKUP($A131,Sheet1!$A$3:$AW$699,10,FALSE)="■","x","")</f>
        <v/>
      </c>
      <c r="P131" s="9" t="str">
        <f>IF(VLOOKUP($A131,Sheet1!$A$3:$AW$699,2,FALSE)="","",VLOOKUP($A131,Sheet1!$A$3:$AW$699,2,FALSE))</f>
        <v>P6.008</v>
      </c>
    </row>
    <row r="132" spans="1:16" ht="20.399999999999999" x14ac:dyDescent="0.3">
      <c r="A132" s="9">
        <v>406</v>
      </c>
      <c r="B132" s="9" t="str">
        <f>IF(VLOOKUP($A132,Sheet1!$A$3:$AW$699,20,FALSE)="","",VLOOKUP($A132,Sheet1!$A$3:$AW$699,20,FALSE))</f>
        <v>PRCmd4Data</v>
      </c>
      <c r="C132" s="9" t="str">
        <f>IF(VLOOKUP($A132,Sheet1!$A$3:$AW$699,25,FALSE)="","",VLOOKUP($A132,Sheet1!$A$3:$AW$699,25,FALSE))</f>
        <v>PR/IO</v>
      </c>
      <c r="D132" s="142">
        <f>IF(VLOOKUP($A132,Sheet1!$A$3:$AW$699,15,FALSE)="","",VLOOKUP($A132,Sheet1!$A$3:$AW$699,15,FALSE))</f>
        <v>-2147483648</v>
      </c>
      <c r="E132" s="142">
        <f>IF(VLOOKUP($A132,Sheet1!$A$3:$AW$699,16,FALSE)="","",VLOOKUP($A132,Sheet1!$A$3:$AW$699,16,FALSE))</f>
        <v>2147483647</v>
      </c>
      <c r="F132" s="142">
        <f>IF(VLOOKUP($A132,Sheet1!$A$3:$AW$699,17,FALSE)="","",VLOOKUP($A132,Sheet1!$A$3:$AW$699,17,FALSE))</f>
        <v>0</v>
      </c>
      <c r="G132" s="142" t="str">
        <f>IF(VLOOKUP($A132,Sheet1!$A$3:$AW$699,18,FALSE)="","",VLOOKUP($A132,Sheet1!$A$3:$AW$699,18,FALSE))</f>
        <v/>
      </c>
      <c r="H132" s="142" t="str">
        <f>IF(VLOOKUP($A132,Sheet1!$A$3:$AW$699,19,FALSE)="","",VLOOKUP($A132,Sheet1!$A$3:$AW$699,19,FALSE))</f>
        <v/>
      </c>
      <c r="I132" s="9" t="str">
        <f>IF(VLOOKUP($A132,Sheet1!$A$3:$AW$699,5,FALSE)="","",VLOOKUP($A132,Sheet1!$A$3:$AW$699,5,FALSE))</f>
        <v>DINT</v>
      </c>
      <c r="J132" s="23" t="s">
        <v>665</v>
      </c>
      <c r="K132" s="9" t="s">
        <v>658</v>
      </c>
      <c r="L132" s="146" t="str">
        <f>IF(VLOOKUP($A132,Sheet1!$A$3:$AW$699,7,FALSE)="★","x","")</f>
        <v/>
      </c>
      <c r="M132" s="146" t="str">
        <f>IF(VLOOKUP($A132,Sheet1!$A$3:$AW$699,8,FALSE)="▲","x","")</f>
        <v/>
      </c>
      <c r="N132" s="146" t="str">
        <f>IF(VLOOKUP($A132,Sheet1!$A$3:$AW$699,9,FALSE)="●","x","")</f>
        <v/>
      </c>
      <c r="O132" s="146" t="str">
        <f>IF(VLOOKUP($A132,Sheet1!$A$3:$AW$699,10,FALSE)="■","x","")</f>
        <v/>
      </c>
      <c r="P132" s="9" t="str">
        <f>IF(VLOOKUP($A132,Sheet1!$A$3:$AW$699,2,FALSE)="","",VLOOKUP($A132,Sheet1!$A$3:$AW$699,2,FALSE))</f>
        <v>P6.009</v>
      </c>
    </row>
    <row r="133" spans="1:16" ht="20.399999999999999" x14ac:dyDescent="0.3">
      <c r="A133" s="9">
        <v>407</v>
      </c>
      <c r="B133" s="9" t="str">
        <f>IF(VLOOKUP($A133,Sheet1!$A$3:$AW$699,20,FALSE)="","",VLOOKUP($A133,Sheet1!$A$3:$AW$699,20,FALSE))</f>
        <v>PRCmd5Setting</v>
      </c>
      <c r="C133" s="9" t="str">
        <f>IF(VLOOKUP($A133,Sheet1!$A$3:$AW$699,25,FALSE)="","",VLOOKUP($A133,Sheet1!$A$3:$AW$699,25,FALSE))</f>
        <v>PR/IO</v>
      </c>
      <c r="D133" s="142" t="str">
        <f>IF(VLOOKUP($A133,Sheet1!$A$3:$AW$699,15,FALSE)="","",VLOOKUP($A133,Sheet1!$A$3:$AW$699,15,FALSE))</f>
        <v>0x00000000</v>
      </c>
      <c r="E133" s="142" t="str">
        <f>IF(VLOOKUP($A133,Sheet1!$A$3:$AW$699,16,FALSE)="","",VLOOKUP($A133,Sheet1!$A$3:$AW$699,16,FALSE))</f>
        <v>0xFFFFFFFF</v>
      </c>
      <c r="F133" s="142" t="str">
        <f>IF(VLOOKUP($A133,Sheet1!$A$3:$AW$699,17,FALSE)="","",VLOOKUP($A133,Sheet1!$A$3:$AW$699,17,FALSE))</f>
        <v>0x00000000</v>
      </c>
      <c r="G133" s="142" t="str">
        <f>IF(VLOOKUP($A133,Sheet1!$A$3:$AW$699,18,FALSE)="","",VLOOKUP($A133,Sheet1!$A$3:$AW$699,18,FALSE))</f>
        <v/>
      </c>
      <c r="H133" s="142" t="str">
        <f>IF(VLOOKUP($A133,Sheet1!$A$3:$AW$699,19,FALSE)="","",VLOOKUP($A133,Sheet1!$A$3:$AW$699,19,FALSE))</f>
        <v/>
      </c>
      <c r="I133" s="9" t="str">
        <f>IF(VLOOKUP($A133,Sheet1!$A$3:$AW$699,5,FALSE)="","",VLOOKUP($A133,Sheet1!$A$3:$AW$699,5,FALSE))</f>
        <v>UDINT</v>
      </c>
      <c r="J133" s="23" t="s">
        <v>666</v>
      </c>
      <c r="K133" s="9" t="s">
        <v>658</v>
      </c>
      <c r="L133" s="146" t="str">
        <f>IF(VLOOKUP($A133,Sheet1!$A$3:$AW$699,7,FALSE)="★","x","")</f>
        <v/>
      </c>
      <c r="M133" s="146" t="str">
        <f>IF(VLOOKUP($A133,Sheet1!$A$3:$AW$699,8,FALSE)="▲","x","")</f>
        <v/>
      </c>
      <c r="N133" s="146" t="str">
        <f>IF(VLOOKUP($A133,Sheet1!$A$3:$AW$699,9,FALSE)="●","x","")</f>
        <v/>
      </c>
      <c r="O133" s="146" t="str">
        <f>IF(VLOOKUP($A133,Sheet1!$A$3:$AW$699,10,FALSE)="■","x","")</f>
        <v/>
      </c>
      <c r="P133" s="9" t="str">
        <f>IF(VLOOKUP($A133,Sheet1!$A$3:$AW$699,2,FALSE)="","",VLOOKUP($A133,Sheet1!$A$3:$AW$699,2,FALSE))</f>
        <v>P6.010</v>
      </c>
    </row>
    <row r="134" spans="1:16" ht="20.399999999999999" x14ac:dyDescent="0.3">
      <c r="A134" s="9">
        <v>408</v>
      </c>
      <c r="B134" s="9" t="str">
        <f>IF(VLOOKUP($A134,Sheet1!$A$3:$AW$699,20,FALSE)="","",VLOOKUP($A134,Sheet1!$A$3:$AW$699,20,FALSE))</f>
        <v>PRCmd5Data</v>
      </c>
      <c r="C134" s="9" t="str">
        <f>IF(VLOOKUP($A134,Sheet1!$A$3:$AW$699,25,FALSE)="","",VLOOKUP($A134,Sheet1!$A$3:$AW$699,25,FALSE))</f>
        <v>PR/IO</v>
      </c>
      <c r="D134" s="142">
        <f>IF(VLOOKUP($A134,Sheet1!$A$3:$AW$699,15,FALSE)="","",VLOOKUP($A134,Sheet1!$A$3:$AW$699,15,FALSE))</f>
        <v>-2147483648</v>
      </c>
      <c r="E134" s="142">
        <f>IF(VLOOKUP($A134,Sheet1!$A$3:$AW$699,16,FALSE)="","",VLOOKUP($A134,Sheet1!$A$3:$AW$699,16,FALSE))</f>
        <v>2147483647</v>
      </c>
      <c r="F134" s="142">
        <f>IF(VLOOKUP($A134,Sheet1!$A$3:$AW$699,17,FALSE)="","",VLOOKUP($A134,Sheet1!$A$3:$AW$699,17,FALSE))</f>
        <v>0</v>
      </c>
      <c r="G134" s="142" t="str">
        <f>IF(VLOOKUP($A134,Sheet1!$A$3:$AW$699,18,FALSE)="","",VLOOKUP($A134,Sheet1!$A$3:$AW$699,18,FALSE))</f>
        <v/>
      </c>
      <c r="H134" s="142" t="str">
        <f>IF(VLOOKUP($A134,Sheet1!$A$3:$AW$699,19,FALSE)="","",VLOOKUP($A134,Sheet1!$A$3:$AW$699,19,FALSE))</f>
        <v/>
      </c>
      <c r="I134" s="9" t="str">
        <f>IF(VLOOKUP($A134,Sheet1!$A$3:$AW$699,5,FALSE)="","",VLOOKUP($A134,Sheet1!$A$3:$AW$699,5,FALSE))</f>
        <v>DINT</v>
      </c>
      <c r="J134" s="23" t="s">
        <v>667</v>
      </c>
      <c r="K134" s="9" t="s">
        <v>658</v>
      </c>
      <c r="L134" s="146" t="str">
        <f>IF(VLOOKUP($A134,Sheet1!$A$3:$AW$699,7,FALSE)="★","x","")</f>
        <v/>
      </c>
      <c r="M134" s="146" t="str">
        <f>IF(VLOOKUP($A134,Sheet1!$A$3:$AW$699,8,FALSE)="▲","x","")</f>
        <v/>
      </c>
      <c r="N134" s="146" t="str">
        <f>IF(VLOOKUP($A134,Sheet1!$A$3:$AW$699,9,FALSE)="●","x","")</f>
        <v/>
      </c>
      <c r="O134" s="146" t="str">
        <f>IF(VLOOKUP($A134,Sheet1!$A$3:$AW$699,10,FALSE)="■","x","")</f>
        <v/>
      </c>
      <c r="P134" s="9" t="str">
        <f>IF(VLOOKUP($A134,Sheet1!$A$3:$AW$699,2,FALSE)="","",VLOOKUP($A134,Sheet1!$A$3:$AW$699,2,FALSE))</f>
        <v>P6.011</v>
      </c>
    </row>
    <row r="135" spans="1:16" ht="20.399999999999999" x14ac:dyDescent="0.3">
      <c r="A135" s="9">
        <v>409</v>
      </c>
      <c r="B135" s="9" t="str">
        <f>IF(VLOOKUP($A135,Sheet1!$A$3:$AW$699,20,FALSE)="","",VLOOKUP($A135,Sheet1!$A$3:$AW$699,20,FALSE))</f>
        <v>PRCmd6Setting</v>
      </c>
      <c r="C135" s="9" t="str">
        <f>IF(VLOOKUP($A135,Sheet1!$A$3:$AW$699,25,FALSE)="","",VLOOKUP($A135,Sheet1!$A$3:$AW$699,25,FALSE))</f>
        <v>PR/IO</v>
      </c>
      <c r="D135" s="142" t="str">
        <f>IF(VLOOKUP($A135,Sheet1!$A$3:$AW$699,15,FALSE)="","",VLOOKUP($A135,Sheet1!$A$3:$AW$699,15,FALSE))</f>
        <v>0x00000000</v>
      </c>
      <c r="E135" s="142" t="str">
        <f>IF(VLOOKUP($A135,Sheet1!$A$3:$AW$699,16,FALSE)="","",VLOOKUP($A135,Sheet1!$A$3:$AW$699,16,FALSE))</f>
        <v>0xFFFFFFFF</v>
      </c>
      <c r="F135" s="142" t="str">
        <f>IF(VLOOKUP($A135,Sheet1!$A$3:$AW$699,17,FALSE)="","",VLOOKUP($A135,Sheet1!$A$3:$AW$699,17,FALSE))</f>
        <v>0x00000000</v>
      </c>
      <c r="G135" s="142" t="str">
        <f>IF(VLOOKUP($A135,Sheet1!$A$3:$AW$699,18,FALSE)="","",VLOOKUP($A135,Sheet1!$A$3:$AW$699,18,FALSE))</f>
        <v/>
      </c>
      <c r="H135" s="142" t="str">
        <f>IF(VLOOKUP($A135,Sheet1!$A$3:$AW$699,19,FALSE)="","",VLOOKUP($A135,Sheet1!$A$3:$AW$699,19,FALSE))</f>
        <v/>
      </c>
      <c r="I135" s="9" t="str">
        <f>IF(VLOOKUP($A135,Sheet1!$A$3:$AW$699,5,FALSE)="","",VLOOKUP($A135,Sheet1!$A$3:$AW$699,5,FALSE))</f>
        <v>UDINT</v>
      </c>
      <c r="J135" s="9" t="s">
        <v>668</v>
      </c>
      <c r="K135" s="9" t="s">
        <v>658</v>
      </c>
      <c r="L135" s="146" t="str">
        <f>IF(VLOOKUP($A135,Sheet1!$A$3:$AW$699,7,FALSE)="★","x","")</f>
        <v/>
      </c>
      <c r="M135" s="146" t="str">
        <f>IF(VLOOKUP($A135,Sheet1!$A$3:$AW$699,8,FALSE)="▲","x","")</f>
        <v/>
      </c>
      <c r="N135" s="146" t="str">
        <f>IF(VLOOKUP($A135,Sheet1!$A$3:$AW$699,9,FALSE)="●","x","")</f>
        <v/>
      </c>
      <c r="O135" s="146" t="str">
        <f>IF(VLOOKUP($A135,Sheet1!$A$3:$AW$699,10,FALSE)="■","x","")</f>
        <v/>
      </c>
      <c r="P135" s="9" t="str">
        <f>IF(VLOOKUP($A135,Sheet1!$A$3:$AW$699,2,FALSE)="","",VLOOKUP($A135,Sheet1!$A$3:$AW$699,2,FALSE))</f>
        <v>P6.012</v>
      </c>
    </row>
    <row r="136" spans="1:16" ht="20.399999999999999" x14ac:dyDescent="0.3">
      <c r="A136" s="9">
        <v>410</v>
      </c>
      <c r="B136" s="9" t="str">
        <f>IF(VLOOKUP($A136,Sheet1!$A$3:$AW$699,20,FALSE)="","",VLOOKUP($A136,Sheet1!$A$3:$AW$699,20,FALSE))</f>
        <v>PRCmd6Data</v>
      </c>
      <c r="C136" s="9" t="str">
        <f>IF(VLOOKUP($A136,Sheet1!$A$3:$AW$699,25,FALSE)="","",VLOOKUP($A136,Sheet1!$A$3:$AW$699,25,FALSE))</f>
        <v>PR/IO</v>
      </c>
      <c r="D136" s="142">
        <f>IF(VLOOKUP($A136,Sheet1!$A$3:$AW$699,15,FALSE)="","",VLOOKUP($A136,Sheet1!$A$3:$AW$699,15,FALSE))</f>
        <v>-2147483648</v>
      </c>
      <c r="E136" s="142">
        <f>IF(VLOOKUP($A136,Sheet1!$A$3:$AW$699,16,FALSE)="","",VLOOKUP($A136,Sheet1!$A$3:$AW$699,16,FALSE))</f>
        <v>2147483647</v>
      </c>
      <c r="F136" s="142">
        <f>IF(VLOOKUP($A136,Sheet1!$A$3:$AW$699,17,FALSE)="","",VLOOKUP($A136,Sheet1!$A$3:$AW$699,17,FALSE))</f>
        <v>0</v>
      </c>
      <c r="G136" s="142" t="str">
        <f>IF(VLOOKUP($A136,Sheet1!$A$3:$AW$699,18,FALSE)="","",VLOOKUP($A136,Sheet1!$A$3:$AW$699,18,FALSE))</f>
        <v/>
      </c>
      <c r="H136" s="142" t="str">
        <f>IF(VLOOKUP($A136,Sheet1!$A$3:$AW$699,19,FALSE)="","",VLOOKUP($A136,Sheet1!$A$3:$AW$699,19,FALSE))</f>
        <v/>
      </c>
      <c r="I136" s="9" t="str">
        <f>IF(VLOOKUP($A136,Sheet1!$A$3:$AW$699,5,FALSE)="","",VLOOKUP($A136,Sheet1!$A$3:$AW$699,5,FALSE))</f>
        <v>DINT</v>
      </c>
      <c r="J136" s="9" t="s">
        <v>669</v>
      </c>
      <c r="K136" s="9" t="s">
        <v>658</v>
      </c>
      <c r="L136" s="146" t="str">
        <f>IF(VLOOKUP($A136,Sheet1!$A$3:$AW$699,7,FALSE)="★","x","")</f>
        <v/>
      </c>
      <c r="M136" s="146" t="str">
        <f>IF(VLOOKUP($A136,Sheet1!$A$3:$AW$699,8,FALSE)="▲","x","")</f>
        <v/>
      </c>
      <c r="N136" s="146" t="str">
        <f>IF(VLOOKUP($A136,Sheet1!$A$3:$AW$699,9,FALSE)="●","x","")</f>
        <v/>
      </c>
      <c r="O136" s="146" t="str">
        <f>IF(VLOOKUP($A136,Sheet1!$A$3:$AW$699,10,FALSE)="■","x","")</f>
        <v/>
      </c>
      <c r="P136" s="9" t="str">
        <f>IF(VLOOKUP($A136,Sheet1!$A$3:$AW$699,2,FALSE)="","",VLOOKUP($A136,Sheet1!$A$3:$AW$699,2,FALSE))</f>
        <v>P6.013</v>
      </c>
    </row>
    <row r="137" spans="1:16" ht="20.399999999999999" x14ac:dyDescent="0.3">
      <c r="A137" s="9">
        <v>411</v>
      </c>
      <c r="B137" s="9" t="str">
        <f>IF(VLOOKUP($A137,Sheet1!$A$3:$AW$699,20,FALSE)="","",VLOOKUP($A137,Sheet1!$A$3:$AW$699,20,FALSE))</f>
        <v>PRCmd7Setting</v>
      </c>
      <c r="C137" s="9" t="str">
        <f>IF(VLOOKUP($A137,Sheet1!$A$3:$AW$699,25,FALSE)="","",VLOOKUP($A137,Sheet1!$A$3:$AW$699,25,FALSE))</f>
        <v>PR/IO</v>
      </c>
      <c r="D137" s="142" t="str">
        <f>IF(VLOOKUP($A137,Sheet1!$A$3:$AW$699,15,FALSE)="","",VLOOKUP($A137,Sheet1!$A$3:$AW$699,15,FALSE))</f>
        <v>0x00000000</v>
      </c>
      <c r="E137" s="142" t="str">
        <f>IF(VLOOKUP($A137,Sheet1!$A$3:$AW$699,16,FALSE)="","",VLOOKUP($A137,Sheet1!$A$3:$AW$699,16,FALSE))</f>
        <v>0xFFFFFFFF</v>
      </c>
      <c r="F137" s="142" t="str">
        <f>IF(VLOOKUP($A137,Sheet1!$A$3:$AW$699,17,FALSE)="","",VLOOKUP($A137,Sheet1!$A$3:$AW$699,17,FALSE))</f>
        <v>0x00000000</v>
      </c>
      <c r="G137" s="142" t="str">
        <f>IF(VLOOKUP($A137,Sheet1!$A$3:$AW$699,18,FALSE)="","",VLOOKUP($A137,Sheet1!$A$3:$AW$699,18,FALSE))</f>
        <v/>
      </c>
      <c r="H137" s="142" t="str">
        <f>IF(VLOOKUP($A137,Sheet1!$A$3:$AW$699,19,FALSE)="","",VLOOKUP($A137,Sheet1!$A$3:$AW$699,19,FALSE))</f>
        <v/>
      </c>
      <c r="I137" s="9" t="str">
        <f>IF(VLOOKUP($A137,Sheet1!$A$3:$AW$699,5,FALSE)="","",VLOOKUP($A137,Sheet1!$A$3:$AW$699,5,FALSE))</f>
        <v>UDINT</v>
      </c>
      <c r="J137" s="9" t="s">
        <v>670</v>
      </c>
      <c r="K137" s="9" t="s">
        <v>658</v>
      </c>
      <c r="L137" s="146" t="str">
        <f>IF(VLOOKUP($A137,Sheet1!$A$3:$AW$699,7,FALSE)="★","x","")</f>
        <v/>
      </c>
      <c r="M137" s="146" t="str">
        <f>IF(VLOOKUP($A137,Sheet1!$A$3:$AW$699,8,FALSE)="▲","x","")</f>
        <v/>
      </c>
      <c r="N137" s="146" t="str">
        <f>IF(VLOOKUP($A137,Sheet1!$A$3:$AW$699,9,FALSE)="●","x","")</f>
        <v/>
      </c>
      <c r="O137" s="146" t="str">
        <f>IF(VLOOKUP($A137,Sheet1!$A$3:$AW$699,10,FALSE)="■","x","")</f>
        <v/>
      </c>
      <c r="P137" s="9" t="str">
        <f>IF(VLOOKUP($A137,Sheet1!$A$3:$AW$699,2,FALSE)="","",VLOOKUP($A137,Sheet1!$A$3:$AW$699,2,FALSE))</f>
        <v>P6.014</v>
      </c>
    </row>
    <row r="138" spans="1:16" ht="20.399999999999999" x14ac:dyDescent="0.3">
      <c r="A138" s="9">
        <v>412</v>
      </c>
      <c r="B138" s="9" t="str">
        <f>IF(VLOOKUP($A138,Sheet1!$A$3:$AW$699,20,FALSE)="","",VLOOKUP($A138,Sheet1!$A$3:$AW$699,20,FALSE))</f>
        <v>PRCmd7Data</v>
      </c>
      <c r="C138" s="9" t="str">
        <f>IF(VLOOKUP($A138,Sheet1!$A$3:$AW$699,25,FALSE)="","",VLOOKUP($A138,Sheet1!$A$3:$AW$699,25,FALSE))</f>
        <v>PR/IO</v>
      </c>
      <c r="D138" s="142">
        <f>IF(VLOOKUP($A138,Sheet1!$A$3:$AW$699,15,FALSE)="","",VLOOKUP($A138,Sheet1!$A$3:$AW$699,15,FALSE))</f>
        <v>-2147483648</v>
      </c>
      <c r="E138" s="142">
        <f>IF(VLOOKUP($A138,Sheet1!$A$3:$AW$699,16,FALSE)="","",VLOOKUP($A138,Sheet1!$A$3:$AW$699,16,FALSE))</f>
        <v>2147483647</v>
      </c>
      <c r="F138" s="142">
        <f>IF(VLOOKUP($A138,Sheet1!$A$3:$AW$699,17,FALSE)="","",VLOOKUP($A138,Sheet1!$A$3:$AW$699,17,FALSE))</f>
        <v>0</v>
      </c>
      <c r="G138" s="142" t="str">
        <f>IF(VLOOKUP($A138,Sheet1!$A$3:$AW$699,18,FALSE)="","",VLOOKUP($A138,Sheet1!$A$3:$AW$699,18,FALSE))</f>
        <v/>
      </c>
      <c r="H138" s="142" t="str">
        <f>IF(VLOOKUP($A138,Sheet1!$A$3:$AW$699,19,FALSE)="","",VLOOKUP($A138,Sheet1!$A$3:$AW$699,19,FALSE))</f>
        <v/>
      </c>
      <c r="I138" s="9" t="str">
        <f>IF(VLOOKUP($A138,Sheet1!$A$3:$AW$699,5,FALSE)="","",VLOOKUP($A138,Sheet1!$A$3:$AW$699,5,FALSE))</f>
        <v>DINT</v>
      </c>
      <c r="J138" s="9" t="s">
        <v>671</v>
      </c>
      <c r="K138" s="9" t="s">
        <v>658</v>
      </c>
      <c r="L138" s="146" t="str">
        <f>IF(VLOOKUP($A138,Sheet1!$A$3:$AW$699,7,FALSE)="★","x","")</f>
        <v/>
      </c>
      <c r="M138" s="146" t="str">
        <f>IF(VLOOKUP($A138,Sheet1!$A$3:$AW$699,8,FALSE)="▲","x","")</f>
        <v/>
      </c>
      <c r="N138" s="146" t="str">
        <f>IF(VLOOKUP($A138,Sheet1!$A$3:$AW$699,9,FALSE)="●","x","")</f>
        <v/>
      </c>
      <c r="O138" s="146" t="str">
        <f>IF(VLOOKUP($A138,Sheet1!$A$3:$AW$699,10,FALSE)="■","x","")</f>
        <v/>
      </c>
      <c r="P138" s="9" t="str">
        <f>IF(VLOOKUP($A138,Sheet1!$A$3:$AW$699,2,FALSE)="","",VLOOKUP($A138,Sheet1!$A$3:$AW$699,2,FALSE))</f>
        <v>P6.015</v>
      </c>
    </row>
    <row r="139" spans="1:16" ht="20.399999999999999" x14ac:dyDescent="0.3">
      <c r="A139" s="9">
        <v>413</v>
      </c>
      <c r="B139" s="9" t="str">
        <f>IF(VLOOKUP($A139,Sheet1!$A$3:$AW$699,20,FALSE)="","",VLOOKUP($A139,Sheet1!$A$3:$AW$699,20,FALSE))</f>
        <v>PRCmd8Setting</v>
      </c>
      <c r="C139" s="9" t="str">
        <f>IF(VLOOKUP($A139,Sheet1!$A$3:$AW$699,25,FALSE)="","",VLOOKUP($A139,Sheet1!$A$3:$AW$699,25,FALSE))</f>
        <v>PR/IO</v>
      </c>
      <c r="D139" s="142" t="str">
        <f>IF(VLOOKUP($A139,Sheet1!$A$3:$AW$699,15,FALSE)="","",VLOOKUP($A139,Sheet1!$A$3:$AW$699,15,FALSE))</f>
        <v>0x00000000</v>
      </c>
      <c r="E139" s="142" t="str">
        <f>IF(VLOOKUP($A139,Sheet1!$A$3:$AW$699,16,FALSE)="","",VLOOKUP($A139,Sheet1!$A$3:$AW$699,16,FALSE))</f>
        <v>0xFFFFFFFF</v>
      </c>
      <c r="F139" s="142" t="str">
        <f>IF(VLOOKUP($A139,Sheet1!$A$3:$AW$699,17,FALSE)="","",VLOOKUP($A139,Sheet1!$A$3:$AW$699,17,FALSE))</f>
        <v>0x00000000</v>
      </c>
      <c r="G139" s="142" t="str">
        <f>IF(VLOOKUP($A139,Sheet1!$A$3:$AW$699,18,FALSE)="","",VLOOKUP($A139,Sheet1!$A$3:$AW$699,18,FALSE))</f>
        <v/>
      </c>
      <c r="H139" s="142" t="str">
        <f>IF(VLOOKUP($A139,Sheet1!$A$3:$AW$699,19,FALSE)="","",VLOOKUP($A139,Sheet1!$A$3:$AW$699,19,FALSE))</f>
        <v/>
      </c>
      <c r="I139" s="9" t="str">
        <f>IF(VLOOKUP($A139,Sheet1!$A$3:$AW$699,5,FALSE)="","",VLOOKUP($A139,Sheet1!$A$3:$AW$699,5,FALSE))</f>
        <v>UDINT</v>
      </c>
      <c r="J139" s="9" t="s">
        <v>672</v>
      </c>
      <c r="K139" s="9" t="s">
        <v>658</v>
      </c>
      <c r="L139" s="146" t="str">
        <f>IF(VLOOKUP($A139,Sheet1!$A$3:$AW$699,7,FALSE)="★","x","")</f>
        <v/>
      </c>
      <c r="M139" s="146" t="str">
        <f>IF(VLOOKUP($A139,Sheet1!$A$3:$AW$699,8,FALSE)="▲","x","")</f>
        <v/>
      </c>
      <c r="N139" s="146" t="str">
        <f>IF(VLOOKUP($A139,Sheet1!$A$3:$AW$699,9,FALSE)="●","x","")</f>
        <v/>
      </c>
      <c r="O139" s="146" t="str">
        <f>IF(VLOOKUP($A139,Sheet1!$A$3:$AW$699,10,FALSE)="■","x","")</f>
        <v/>
      </c>
      <c r="P139" s="9" t="str">
        <f>IF(VLOOKUP($A139,Sheet1!$A$3:$AW$699,2,FALSE)="","",VLOOKUP($A139,Sheet1!$A$3:$AW$699,2,FALSE))</f>
        <v>P6.016</v>
      </c>
    </row>
    <row r="140" spans="1:16" ht="20.399999999999999" x14ac:dyDescent="0.3">
      <c r="A140" s="9">
        <v>414</v>
      </c>
      <c r="B140" s="9" t="str">
        <f>IF(VLOOKUP($A140,Sheet1!$A$3:$AW$699,20,FALSE)="","",VLOOKUP($A140,Sheet1!$A$3:$AW$699,20,FALSE))</f>
        <v>PRCmd8Data</v>
      </c>
      <c r="C140" s="9" t="str">
        <f>IF(VLOOKUP($A140,Sheet1!$A$3:$AW$699,25,FALSE)="","",VLOOKUP($A140,Sheet1!$A$3:$AW$699,25,FALSE))</f>
        <v>PR/IO</v>
      </c>
      <c r="D140" s="142">
        <f>IF(VLOOKUP($A140,Sheet1!$A$3:$AW$699,15,FALSE)="","",VLOOKUP($A140,Sheet1!$A$3:$AW$699,15,FALSE))</f>
        <v>-2147483648</v>
      </c>
      <c r="E140" s="142">
        <f>IF(VLOOKUP($A140,Sheet1!$A$3:$AW$699,16,FALSE)="","",VLOOKUP($A140,Sheet1!$A$3:$AW$699,16,FALSE))</f>
        <v>2147483647</v>
      </c>
      <c r="F140" s="142">
        <f>IF(VLOOKUP($A140,Sheet1!$A$3:$AW$699,17,FALSE)="","",VLOOKUP($A140,Sheet1!$A$3:$AW$699,17,FALSE))</f>
        <v>0</v>
      </c>
      <c r="G140" s="142" t="str">
        <f>IF(VLOOKUP($A140,Sheet1!$A$3:$AW$699,18,FALSE)="","",VLOOKUP($A140,Sheet1!$A$3:$AW$699,18,FALSE))</f>
        <v/>
      </c>
      <c r="H140" s="142" t="str">
        <f>IF(VLOOKUP($A140,Sheet1!$A$3:$AW$699,19,FALSE)="","",VLOOKUP($A140,Sheet1!$A$3:$AW$699,19,FALSE))</f>
        <v/>
      </c>
      <c r="I140" s="9" t="str">
        <f>IF(VLOOKUP($A140,Sheet1!$A$3:$AW$699,5,FALSE)="","",VLOOKUP($A140,Sheet1!$A$3:$AW$699,5,FALSE))</f>
        <v>DINT</v>
      </c>
      <c r="J140" s="9" t="s">
        <v>673</v>
      </c>
      <c r="K140" s="9" t="s">
        <v>658</v>
      </c>
      <c r="L140" s="146" t="str">
        <f>IF(VLOOKUP($A140,Sheet1!$A$3:$AW$699,7,FALSE)="★","x","")</f>
        <v/>
      </c>
      <c r="M140" s="146" t="str">
        <f>IF(VLOOKUP($A140,Sheet1!$A$3:$AW$699,8,FALSE)="▲","x","")</f>
        <v/>
      </c>
      <c r="N140" s="146" t="str">
        <f>IF(VLOOKUP($A140,Sheet1!$A$3:$AW$699,9,FALSE)="●","x","")</f>
        <v/>
      </c>
      <c r="O140" s="146" t="str">
        <f>IF(VLOOKUP($A140,Sheet1!$A$3:$AW$699,10,FALSE)="■","x","")</f>
        <v/>
      </c>
      <c r="P140" s="9" t="str">
        <f>IF(VLOOKUP($A140,Sheet1!$A$3:$AW$699,2,FALSE)="","",VLOOKUP($A140,Sheet1!$A$3:$AW$699,2,FALSE))</f>
        <v>P6.017</v>
      </c>
    </row>
    <row r="141" spans="1:16" ht="20.399999999999999" x14ac:dyDescent="0.3">
      <c r="A141" s="9">
        <v>415</v>
      </c>
      <c r="B141" s="9" t="str">
        <f>IF(VLOOKUP($A141,Sheet1!$A$3:$AW$699,20,FALSE)="","",VLOOKUP($A141,Sheet1!$A$3:$AW$699,20,FALSE))</f>
        <v>PRCmd9Setting</v>
      </c>
      <c r="C141" s="9" t="str">
        <f>IF(VLOOKUP($A141,Sheet1!$A$3:$AW$699,25,FALSE)="","",VLOOKUP($A141,Sheet1!$A$3:$AW$699,25,FALSE))</f>
        <v>PR/IO</v>
      </c>
      <c r="D141" s="142" t="str">
        <f>IF(VLOOKUP($A141,Sheet1!$A$3:$AW$699,15,FALSE)="","",VLOOKUP($A141,Sheet1!$A$3:$AW$699,15,FALSE))</f>
        <v>0x00000000</v>
      </c>
      <c r="E141" s="142" t="str">
        <f>IF(VLOOKUP($A141,Sheet1!$A$3:$AW$699,16,FALSE)="","",VLOOKUP($A141,Sheet1!$A$3:$AW$699,16,FALSE))</f>
        <v>0xFFFFFFFF</v>
      </c>
      <c r="F141" s="142" t="str">
        <f>IF(VLOOKUP($A141,Sheet1!$A$3:$AW$699,17,FALSE)="","",VLOOKUP($A141,Sheet1!$A$3:$AW$699,17,FALSE))</f>
        <v>0x00000000</v>
      </c>
      <c r="G141" s="142" t="str">
        <f>IF(VLOOKUP($A141,Sheet1!$A$3:$AW$699,18,FALSE)="","",VLOOKUP($A141,Sheet1!$A$3:$AW$699,18,FALSE))</f>
        <v/>
      </c>
      <c r="H141" s="142" t="str">
        <f>IF(VLOOKUP($A141,Sheet1!$A$3:$AW$699,19,FALSE)="","",VLOOKUP($A141,Sheet1!$A$3:$AW$699,19,FALSE))</f>
        <v/>
      </c>
      <c r="I141" s="9" t="str">
        <f>IF(VLOOKUP($A141,Sheet1!$A$3:$AW$699,5,FALSE)="","",VLOOKUP($A141,Sheet1!$A$3:$AW$699,5,FALSE))</f>
        <v>UDINT</v>
      </c>
      <c r="J141" s="9" t="s">
        <v>674</v>
      </c>
      <c r="K141" s="9" t="s">
        <v>658</v>
      </c>
      <c r="L141" s="146" t="str">
        <f>IF(VLOOKUP($A141,Sheet1!$A$3:$AW$699,7,FALSE)="★","x","")</f>
        <v/>
      </c>
      <c r="M141" s="146" t="str">
        <f>IF(VLOOKUP($A141,Sheet1!$A$3:$AW$699,8,FALSE)="▲","x","")</f>
        <v/>
      </c>
      <c r="N141" s="146" t="str">
        <f>IF(VLOOKUP($A141,Sheet1!$A$3:$AW$699,9,FALSE)="●","x","")</f>
        <v/>
      </c>
      <c r="O141" s="146" t="str">
        <f>IF(VLOOKUP($A141,Sheet1!$A$3:$AW$699,10,FALSE)="■","x","")</f>
        <v/>
      </c>
      <c r="P141" s="9" t="str">
        <f>IF(VLOOKUP($A141,Sheet1!$A$3:$AW$699,2,FALSE)="","",VLOOKUP($A141,Sheet1!$A$3:$AW$699,2,FALSE))</f>
        <v>P6.018</v>
      </c>
    </row>
    <row r="142" spans="1:16" ht="20.399999999999999" x14ac:dyDescent="0.3">
      <c r="A142" s="9">
        <v>416</v>
      </c>
      <c r="B142" s="9" t="str">
        <f>IF(VLOOKUP($A142,Sheet1!$A$3:$AW$699,20,FALSE)="","",VLOOKUP($A142,Sheet1!$A$3:$AW$699,20,FALSE))</f>
        <v>PRCmd9Data</v>
      </c>
      <c r="C142" s="9" t="str">
        <f>IF(VLOOKUP($A142,Sheet1!$A$3:$AW$699,25,FALSE)="","",VLOOKUP($A142,Sheet1!$A$3:$AW$699,25,FALSE))</f>
        <v>PR/IO</v>
      </c>
      <c r="D142" s="142">
        <f>IF(VLOOKUP($A142,Sheet1!$A$3:$AW$699,15,FALSE)="","",VLOOKUP($A142,Sheet1!$A$3:$AW$699,15,FALSE))</f>
        <v>-2147483648</v>
      </c>
      <c r="E142" s="142">
        <f>IF(VLOOKUP($A142,Sheet1!$A$3:$AW$699,16,FALSE)="","",VLOOKUP($A142,Sheet1!$A$3:$AW$699,16,FALSE))</f>
        <v>2147483647</v>
      </c>
      <c r="F142" s="142">
        <f>IF(VLOOKUP($A142,Sheet1!$A$3:$AW$699,17,FALSE)="","",VLOOKUP($A142,Sheet1!$A$3:$AW$699,17,FALSE))</f>
        <v>0</v>
      </c>
      <c r="G142" s="142" t="str">
        <f>IF(VLOOKUP($A142,Sheet1!$A$3:$AW$699,18,FALSE)="","",VLOOKUP($A142,Sheet1!$A$3:$AW$699,18,FALSE))</f>
        <v/>
      </c>
      <c r="H142" s="142" t="str">
        <f>IF(VLOOKUP($A142,Sheet1!$A$3:$AW$699,19,FALSE)="","",VLOOKUP($A142,Sheet1!$A$3:$AW$699,19,FALSE))</f>
        <v/>
      </c>
      <c r="I142" s="9" t="str">
        <f>IF(VLOOKUP($A142,Sheet1!$A$3:$AW$699,5,FALSE)="","",VLOOKUP($A142,Sheet1!$A$3:$AW$699,5,FALSE))</f>
        <v>DINT</v>
      </c>
      <c r="J142" s="9" t="s">
        <v>675</v>
      </c>
      <c r="K142" s="9" t="s">
        <v>658</v>
      </c>
      <c r="L142" s="146" t="str">
        <f>IF(VLOOKUP($A142,Sheet1!$A$3:$AW$699,7,FALSE)="★","x","")</f>
        <v/>
      </c>
      <c r="M142" s="146" t="str">
        <f>IF(VLOOKUP($A142,Sheet1!$A$3:$AW$699,8,FALSE)="▲","x","")</f>
        <v/>
      </c>
      <c r="N142" s="146" t="str">
        <f>IF(VLOOKUP($A142,Sheet1!$A$3:$AW$699,9,FALSE)="●","x","")</f>
        <v/>
      </c>
      <c r="O142" s="146" t="str">
        <f>IF(VLOOKUP($A142,Sheet1!$A$3:$AW$699,10,FALSE)="■","x","")</f>
        <v/>
      </c>
      <c r="P142" s="9" t="str">
        <f>IF(VLOOKUP($A142,Sheet1!$A$3:$AW$699,2,FALSE)="","",VLOOKUP($A142,Sheet1!$A$3:$AW$699,2,FALSE))</f>
        <v>P6.019</v>
      </c>
    </row>
    <row r="143" spans="1:16" ht="20.399999999999999" x14ac:dyDescent="0.3">
      <c r="A143" s="9">
        <v>417</v>
      </c>
      <c r="B143" s="9" t="str">
        <f>IF(VLOOKUP($A143,Sheet1!$A$3:$AW$699,20,FALSE)="","",VLOOKUP($A143,Sheet1!$A$3:$AW$699,20,FALSE))</f>
        <v>PRCmd10Setting</v>
      </c>
      <c r="C143" s="9" t="str">
        <f>IF(VLOOKUP($A143,Sheet1!$A$3:$AW$699,25,FALSE)="","",VLOOKUP($A143,Sheet1!$A$3:$AW$699,25,FALSE))</f>
        <v>PR/IO</v>
      </c>
      <c r="D143" s="142" t="str">
        <f>IF(VLOOKUP($A143,Sheet1!$A$3:$AW$699,15,FALSE)="","",VLOOKUP($A143,Sheet1!$A$3:$AW$699,15,FALSE))</f>
        <v>0x00000000</v>
      </c>
      <c r="E143" s="142" t="str">
        <f>IF(VLOOKUP($A143,Sheet1!$A$3:$AW$699,16,FALSE)="","",VLOOKUP($A143,Sheet1!$A$3:$AW$699,16,FALSE))</f>
        <v>0xFFFFFFFF</v>
      </c>
      <c r="F143" s="142" t="str">
        <f>IF(VLOOKUP($A143,Sheet1!$A$3:$AW$699,17,FALSE)="","",VLOOKUP($A143,Sheet1!$A$3:$AW$699,17,FALSE))</f>
        <v>0x00000000</v>
      </c>
      <c r="G143" s="142" t="str">
        <f>IF(VLOOKUP($A143,Sheet1!$A$3:$AW$699,18,FALSE)="","",VLOOKUP($A143,Sheet1!$A$3:$AW$699,18,FALSE))</f>
        <v/>
      </c>
      <c r="H143" s="142" t="str">
        <f>IF(VLOOKUP($A143,Sheet1!$A$3:$AW$699,19,FALSE)="","",VLOOKUP($A143,Sheet1!$A$3:$AW$699,19,FALSE))</f>
        <v/>
      </c>
      <c r="I143" s="9" t="str">
        <f>IF(VLOOKUP($A143,Sheet1!$A$3:$AW$699,5,FALSE)="","",VLOOKUP($A143,Sheet1!$A$3:$AW$699,5,FALSE))</f>
        <v>UDINT</v>
      </c>
      <c r="J143" s="9" t="s">
        <v>676</v>
      </c>
      <c r="K143" s="9" t="s">
        <v>658</v>
      </c>
      <c r="L143" s="146" t="str">
        <f>IF(VLOOKUP($A143,Sheet1!$A$3:$AW$699,7,FALSE)="★","x","")</f>
        <v/>
      </c>
      <c r="M143" s="146" t="str">
        <f>IF(VLOOKUP($A143,Sheet1!$A$3:$AW$699,8,FALSE)="▲","x","")</f>
        <v/>
      </c>
      <c r="N143" s="146" t="str">
        <f>IF(VLOOKUP($A143,Sheet1!$A$3:$AW$699,9,FALSE)="●","x","")</f>
        <v/>
      </c>
      <c r="O143" s="146" t="str">
        <f>IF(VLOOKUP($A143,Sheet1!$A$3:$AW$699,10,FALSE)="■","x","")</f>
        <v/>
      </c>
      <c r="P143" s="9" t="str">
        <f>IF(VLOOKUP($A143,Sheet1!$A$3:$AW$699,2,FALSE)="","",VLOOKUP($A143,Sheet1!$A$3:$AW$699,2,FALSE))</f>
        <v>P6.020</v>
      </c>
    </row>
    <row r="144" spans="1:16" ht="20.399999999999999" x14ac:dyDescent="0.3">
      <c r="A144" s="9">
        <v>418</v>
      </c>
      <c r="B144" s="9" t="str">
        <f>IF(VLOOKUP($A144,Sheet1!$A$3:$AW$699,20,FALSE)="","",VLOOKUP($A144,Sheet1!$A$3:$AW$699,20,FALSE))</f>
        <v>PRCmd10Data</v>
      </c>
      <c r="C144" s="9" t="str">
        <f>IF(VLOOKUP($A144,Sheet1!$A$3:$AW$699,25,FALSE)="","",VLOOKUP($A144,Sheet1!$A$3:$AW$699,25,FALSE))</f>
        <v>PR/IO</v>
      </c>
      <c r="D144" s="142">
        <f>IF(VLOOKUP($A144,Sheet1!$A$3:$AW$699,15,FALSE)="","",VLOOKUP($A144,Sheet1!$A$3:$AW$699,15,FALSE))</f>
        <v>-2147483648</v>
      </c>
      <c r="E144" s="142">
        <f>IF(VLOOKUP($A144,Sheet1!$A$3:$AW$699,16,FALSE)="","",VLOOKUP($A144,Sheet1!$A$3:$AW$699,16,FALSE))</f>
        <v>2147483647</v>
      </c>
      <c r="F144" s="142">
        <f>IF(VLOOKUP($A144,Sheet1!$A$3:$AW$699,17,FALSE)="","",VLOOKUP($A144,Sheet1!$A$3:$AW$699,17,FALSE))</f>
        <v>0</v>
      </c>
      <c r="G144" s="142" t="str">
        <f>IF(VLOOKUP($A144,Sheet1!$A$3:$AW$699,18,FALSE)="","",VLOOKUP($A144,Sheet1!$A$3:$AW$699,18,FALSE))</f>
        <v/>
      </c>
      <c r="H144" s="142" t="str">
        <f>IF(VLOOKUP($A144,Sheet1!$A$3:$AW$699,19,FALSE)="","",VLOOKUP($A144,Sheet1!$A$3:$AW$699,19,FALSE))</f>
        <v/>
      </c>
      <c r="I144" s="9" t="str">
        <f>IF(VLOOKUP($A144,Sheet1!$A$3:$AW$699,5,FALSE)="","",VLOOKUP($A144,Sheet1!$A$3:$AW$699,5,FALSE))</f>
        <v>DINT</v>
      </c>
      <c r="J144" s="9" t="s">
        <v>677</v>
      </c>
      <c r="K144" s="9" t="s">
        <v>658</v>
      </c>
      <c r="L144" s="146" t="str">
        <f>IF(VLOOKUP($A144,Sheet1!$A$3:$AW$699,7,FALSE)="★","x","")</f>
        <v/>
      </c>
      <c r="M144" s="146" t="str">
        <f>IF(VLOOKUP($A144,Sheet1!$A$3:$AW$699,8,FALSE)="▲","x","")</f>
        <v/>
      </c>
      <c r="N144" s="146" t="str">
        <f>IF(VLOOKUP($A144,Sheet1!$A$3:$AW$699,9,FALSE)="●","x","")</f>
        <v/>
      </c>
      <c r="O144" s="146" t="str">
        <f>IF(VLOOKUP($A144,Sheet1!$A$3:$AW$699,10,FALSE)="■","x","")</f>
        <v/>
      </c>
      <c r="P144" s="9" t="str">
        <f>IF(VLOOKUP($A144,Sheet1!$A$3:$AW$699,2,FALSE)="","",VLOOKUP($A144,Sheet1!$A$3:$AW$699,2,FALSE))</f>
        <v>P6.021</v>
      </c>
    </row>
    <row r="145" spans="1:16" ht="20.399999999999999" x14ac:dyDescent="0.3">
      <c r="A145" s="9">
        <v>419</v>
      </c>
      <c r="B145" s="9" t="str">
        <f>IF(VLOOKUP($A145,Sheet1!$A$3:$AW$699,20,FALSE)="","",VLOOKUP($A145,Sheet1!$A$3:$AW$699,20,FALSE))</f>
        <v>PRCmd11Setting</v>
      </c>
      <c r="C145" s="9" t="str">
        <f>IF(VLOOKUP($A145,Sheet1!$A$3:$AW$699,25,FALSE)="","",VLOOKUP($A145,Sheet1!$A$3:$AW$699,25,FALSE))</f>
        <v>PR/IO</v>
      </c>
      <c r="D145" s="142" t="str">
        <f>IF(VLOOKUP($A145,Sheet1!$A$3:$AW$699,15,FALSE)="","",VLOOKUP($A145,Sheet1!$A$3:$AW$699,15,FALSE))</f>
        <v>0x00000000</v>
      </c>
      <c r="E145" s="142" t="str">
        <f>IF(VLOOKUP($A145,Sheet1!$A$3:$AW$699,16,FALSE)="","",VLOOKUP($A145,Sheet1!$A$3:$AW$699,16,FALSE))</f>
        <v>0xFFFFFFFF</v>
      </c>
      <c r="F145" s="142" t="str">
        <f>IF(VLOOKUP($A145,Sheet1!$A$3:$AW$699,17,FALSE)="","",VLOOKUP($A145,Sheet1!$A$3:$AW$699,17,FALSE))</f>
        <v>0x00000000</v>
      </c>
      <c r="G145" s="142" t="str">
        <f>IF(VLOOKUP($A145,Sheet1!$A$3:$AW$699,18,FALSE)="","",VLOOKUP($A145,Sheet1!$A$3:$AW$699,18,FALSE))</f>
        <v/>
      </c>
      <c r="H145" s="142" t="str">
        <f>IF(VLOOKUP($A145,Sheet1!$A$3:$AW$699,19,FALSE)="","",VLOOKUP($A145,Sheet1!$A$3:$AW$699,19,FALSE))</f>
        <v/>
      </c>
      <c r="I145" s="9" t="str">
        <f>IF(VLOOKUP($A145,Sheet1!$A$3:$AW$699,5,FALSE)="","",VLOOKUP($A145,Sheet1!$A$3:$AW$699,5,FALSE))</f>
        <v>UDINT</v>
      </c>
      <c r="J145" s="9" t="s">
        <v>678</v>
      </c>
      <c r="K145" s="9" t="s">
        <v>658</v>
      </c>
      <c r="L145" s="146" t="str">
        <f>IF(VLOOKUP($A145,Sheet1!$A$3:$AW$699,7,FALSE)="★","x","")</f>
        <v/>
      </c>
      <c r="M145" s="146" t="str">
        <f>IF(VLOOKUP($A145,Sheet1!$A$3:$AW$699,8,FALSE)="▲","x","")</f>
        <v/>
      </c>
      <c r="N145" s="146" t="str">
        <f>IF(VLOOKUP($A145,Sheet1!$A$3:$AW$699,9,FALSE)="●","x","")</f>
        <v/>
      </c>
      <c r="O145" s="146" t="str">
        <f>IF(VLOOKUP($A145,Sheet1!$A$3:$AW$699,10,FALSE)="■","x","")</f>
        <v/>
      </c>
      <c r="P145" s="9" t="str">
        <f>IF(VLOOKUP($A145,Sheet1!$A$3:$AW$699,2,FALSE)="","",VLOOKUP($A145,Sheet1!$A$3:$AW$699,2,FALSE))</f>
        <v>P6.022</v>
      </c>
    </row>
    <row r="146" spans="1:16" ht="20.399999999999999" x14ac:dyDescent="0.3">
      <c r="A146" s="9">
        <v>420</v>
      </c>
      <c r="B146" s="9" t="str">
        <f>IF(VLOOKUP($A146,Sheet1!$A$3:$AW$699,20,FALSE)="","",VLOOKUP($A146,Sheet1!$A$3:$AW$699,20,FALSE))</f>
        <v>PRCmd11Data</v>
      </c>
      <c r="C146" s="9" t="str">
        <f>IF(VLOOKUP($A146,Sheet1!$A$3:$AW$699,25,FALSE)="","",VLOOKUP($A146,Sheet1!$A$3:$AW$699,25,FALSE))</f>
        <v>PR/IO</v>
      </c>
      <c r="D146" s="142">
        <f>IF(VLOOKUP($A146,Sheet1!$A$3:$AW$699,15,FALSE)="","",VLOOKUP($A146,Sheet1!$A$3:$AW$699,15,FALSE))</f>
        <v>-2147483648</v>
      </c>
      <c r="E146" s="142">
        <f>IF(VLOOKUP($A146,Sheet1!$A$3:$AW$699,16,FALSE)="","",VLOOKUP($A146,Sheet1!$A$3:$AW$699,16,FALSE))</f>
        <v>2147483647</v>
      </c>
      <c r="F146" s="142">
        <f>IF(VLOOKUP($A146,Sheet1!$A$3:$AW$699,17,FALSE)="","",VLOOKUP($A146,Sheet1!$A$3:$AW$699,17,FALSE))</f>
        <v>0</v>
      </c>
      <c r="G146" s="142" t="str">
        <f>IF(VLOOKUP($A146,Sheet1!$A$3:$AW$699,18,FALSE)="","",VLOOKUP($A146,Sheet1!$A$3:$AW$699,18,FALSE))</f>
        <v/>
      </c>
      <c r="H146" s="142" t="str">
        <f>IF(VLOOKUP($A146,Sheet1!$A$3:$AW$699,19,FALSE)="","",VLOOKUP($A146,Sheet1!$A$3:$AW$699,19,FALSE))</f>
        <v/>
      </c>
      <c r="I146" s="9" t="str">
        <f>IF(VLOOKUP($A146,Sheet1!$A$3:$AW$699,5,FALSE)="","",VLOOKUP($A146,Sheet1!$A$3:$AW$699,5,FALSE))</f>
        <v>DINT</v>
      </c>
      <c r="J146" s="9" t="s">
        <v>679</v>
      </c>
      <c r="K146" s="9" t="s">
        <v>658</v>
      </c>
      <c r="L146" s="146" t="str">
        <f>IF(VLOOKUP($A146,Sheet1!$A$3:$AW$699,7,FALSE)="★","x","")</f>
        <v/>
      </c>
      <c r="M146" s="146" t="str">
        <f>IF(VLOOKUP($A146,Sheet1!$A$3:$AW$699,8,FALSE)="▲","x","")</f>
        <v/>
      </c>
      <c r="N146" s="146" t="str">
        <f>IF(VLOOKUP($A146,Sheet1!$A$3:$AW$699,9,FALSE)="●","x","")</f>
        <v/>
      </c>
      <c r="O146" s="146" t="str">
        <f>IF(VLOOKUP($A146,Sheet1!$A$3:$AW$699,10,FALSE)="■","x","")</f>
        <v/>
      </c>
      <c r="P146" s="9" t="str">
        <f>IF(VLOOKUP($A146,Sheet1!$A$3:$AW$699,2,FALSE)="","",VLOOKUP($A146,Sheet1!$A$3:$AW$699,2,FALSE))</f>
        <v>P6.023</v>
      </c>
    </row>
    <row r="147" spans="1:16" ht="20.399999999999999" x14ac:dyDescent="0.3">
      <c r="A147" s="9">
        <v>421</v>
      </c>
      <c r="B147" s="9" t="str">
        <f>IF(VLOOKUP($A147,Sheet1!$A$3:$AW$699,20,FALSE)="","",VLOOKUP($A147,Sheet1!$A$3:$AW$699,20,FALSE))</f>
        <v>PRCmd12Setting</v>
      </c>
      <c r="C147" s="9" t="str">
        <f>IF(VLOOKUP($A147,Sheet1!$A$3:$AW$699,25,FALSE)="","",VLOOKUP($A147,Sheet1!$A$3:$AW$699,25,FALSE))</f>
        <v>PR/IO</v>
      </c>
      <c r="D147" s="142" t="str">
        <f>IF(VLOOKUP($A147,Sheet1!$A$3:$AW$699,15,FALSE)="","",VLOOKUP($A147,Sheet1!$A$3:$AW$699,15,FALSE))</f>
        <v>0x00000000</v>
      </c>
      <c r="E147" s="142" t="str">
        <f>IF(VLOOKUP($A147,Sheet1!$A$3:$AW$699,16,FALSE)="","",VLOOKUP($A147,Sheet1!$A$3:$AW$699,16,FALSE))</f>
        <v>0xFFFFFFFF</v>
      </c>
      <c r="F147" s="142" t="str">
        <f>IF(VLOOKUP($A147,Sheet1!$A$3:$AW$699,17,FALSE)="","",VLOOKUP($A147,Sheet1!$A$3:$AW$699,17,FALSE))</f>
        <v>0x00000000</v>
      </c>
      <c r="G147" s="142" t="str">
        <f>IF(VLOOKUP($A147,Sheet1!$A$3:$AW$699,18,FALSE)="","",VLOOKUP($A147,Sheet1!$A$3:$AW$699,18,FALSE))</f>
        <v/>
      </c>
      <c r="H147" s="142" t="str">
        <f>IF(VLOOKUP($A147,Sheet1!$A$3:$AW$699,19,FALSE)="","",VLOOKUP($A147,Sheet1!$A$3:$AW$699,19,FALSE))</f>
        <v/>
      </c>
      <c r="I147" s="9" t="str">
        <f>IF(VLOOKUP($A147,Sheet1!$A$3:$AW$699,5,FALSE)="","",VLOOKUP($A147,Sheet1!$A$3:$AW$699,5,FALSE))</f>
        <v>UDINT</v>
      </c>
      <c r="J147" s="9" t="s">
        <v>680</v>
      </c>
      <c r="K147" s="9" t="s">
        <v>658</v>
      </c>
      <c r="L147" s="146" t="str">
        <f>IF(VLOOKUP($A147,Sheet1!$A$3:$AW$699,7,FALSE)="★","x","")</f>
        <v/>
      </c>
      <c r="M147" s="146" t="str">
        <f>IF(VLOOKUP($A147,Sheet1!$A$3:$AW$699,8,FALSE)="▲","x","")</f>
        <v/>
      </c>
      <c r="N147" s="146" t="str">
        <f>IF(VLOOKUP($A147,Sheet1!$A$3:$AW$699,9,FALSE)="●","x","")</f>
        <v/>
      </c>
      <c r="O147" s="146" t="str">
        <f>IF(VLOOKUP($A147,Sheet1!$A$3:$AW$699,10,FALSE)="■","x","")</f>
        <v/>
      </c>
      <c r="P147" s="9" t="str">
        <f>IF(VLOOKUP($A147,Sheet1!$A$3:$AW$699,2,FALSE)="","",VLOOKUP($A147,Sheet1!$A$3:$AW$699,2,FALSE))</f>
        <v>P6.024</v>
      </c>
    </row>
    <row r="148" spans="1:16" ht="20.399999999999999" x14ac:dyDescent="0.3">
      <c r="A148" s="9">
        <v>422</v>
      </c>
      <c r="B148" s="9" t="str">
        <f>IF(VLOOKUP($A148,Sheet1!$A$3:$AW$699,20,FALSE)="","",VLOOKUP($A148,Sheet1!$A$3:$AW$699,20,FALSE))</f>
        <v>PRCmd12Data</v>
      </c>
      <c r="C148" s="9" t="str">
        <f>IF(VLOOKUP($A148,Sheet1!$A$3:$AW$699,25,FALSE)="","",VLOOKUP($A148,Sheet1!$A$3:$AW$699,25,FALSE))</f>
        <v>PR/IO</v>
      </c>
      <c r="D148" s="142">
        <f>IF(VLOOKUP($A148,Sheet1!$A$3:$AW$699,15,FALSE)="","",VLOOKUP($A148,Sheet1!$A$3:$AW$699,15,FALSE))</f>
        <v>-2147483648</v>
      </c>
      <c r="E148" s="142">
        <f>IF(VLOOKUP($A148,Sheet1!$A$3:$AW$699,16,FALSE)="","",VLOOKUP($A148,Sheet1!$A$3:$AW$699,16,FALSE))</f>
        <v>2147483647</v>
      </c>
      <c r="F148" s="142">
        <f>IF(VLOOKUP($A148,Sheet1!$A$3:$AW$699,17,FALSE)="","",VLOOKUP($A148,Sheet1!$A$3:$AW$699,17,FALSE))</f>
        <v>0</v>
      </c>
      <c r="G148" s="142" t="str">
        <f>IF(VLOOKUP($A148,Sheet1!$A$3:$AW$699,18,FALSE)="","",VLOOKUP($A148,Sheet1!$A$3:$AW$699,18,FALSE))</f>
        <v/>
      </c>
      <c r="H148" s="142" t="str">
        <f>IF(VLOOKUP($A148,Sheet1!$A$3:$AW$699,19,FALSE)="","",VLOOKUP($A148,Sheet1!$A$3:$AW$699,19,FALSE))</f>
        <v/>
      </c>
      <c r="I148" s="9" t="str">
        <f>IF(VLOOKUP($A148,Sheet1!$A$3:$AW$699,5,FALSE)="","",VLOOKUP($A148,Sheet1!$A$3:$AW$699,5,FALSE))</f>
        <v>DINT</v>
      </c>
      <c r="J148" s="9" t="s">
        <v>681</v>
      </c>
      <c r="K148" s="9" t="s">
        <v>658</v>
      </c>
      <c r="L148" s="146" t="str">
        <f>IF(VLOOKUP($A148,Sheet1!$A$3:$AW$699,7,FALSE)="★","x","")</f>
        <v/>
      </c>
      <c r="M148" s="146" t="str">
        <f>IF(VLOOKUP($A148,Sheet1!$A$3:$AW$699,8,FALSE)="▲","x","")</f>
        <v/>
      </c>
      <c r="N148" s="146" t="str">
        <f>IF(VLOOKUP($A148,Sheet1!$A$3:$AW$699,9,FALSE)="●","x","")</f>
        <v/>
      </c>
      <c r="O148" s="146" t="str">
        <f>IF(VLOOKUP($A148,Sheet1!$A$3:$AW$699,10,FALSE)="■","x","")</f>
        <v/>
      </c>
      <c r="P148" s="9" t="str">
        <f>IF(VLOOKUP($A148,Sheet1!$A$3:$AW$699,2,FALSE)="","",VLOOKUP($A148,Sheet1!$A$3:$AW$699,2,FALSE))</f>
        <v>P6.025</v>
      </c>
    </row>
    <row r="149" spans="1:16" ht="20.399999999999999" x14ac:dyDescent="0.3">
      <c r="A149" s="9">
        <v>423</v>
      </c>
      <c r="B149" s="9" t="str">
        <f>IF(VLOOKUP($A149,Sheet1!$A$3:$AW$699,20,FALSE)="","",VLOOKUP($A149,Sheet1!$A$3:$AW$699,20,FALSE))</f>
        <v>PRCmd13Setting</v>
      </c>
      <c r="C149" s="9" t="str">
        <f>IF(VLOOKUP($A149,Sheet1!$A$3:$AW$699,25,FALSE)="","",VLOOKUP($A149,Sheet1!$A$3:$AW$699,25,FALSE))</f>
        <v>PR/IO</v>
      </c>
      <c r="D149" s="142" t="str">
        <f>IF(VLOOKUP($A149,Sheet1!$A$3:$AW$699,15,FALSE)="","",VLOOKUP($A149,Sheet1!$A$3:$AW$699,15,FALSE))</f>
        <v>0x00000000</v>
      </c>
      <c r="E149" s="142" t="str">
        <f>IF(VLOOKUP($A149,Sheet1!$A$3:$AW$699,16,FALSE)="","",VLOOKUP($A149,Sheet1!$A$3:$AW$699,16,FALSE))</f>
        <v>0xFFFFFFFF</v>
      </c>
      <c r="F149" s="142" t="str">
        <f>IF(VLOOKUP($A149,Sheet1!$A$3:$AW$699,17,FALSE)="","",VLOOKUP($A149,Sheet1!$A$3:$AW$699,17,FALSE))</f>
        <v>0x00000000</v>
      </c>
      <c r="G149" s="142" t="str">
        <f>IF(VLOOKUP($A149,Sheet1!$A$3:$AW$699,18,FALSE)="","",VLOOKUP($A149,Sheet1!$A$3:$AW$699,18,FALSE))</f>
        <v/>
      </c>
      <c r="H149" s="142" t="str">
        <f>IF(VLOOKUP($A149,Sheet1!$A$3:$AW$699,19,FALSE)="","",VLOOKUP($A149,Sheet1!$A$3:$AW$699,19,FALSE))</f>
        <v/>
      </c>
      <c r="I149" s="9" t="str">
        <f>IF(VLOOKUP($A149,Sheet1!$A$3:$AW$699,5,FALSE)="","",VLOOKUP($A149,Sheet1!$A$3:$AW$699,5,FALSE))</f>
        <v>UDINT</v>
      </c>
      <c r="J149" s="9" t="s">
        <v>682</v>
      </c>
      <c r="K149" s="9" t="s">
        <v>658</v>
      </c>
      <c r="L149" s="146" t="str">
        <f>IF(VLOOKUP($A149,Sheet1!$A$3:$AW$699,7,FALSE)="★","x","")</f>
        <v/>
      </c>
      <c r="M149" s="146" t="str">
        <f>IF(VLOOKUP($A149,Sheet1!$A$3:$AW$699,8,FALSE)="▲","x","")</f>
        <v/>
      </c>
      <c r="N149" s="146" t="str">
        <f>IF(VLOOKUP($A149,Sheet1!$A$3:$AW$699,9,FALSE)="●","x","")</f>
        <v/>
      </c>
      <c r="O149" s="146" t="str">
        <f>IF(VLOOKUP($A149,Sheet1!$A$3:$AW$699,10,FALSE)="■","x","")</f>
        <v/>
      </c>
      <c r="P149" s="9" t="str">
        <f>IF(VLOOKUP($A149,Sheet1!$A$3:$AW$699,2,FALSE)="","",VLOOKUP($A149,Sheet1!$A$3:$AW$699,2,FALSE))</f>
        <v>P6.026</v>
      </c>
    </row>
    <row r="150" spans="1:16" ht="20.399999999999999" x14ac:dyDescent="0.3">
      <c r="A150" s="9">
        <v>424</v>
      </c>
      <c r="B150" s="9" t="str">
        <f>IF(VLOOKUP($A150,Sheet1!$A$3:$AW$699,20,FALSE)="","",VLOOKUP($A150,Sheet1!$A$3:$AW$699,20,FALSE))</f>
        <v>PRCmd13Data</v>
      </c>
      <c r="C150" s="9" t="str">
        <f>IF(VLOOKUP($A150,Sheet1!$A$3:$AW$699,25,FALSE)="","",VLOOKUP($A150,Sheet1!$A$3:$AW$699,25,FALSE))</f>
        <v>PR/IO</v>
      </c>
      <c r="D150" s="142">
        <f>IF(VLOOKUP($A150,Sheet1!$A$3:$AW$699,15,FALSE)="","",VLOOKUP($A150,Sheet1!$A$3:$AW$699,15,FALSE))</f>
        <v>-2147483648</v>
      </c>
      <c r="E150" s="142">
        <f>IF(VLOOKUP($A150,Sheet1!$A$3:$AW$699,16,FALSE)="","",VLOOKUP($A150,Sheet1!$A$3:$AW$699,16,FALSE))</f>
        <v>2147483647</v>
      </c>
      <c r="F150" s="142">
        <f>IF(VLOOKUP($A150,Sheet1!$A$3:$AW$699,17,FALSE)="","",VLOOKUP($A150,Sheet1!$A$3:$AW$699,17,FALSE))</f>
        <v>0</v>
      </c>
      <c r="G150" s="142" t="str">
        <f>IF(VLOOKUP($A150,Sheet1!$A$3:$AW$699,18,FALSE)="","",VLOOKUP($A150,Sheet1!$A$3:$AW$699,18,FALSE))</f>
        <v/>
      </c>
      <c r="H150" s="142" t="str">
        <f>IF(VLOOKUP($A150,Sheet1!$A$3:$AW$699,19,FALSE)="","",VLOOKUP($A150,Sheet1!$A$3:$AW$699,19,FALSE))</f>
        <v/>
      </c>
      <c r="I150" s="9" t="str">
        <f>IF(VLOOKUP($A150,Sheet1!$A$3:$AW$699,5,FALSE)="","",VLOOKUP($A150,Sheet1!$A$3:$AW$699,5,FALSE))</f>
        <v>DINT</v>
      </c>
      <c r="J150" s="9" t="s">
        <v>683</v>
      </c>
      <c r="K150" s="9" t="s">
        <v>658</v>
      </c>
      <c r="L150" s="146" t="str">
        <f>IF(VLOOKUP($A150,Sheet1!$A$3:$AW$699,7,FALSE)="★","x","")</f>
        <v/>
      </c>
      <c r="M150" s="146" t="str">
        <f>IF(VLOOKUP($A150,Sheet1!$A$3:$AW$699,8,FALSE)="▲","x","")</f>
        <v/>
      </c>
      <c r="N150" s="146" t="str">
        <f>IF(VLOOKUP($A150,Sheet1!$A$3:$AW$699,9,FALSE)="●","x","")</f>
        <v/>
      </c>
      <c r="O150" s="146" t="str">
        <f>IF(VLOOKUP($A150,Sheet1!$A$3:$AW$699,10,FALSE)="■","x","")</f>
        <v/>
      </c>
      <c r="P150" s="9" t="str">
        <f>IF(VLOOKUP($A150,Sheet1!$A$3:$AW$699,2,FALSE)="","",VLOOKUP($A150,Sheet1!$A$3:$AW$699,2,FALSE))</f>
        <v>P6.027</v>
      </c>
    </row>
    <row r="151" spans="1:16" ht="20.399999999999999" x14ac:dyDescent="0.3">
      <c r="A151" s="9">
        <v>425</v>
      </c>
      <c r="B151" s="9" t="str">
        <f>IF(VLOOKUP($A151,Sheet1!$A$3:$AW$699,20,FALSE)="","",VLOOKUP($A151,Sheet1!$A$3:$AW$699,20,FALSE))</f>
        <v>PRCmd14Setting</v>
      </c>
      <c r="C151" s="9" t="str">
        <f>IF(VLOOKUP($A151,Sheet1!$A$3:$AW$699,25,FALSE)="","",VLOOKUP($A151,Sheet1!$A$3:$AW$699,25,FALSE))</f>
        <v>PR/IO</v>
      </c>
      <c r="D151" s="142" t="str">
        <f>IF(VLOOKUP($A151,Sheet1!$A$3:$AW$699,15,FALSE)="","",VLOOKUP($A151,Sheet1!$A$3:$AW$699,15,FALSE))</f>
        <v>0x00000000</v>
      </c>
      <c r="E151" s="142" t="str">
        <f>IF(VLOOKUP($A151,Sheet1!$A$3:$AW$699,16,FALSE)="","",VLOOKUP($A151,Sheet1!$A$3:$AW$699,16,FALSE))</f>
        <v>0xFFFFFFFF</v>
      </c>
      <c r="F151" s="142" t="str">
        <f>IF(VLOOKUP($A151,Sheet1!$A$3:$AW$699,17,FALSE)="","",VLOOKUP($A151,Sheet1!$A$3:$AW$699,17,FALSE))</f>
        <v>0x00000000</v>
      </c>
      <c r="G151" s="142" t="str">
        <f>IF(VLOOKUP($A151,Sheet1!$A$3:$AW$699,18,FALSE)="","",VLOOKUP($A151,Sheet1!$A$3:$AW$699,18,FALSE))</f>
        <v/>
      </c>
      <c r="H151" s="142" t="str">
        <f>IF(VLOOKUP($A151,Sheet1!$A$3:$AW$699,19,FALSE)="","",VLOOKUP($A151,Sheet1!$A$3:$AW$699,19,FALSE))</f>
        <v/>
      </c>
      <c r="I151" s="9" t="str">
        <f>IF(VLOOKUP($A151,Sheet1!$A$3:$AW$699,5,FALSE)="","",VLOOKUP($A151,Sheet1!$A$3:$AW$699,5,FALSE))</f>
        <v>UDINT</v>
      </c>
      <c r="J151" s="9" t="s">
        <v>684</v>
      </c>
      <c r="K151" s="9" t="s">
        <v>658</v>
      </c>
      <c r="L151" s="146" t="str">
        <f>IF(VLOOKUP($A151,Sheet1!$A$3:$AW$699,7,FALSE)="★","x","")</f>
        <v/>
      </c>
      <c r="M151" s="146" t="str">
        <f>IF(VLOOKUP($A151,Sheet1!$A$3:$AW$699,8,FALSE)="▲","x","")</f>
        <v/>
      </c>
      <c r="N151" s="146" t="str">
        <f>IF(VLOOKUP($A151,Sheet1!$A$3:$AW$699,9,FALSE)="●","x","")</f>
        <v/>
      </c>
      <c r="O151" s="146" t="str">
        <f>IF(VLOOKUP($A151,Sheet1!$A$3:$AW$699,10,FALSE)="■","x","")</f>
        <v/>
      </c>
      <c r="P151" s="9" t="str">
        <f>IF(VLOOKUP($A151,Sheet1!$A$3:$AW$699,2,FALSE)="","",VLOOKUP($A151,Sheet1!$A$3:$AW$699,2,FALSE))</f>
        <v>P6.028</v>
      </c>
    </row>
    <row r="152" spans="1:16" ht="20.399999999999999" x14ac:dyDescent="0.3">
      <c r="A152" s="9">
        <v>426</v>
      </c>
      <c r="B152" s="9" t="str">
        <f>IF(VLOOKUP($A152,Sheet1!$A$3:$AW$699,20,FALSE)="","",VLOOKUP($A152,Sheet1!$A$3:$AW$699,20,FALSE))</f>
        <v>PRCmd14Data</v>
      </c>
      <c r="C152" s="9" t="str">
        <f>IF(VLOOKUP($A152,Sheet1!$A$3:$AW$699,25,FALSE)="","",VLOOKUP($A152,Sheet1!$A$3:$AW$699,25,FALSE))</f>
        <v>PR/IO</v>
      </c>
      <c r="D152" s="142">
        <f>IF(VLOOKUP($A152,Sheet1!$A$3:$AW$699,15,FALSE)="","",VLOOKUP($A152,Sheet1!$A$3:$AW$699,15,FALSE))</f>
        <v>-2147483648</v>
      </c>
      <c r="E152" s="142">
        <f>IF(VLOOKUP($A152,Sheet1!$A$3:$AW$699,16,FALSE)="","",VLOOKUP($A152,Sheet1!$A$3:$AW$699,16,FALSE))</f>
        <v>2147483647</v>
      </c>
      <c r="F152" s="142">
        <f>IF(VLOOKUP($A152,Sheet1!$A$3:$AW$699,17,FALSE)="","",VLOOKUP($A152,Sheet1!$A$3:$AW$699,17,FALSE))</f>
        <v>0</v>
      </c>
      <c r="G152" s="142" t="str">
        <f>IF(VLOOKUP($A152,Sheet1!$A$3:$AW$699,18,FALSE)="","",VLOOKUP($A152,Sheet1!$A$3:$AW$699,18,FALSE))</f>
        <v/>
      </c>
      <c r="H152" s="142" t="str">
        <f>IF(VLOOKUP($A152,Sheet1!$A$3:$AW$699,19,FALSE)="","",VLOOKUP($A152,Sheet1!$A$3:$AW$699,19,FALSE))</f>
        <v/>
      </c>
      <c r="I152" s="9" t="str">
        <f>IF(VLOOKUP($A152,Sheet1!$A$3:$AW$699,5,FALSE)="","",VLOOKUP($A152,Sheet1!$A$3:$AW$699,5,FALSE))</f>
        <v>DINT</v>
      </c>
      <c r="J152" s="9" t="s">
        <v>685</v>
      </c>
      <c r="K152" s="9" t="s">
        <v>658</v>
      </c>
      <c r="L152" s="146" t="str">
        <f>IF(VLOOKUP($A152,Sheet1!$A$3:$AW$699,7,FALSE)="★","x","")</f>
        <v/>
      </c>
      <c r="M152" s="146" t="str">
        <f>IF(VLOOKUP($A152,Sheet1!$A$3:$AW$699,8,FALSE)="▲","x","")</f>
        <v/>
      </c>
      <c r="N152" s="146" t="str">
        <f>IF(VLOOKUP($A152,Sheet1!$A$3:$AW$699,9,FALSE)="●","x","")</f>
        <v/>
      </c>
      <c r="O152" s="146" t="str">
        <f>IF(VLOOKUP($A152,Sheet1!$A$3:$AW$699,10,FALSE)="■","x","")</f>
        <v/>
      </c>
      <c r="P152" s="9" t="str">
        <f>IF(VLOOKUP($A152,Sheet1!$A$3:$AW$699,2,FALSE)="","",VLOOKUP($A152,Sheet1!$A$3:$AW$699,2,FALSE))</f>
        <v>P6.029</v>
      </c>
    </row>
    <row r="153" spans="1:16" ht="20.399999999999999" x14ac:dyDescent="0.3">
      <c r="A153" s="9">
        <v>427</v>
      </c>
      <c r="B153" s="9" t="str">
        <f>IF(VLOOKUP($A153,Sheet1!$A$3:$AW$699,20,FALSE)="","",VLOOKUP($A153,Sheet1!$A$3:$AW$699,20,FALSE))</f>
        <v>PRCmd15Setting</v>
      </c>
      <c r="C153" s="9" t="str">
        <f>IF(VLOOKUP($A153,Sheet1!$A$3:$AW$699,25,FALSE)="","",VLOOKUP($A153,Sheet1!$A$3:$AW$699,25,FALSE))</f>
        <v>PR/IO</v>
      </c>
      <c r="D153" s="142" t="str">
        <f>IF(VLOOKUP($A153,Sheet1!$A$3:$AW$699,15,FALSE)="","",VLOOKUP($A153,Sheet1!$A$3:$AW$699,15,FALSE))</f>
        <v>0x00000000</v>
      </c>
      <c r="E153" s="142" t="str">
        <f>IF(VLOOKUP($A153,Sheet1!$A$3:$AW$699,16,FALSE)="","",VLOOKUP($A153,Sheet1!$A$3:$AW$699,16,FALSE))</f>
        <v>0xFFFFFFFF</v>
      </c>
      <c r="F153" s="142" t="str">
        <f>IF(VLOOKUP($A153,Sheet1!$A$3:$AW$699,17,FALSE)="","",VLOOKUP($A153,Sheet1!$A$3:$AW$699,17,FALSE))</f>
        <v>0x00000000</v>
      </c>
      <c r="G153" s="142" t="str">
        <f>IF(VLOOKUP($A153,Sheet1!$A$3:$AW$699,18,FALSE)="","",VLOOKUP($A153,Sheet1!$A$3:$AW$699,18,FALSE))</f>
        <v/>
      </c>
      <c r="H153" s="142" t="str">
        <f>IF(VLOOKUP($A153,Sheet1!$A$3:$AW$699,19,FALSE)="","",VLOOKUP($A153,Sheet1!$A$3:$AW$699,19,FALSE))</f>
        <v/>
      </c>
      <c r="I153" s="9" t="str">
        <f>IF(VLOOKUP($A153,Sheet1!$A$3:$AW$699,5,FALSE)="","",VLOOKUP($A153,Sheet1!$A$3:$AW$699,5,FALSE))</f>
        <v>UDINT</v>
      </c>
      <c r="J153" s="9" t="s">
        <v>686</v>
      </c>
      <c r="K153" s="9" t="s">
        <v>658</v>
      </c>
      <c r="L153" s="146" t="str">
        <f>IF(VLOOKUP($A153,Sheet1!$A$3:$AW$699,7,FALSE)="★","x","")</f>
        <v/>
      </c>
      <c r="M153" s="146" t="str">
        <f>IF(VLOOKUP($A153,Sheet1!$A$3:$AW$699,8,FALSE)="▲","x","")</f>
        <v/>
      </c>
      <c r="N153" s="146" t="str">
        <f>IF(VLOOKUP($A153,Sheet1!$A$3:$AW$699,9,FALSE)="●","x","")</f>
        <v/>
      </c>
      <c r="O153" s="146" t="str">
        <f>IF(VLOOKUP($A153,Sheet1!$A$3:$AW$699,10,FALSE)="■","x","")</f>
        <v/>
      </c>
      <c r="P153" s="9" t="str">
        <f>IF(VLOOKUP($A153,Sheet1!$A$3:$AW$699,2,FALSE)="","",VLOOKUP($A153,Sheet1!$A$3:$AW$699,2,FALSE))</f>
        <v>P6.030</v>
      </c>
    </row>
    <row r="154" spans="1:16" ht="20.399999999999999" x14ac:dyDescent="0.3">
      <c r="A154" s="9">
        <v>428</v>
      </c>
      <c r="B154" s="9" t="str">
        <f>IF(VLOOKUP($A154,Sheet1!$A$3:$AW$699,20,FALSE)="","",VLOOKUP($A154,Sheet1!$A$3:$AW$699,20,FALSE))</f>
        <v>PRCmd15Data</v>
      </c>
      <c r="C154" s="9" t="str">
        <f>IF(VLOOKUP($A154,Sheet1!$A$3:$AW$699,25,FALSE)="","",VLOOKUP($A154,Sheet1!$A$3:$AW$699,25,FALSE))</f>
        <v>PR/IO</v>
      </c>
      <c r="D154" s="142">
        <f>IF(VLOOKUP($A154,Sheet1!$A$3:$AW$699,15,FALSE)="","",VLOOKUP($A154,Sheet1!$A$3:$AW$699,15,FALSE))</f>
        <v>-2147483648</v>
      </c>
      <c r="E154" s="142">
        <f>IF(VLOOKUP($A154,Sheet1!$A$3:$AW$699,16,FALSE)="","",VLOOKUP($A154,Sheet1!$A$3:$AW$699,16,FALSE))</f>
        <v>2147483647</v>
      </c>
      <c r="F154" s="142">
        <f>IF(VLOOKUP($A154,Sheet1!$A$3:$AW$699,17,FALSE)="","",VLOOKUP($A154,Sheet1!$A$3:$AW$699,17,FALSE))</f>
        <v>0</v>
      </c>
      <c r="G154" s="142" t="str">
        <f>IF(VLOOKUP($A154,Sheet1!$A$3:$AW$699,18,FALSE)="","",VLOOKUP($A154,Sheet1!$A$3:$AW$699,18,FALSE))</f>
        <v/>
      </c>
      <c r="H154" s="142" t="str">
        <f>IF(VLOOKUP($A154,Sheet1!$A$3:$AW$699,19,FALSE)="","",VLOOKUP($A154,Sheet1!$A$3:$AW$699,19,FALSE))</f>
        <v/>
      </c>
      <c r="I154" s="9" t="str">
        <f>IF(VLOOKUP($A154,Sheet1!$A$3:$AW$699,5,FALSE)="","",VLOOKUP($A154,Sheet1!$A$3:$AW$699,5,FALSE))</f>
        <v>DINT</v>
      </c>
      <c r="J154" s="9" t="s">
        <v>687</v>
      </c>
      <c r="K154" s="9" t="s">
        <v>658</v>
      </c>
      <c r="L154" s="146" t="str">
        <f>IF(VLOOKUP($A154,Sheet1!$A$3:$AW$699,7,FALSE)="★","x","")</f>
        <v/>
      </c>
      <c r="M154" s="146" t="str">
        <f>IF(VLOOKUP($A154,Sheet1!$A$3:$AW$699,8,FALSE)="▲","x","")</f>
        <v/>
      </c>
      <c r="N154" s="146" t="str">
        <f>IF(VLOOKUP($A154,Sheet1!$A$3:$AW$699,9,FALSE)="●","x","")</f>
        <v/>
      </c>
      <c r="O154" s="146" t="str">
        <f>IF(VLOOKUP($A154,Sheet1!$A$3:$AW$699,10,FALSE)="■","x","")</f>
        <v/>
      </c>
      <c r="P154" s="9" t="str">
        <f>IF(VLOOKUP($A154,Sheet1!$A$3:$AW$699,2,FALSE)="","",VLOOKUP($A154,Sheet1!$A$3:$AW$699,2,FALSE))</f>
        <v>P6.031</v>
      </c>
    </row>
    <row r="155" spans="1:16" ht="20.399999999999999" x14ac:dyDescent="0.3">
      <c r="A155" s="9">
        <v>429</v>
      </c>
      <c r="B155" s="9" t="str">
        <f>IF(VLOOKUP($A155,Sheet1!$A$3:$AW$699,20,FALSE)="","",VLOOKUP($A155,Sheet1!$A$3:$AW$699,20,FALSE))</f>
        <v>PRCmd16Setting</v>
      </c>
      <c r="C155" s="9" t="str">
        <f>IF(VLOOKUP($A155,Sheet1!$A$3:$AW$699,25,FALSE)="","",VLOOKUP($A155,Sheet1!$A$3:$AW$699,25,FALSE))</f>
        <v>PR/IO</v>
      </c>
      <c r="D155" s="142" t="str">
        <f>IF(VLOOKUP($A155,Sheet1!$A$3:$AW$699,15,FALSE)="","",VLOOKUP($A155,Sheet1!$A$3:$AW$699,15,FALSE))</f>
        <v>0x00000000</v>
      </c>
      <c r="E155" s="142" t="str">
        <f>IF(VLOOKUP($A155,Sheet1!$A$3:$AW$699,16,FALSE)="","",VLOOKUP($A155,Sheet1!$A$3:$AW$699,16,FALSE))</f>
        <v>0xFFFFFFFF</v>
      </c>
      <c r="F155" s="142" t="str">
        <f>IF(VLOOKUP($A155,Sheet1!$A$3:$AW$699,17,FALSE)="","",VLOOKUP($A155,Sheet1!$A$3:$AW$699,17,FALSE))</f>
        <v>0x00000000</v>
      </c>
      <c r="G155" s="142" t="str">
        <f>IF(VLOOKUP($A155,Sheet1!$A$3:$AW$699,18,FALSE)="","",VLOOKUP($A155,Sheet1!$A$3:$AW$699,18,FALSE))</f>
        <v/>
      </c>
      <c r="H155" s="142" t="str">
        <f>IF(VLOOKUP($A155,Sheet1!$A$3:$AW$699,19,FALSE)="","",VLOOKUP($A155,Sheet1!$A$3:$AW$699,19,FALSE))</f>
        <v/>
      </c>
      <c r="I155" s="9" t="str">
        <f>IF(VLOOKUP($A155,Sheet1!$A$3:$AW$699,5,FALSE)="","",VLOOKUP($A155,Sheet1!$A$3:$AW$699,5,FALSE))</f>
        <v>UDINT</v>
      </c>
      <c r="J155" s="9" t="s">
        <v>688</v>
      </c>
      <c r="K155" s="9" t="s">
        <v>658</v>
      </c>
      <c r="L155" s="146" t="str">
        <f>IF(VLOOKUP($A155,Sheet1!$A$3:$AW$699,7,FALSE)="★","x","")</f>
        <v/>
      </c>
      <c r="M155" s="146" t="str">
        <f>IF(VLOOKUP($A155,Sheet1!$A$3:$AW$699,8,FALSE)="▲","x","")</f>
        <v/>
      </c>
      <c r="N155" s="146" t="str">
        <f>IF(VLOOKUP($A155,Sheet1!$A$3:$AW$699,9,FALSE)="●","x","")</f>
        <v/>
      </c>
      <c r="O155" s="146" t="str">
        <f>IF(VLOOKUP($A155,Sheet1!$A$3:$AW$699,10,FALSE)="■","x","")</f>
        <v/>
      </c>
      <c r="P155" s="9" t="str">
        <f>IF(VLOOKUP($A155,Sheet1!$A$3:$AW$699,2,FALSE)="","",VLOOKUP($A155,Sheet1!$A$3:$AW$699,2,FALSE))</f>
        <v>P6.032</v>
      </c>
    </row>
    <row r="156" spans="1:16" ht="20.399999999999999" x14ac:dyDescent="0.3">
      <c r="A156" s="9">
        <v>430</v>
      </c>
      <c r="B156" s="9" t="str">
        <f>IF(VLOOKUP($A156,Sheet1!$A$3:$AW$699,20,FALSE)="","",VLOOKUP($A156,Sheet1!$A$3:$AW$699,20,FALSE))</f>
        <v>PRCmd16Data</v>
      </c>
      <c r="C156" s="9" t="str">
        <f>IF(VLOOKUP($A156,Sheet1!$A$3:$AW$699,25,FALSE)="","",VLOOKUP($A156,Sheet1!$A$3:$AW$699,25,FALSE))</f>
        <v>PR/IO</v>
      </c>
      <c r="D156" s="142">
        <f>IF(VLOOKUP($A156,Sheet1!$A$3:$AW$699,15,FALSE)="","",VLOOKUP($A156,Sheet1!$A$3:$AW$699,15,FALSE))</f>
        <v>-2147483648</v>
      </c>
      <c r="E156" s="142">
        <f>IF(VLOOKUP($A156,Sheet1!$A$3:$AW$699,16,FALSE)="","",VLOOKUP($A156,Sheet1!$A$3:$AW$699,16,FALSE))</f>
        <v>2147483647</v>
      </c>
      <c r="F156" s="142">
        <f>IF(VLOOKUP($A156,Sheet1!$A$3:$AW$699,17,FALSE)="","",VLOOKUP($A156,Sheet1!$A$3:$AW$699,17,FALSE))</f>
        <v>0</v>
      </c>
      <c r="G156" s="142" t="str">
        <f>IF(VLOOKUP($A156,Sheet1!$A$3:$AW$699,18,FALSE)="","",VLOOKUP($A156,Sheet1!$A$3:$AW$699,18,FALSE))</f>
        <v/>
      </c>
      <c r="H156" s="142" t="str">
        <f>IF(VLOOKUP($A156,Sheet1!$A$3:$AW$699,19,FALSE)="","",VLOOKUP($A156,Sheet1!$A$3:$AW$699,19,FALSE))</f>
        <v/>
      </c>
      <c r="I156" s="9" t="str">
        <f>IF(VLOOKUP($A156,Sheet1!$A$3:$AW$699,5,FALSE)="","",VLOOKUP($A156,Sheet1!$A$3:$AW$699,5,FALSE))</f>
        <v>DINT</v>
      </c>
      <c r="J156" s="9" t="s">
        <v>689</v>
      </c>
      <c r="K156" s="9" t="s">
        <v>658</v>
      </c>
      <c r="L156" s="146" t="str">
        <f>IF(VLOOKUP($A156,Sheet1!$A$3:$AW$699,7,FALSE)="★","x","")</f>
        <v/>
      </c>
      <c r="M156" s="146" t="str">
        <f>IF(VLOOKUP($A156,Sheet1!$A$3:$AW$699,8,FALSE)="▲","x","")</f>
        <v/>
      </c>
      <c r="N156" s="146" t="str">
        <f>IF(VLOOKUP($A156,Sheet1!$A$3:$AW$699,9,FALSE)="●","x","")</f>
        <v/>
      </c>
      <c r="O156" s="146" t="str">
        <f>IF(VLOOKUP($A156,Sheet1!$A$3:$AW$699,10,FALSE)="■","x","")</f>
        <v/>
      </c>
      <c r="P156" s="9" t="str">
        <f>IF(VLOOKUP($A156,Sheet1!$A$3:$AW$699,2,FALSE)="","",VLOOKUP($A156,Sheet1!$A$3:$AW$699,2,FALSE))</f>
        <v>P6.033</v>
      </c>
    </row>
    <row r="157" spans="1:16" ht="20.399999999999999" x14ac:dyDescent="0.3">
      <c r="A157" s="9">
        <v>431</v>
      </c>
      <c r="B157" s="9" t="str">
        <f>IF(VLOOKUP($A157,Sheet1!$A$3:$AW$699,20,FALSE)="","",VLOOKUP($A157,Sheet1!$A$3:$AW$699,20,FALSE))</f>
        <v>PRCmd17Setting</v>
      </c>
      <c r="C157" s="9" t="str">
        <f>IF(VLOOKUP($A157,Sheet1!$A$3:$AW$699,25,FALSE)="","",VLOOKUP($A157,Sheet1!$A$3:$AW$699,25,FALSE))</f>
        <v>PR/IO</v>
      </c>
      <c r="D157" s="142" t="str">
        <f>IF(VLOOKUP($A157,Sheet1!$A$3:$AW$699,15,FALSE)="","",VLOOKUP($A157,Sheet1!$A$3:$AW$699,15,FALSE))</f>
        <v>0x00000000</v>
      </c>
      <c r="E157" s="142" t="str">
        <f>IF(VLOOKUP($A157,Sheet1!$A$3:$AW$699,16,FALSE)="","",VLOOKUP($A157,Sheet1!$A$3:$AW$699,16,FALSE))</f>
        <v>0xFFFFFFFF</v>
      </c>
      <c r="F157" s="142" t="str">
        <f>IF(VLOOKUP($A157,Sheet1!$A$3:$AW$699,17,FALSE)="","",VLOOKUP($A157,Sheet1!$A$3:$AW$699,17,FALSE))</f>
        <v>0x00000000</v>
      </c>
      <c r="G157" s="142" t="str">
        <f>IF(VLOOKUP($A157,Sheet1!$A$3:$AW$699,18,FALSE)="","",VLOOKUP($A157,Sheet1!$A$3:$AW$699,18,FALSE))</f>
        <v/>
      </c>
      <c r="H157" s="142" t="str">
        <f>IF(VLOOKUP($A157,Sheet1!$A$3:$AW$699,19,FALSE)="","",VLOOKUP($A157,Sheet1!$A$3:$AW$699,19,FALSE))</f>
        <v/>
      </c>
      <c r="I157" s="9" t="str">
        <f>IF(VLOOKUP($A157,Sheet1!$A$3:$AW$699,5,FALSE)="","",VLOOKUP($A157,Sheet1!$A$3:$AW$699,5,FALSE))</f>
        <v>UDINT</v>
      </c>
      <c r="J157" s="9" t="s">
        <v>690</v>
      </c>
      <c r="K157" s="9" t="s">
        <v>658</v>
      </c>
      <c r="L157" s="146" t="str">
        <f>IF(VLOOKUP($A157,Sheet1!$A$3:$AW$699,7,FALSE)="★","x","")</f>
        <v/>
      </c>
      <c r="M157" s="146" t="str">
        <f>IF(VLOOKUP($A157,Sheet1!$A$3:$AW$699,8,FALSE)="▲","x","")</f>
        <v/>
      </c>
      <c r="N157" s="146" t="str">
        <f>IF(VLOOKUP($A157,Sheet1!$A$3:$AW$699,9,FALSE)="●","x","")</f>
        <v/>
      </c>
      <c r="O157" s="146" t="str">
        <f>IF(VLOOKUP($A157,Sheet1!$A$3:$AW$699,10,FALSE)="■","x","")</f>
        <v/>
      </c>
      <c r="P157" s="9" t="str">
        <f>IF(VLOOKUP($A157,Sheet1!$A$3:$AW$699,2,FALSE)="","",VLOOKUP($A157,Sheet1!$A$3:$AW$699,2,FALSE))</f>
        <v>P6.034</v>
      </c>
    </row>
    <row r="158" spans="1:16" ht="20.399999999999999" x14ac:dyDescent="0.3">
      <c r="A158" s="9">
        <v>432</v>
      </c>
      <c r="B158" s="9" t="str">
        <f>IF(VLOOKUP($A158,Sheet1!$A$3:$AW$699,20,FALSE)="","",VLOOKUP($A158,Sheet1!$A$3:$AW$699,20,FALSE))</f>
        <v>PRCmd17Data</v>
      </c>
      <c r="C158" s="9" t="str">
        <f>IF(VLOOKUP($A158,Sheet1!$A$3:$AW$699,25,FALSE)="","",VLOOKUP($A158,Sheet1!$A$3:$AW$699,25,FALSE))</f>
        <v>PR/IO</v>
      </c>
      <c r="D158" s="142">
        <f>IF(VLOOKUP($A158,Sheet1!$A$3:$AW$699,15,FALSE)="","",VLOOKUP($A158,Sheet1!$A$3:$AW$699,15,FALSE))</f>
        <v>-2147483648</v>
      </c>
      <c r="E158" s="142">
        <f>IF(VLOOKUP($A158,Sheet1!$A$3:$AW$699,16,FALSE)="","",VLOOKUP($A158,Sheet1!$A$3:$AW$699,16,FALSE))</f>
        <v>2147483647</v>
      </c>
      <c r="F158" s="142">
        <f>IF(VLOOKUP($A158,Sheet1!$A$3:$AW$699,17,FALSE)="","",VLOOKUP($A158,Sheet1!$A$3:$AW$699,17,FALSE))</f>
        <v>0</v>
      </c>
      <c r="G158" s="142" t="str">
        <f>IF(VLOOKUP($A158,Sheet1!$A$3:$AW$699,18,FALSE)="","",VLOOKUP($A158,Sheet1!$A$3:$AW$699,18,FALSE))</f>
        <v/>
      </c>
      <c r="H158" s="142" t="str">
        <f>IF(VLOOKUP($A158,Sheet1!$A$3:$AW$699,19,FALSE)="","",VLOOKUP($A158,Sheet1!$A$3:$AW$699,19,FALSE))</f>
        <v/>
      </c>
      <c r="I158" s="9" t="str">
        <f>IF(VLOOKUP($A158,Sheet1!$A$3:$AW$699,5,FALSE)="","",VLOOKUP($A158,Sheet1!$A$3:$AW$699,5,FALSE))</f>
        <v>DINT</v>
      </c>
      <c r="J158" s="9" t="s">
        <v>691</v>
      </c>
      <c r="K158" s="9" t="s">
        <v>658</v>
      </c>
      <c r="L158" s="146" t="str">
        <f>IF(VLOOKUP($A158,Sheet1!$A$3:$AW$699,7,FALSE)="★","x","")</f>
        <v/>
      </c>
      <c r="M158" s="146" t="str">
        <f>IF(VLOOKUP($A158,Sheet1!$A$3:$AW$699,8,FALSE)="▲","x","")</f>
        <v/>
      </c>
      <c r="N158" s="146" t="str">
        <f>IF(VLOOKUP($A158,Sheet1!$A$3:$AW$699,9,FALSE)="●","x","")</f>
        <v/>
      </c>
      <c r="O158" s="146" t="str">
        <f>IF(VLOOKUP($A158,Sheet1!$A$3:$AW$699,10,FALSE)="■","x","")</f>
        <v/>
      </c>
      <c r="P158" s="9" t="str">
        <f>IF(VLOOKUP($A158,Sheet1!$A$3:$AW$699,2,FALSE)="","",VLOOKUP($A158,Sheet1!$A$3:$AW$699,2,FALSE))</f>
        <v>P6.035</v>
      </c>
    </row>
    <row r="159" spans="1:16" ht="20.399999999999999" x14ac:dyDescent="0.3">
      <c r="A159" s="9">
        <v>433</v>
      </c>
      <c r="B159" s="9" t="str">
        <f>IF(VLOOKUP($A159,Sheet1!$A$3:$AW$699,20,FALSE)="","",VLOOKUP($A159,Sheet1!$A$3:$AW$699,20,FALSE))</f>
        <v>PRCmd18Setting</v>
      </c>
      <c r="C159" s="9" t="str">
        <f>IF(VLOOKUP($A159,Sheet1!$A$3:$AW$699,25,FALSE)="","",VLOOKUP($A159,Sheet1!$A$3:$AW$699,25,FALSE))</f>
        <v>PR/IO</v>
      </c>
      <c r="D159" s="142" t="str">
        <f>IF(VLOOKUP($A159,Sheet1!$A$3:$AW$699,15,FALSE)="","",VLOOKUP($A159,Sheet1!$A$3:$AW$699,15,FALSE))</f>
        <v>0x00000000</v>
      </c>
      <c r="E159" s="142" t="str">
        <f>IF(VLOOKUP($A159,Sheet1!$A$3:$AW$699,16,FALSE)="","",VLOOKUP($A159,Sheet1!$A$3:$AW$699,16,FALSE))</f>
        <v>0xFFFFFFFF</v>
      </c>
      <c r="F159" s="142" t="str">
        <f>IF(VLOOKUP($A159,Sheet1!$A$3:$AW$699,17,FALSE)="","",VLOOKUP($A159,Sheet1!$A$3:$AW$699,17,FALSE))</f>
        <v>0x00000000</v>
      </c>
      <c r="G159" s="142" t="str">
        <f>IF(VLOOKUP($A159,Sheet1!$A$3:$AW$699,18,FALSE)="","",VLOOKUP($A159,Sheet1!$A$3:$AW$699,18,FALSE))</f>
        <v/>
      </c>
      <c r="H159" s="142" t="str">
        <f>IF(VLOOKUP($A159,Sheet1!$A$3:$AW$699,19,FALSE)="","",VLOOKUP($A159,Sheet1!$A$3:$AW$699,19,FALSE))</f>
        <v/>
      </c>
      <c r="I159" s="9" t="str">
        <f>IF(VLOOKUP($A159,Sheet1!$A$3:$AW$699,5,FALSE)="","",VLOOKUP($A159,Sheet1!$A$3:$AW$699,5,FALSE))</f>
        <v>UDINT</v>
      </c>
      <c r="J159" s="9" t="s">
        <v>692</v>
      </c>
      <c r="K159" s="9" t="s">
        <v>658</v>
      </c>
      <c r="L159" s="146" t="str">
        <f>IF(VLOOKUP($A159,Sheet1!$A$3:$AW$699,7,FALSE)="★","x","")</f>
        <v/>
      </c>
      <c r="M159" s="146" t="str">
        <f>IF(VLOOKUP($A159,Sheet1!$A$3:$AW$699,8,FALSE)="▲","x","")</f>
        <v/>
      </c>
      <c r="N159" s="146" t="str">
        <f>IF(VLOOKUP($A159,Sheet1!$A$3:$AW$699,9,FALSE)="●","x","")</f>
        <v/>
      </c>
      <c r="O159" s="146" t="str">
        <f>IF(VLOOKUP($A159,Sheet1!$A$3:$AW$699,10,FALSE)="■","x","")</f>
        <v/>
      </c>
      <c r="P159" s="9" t="str">
        <f>IF(VLOOKUP($A159,Sheet1!$A$3:$AW$699,2,FALSE)="","",VLOOKUP($A159,Sheet1!$A$3:$AW$699,2,FALSE))</f>
        <v>P6.036</v>
      </c>
    </row>
    <row r="160" spans="1:16" ht="20.399999999999999" x14ac:dyDescent="0.3">
      <c r="A160" s="9">
        <v>434</v>
      </c>
      <c r="B160" s="9" t="str">
        <f>IF(VLOOKUP($A160,Sheet1!$A$3:$AW$699,20,FALSE)="","",VLOOKUP($A160,Sheet1!$A$3:$AW$699,20,FALSE))</f>
        <v>PRCmd18Data</v>
      </c>
      <c r="C160" s="9" t="str">
        <f>IF(VLOOKUP($A160,Sheet1!$A$3:$AW$699,25,FALSE)="","",VLOOKUP($A160,Sheet1!$A$3:$AW$699,25,FALSE))</f>
        <v>PR/IO</v>
      </c>
      <c r="D160" s="142">
        <f>IF(VLOOKUP($A160,Sheet1!$A$3:$AW$699,15,FALSE)="","",VLOOKUP($A160,Sheet1!$A$3:$AW$699,15,FALSE))</f>
        <v>-2147483648</v>
      </c>
      <c r="E160" s="142">
        <f>IF(VLOOKUP($A160,Sheet1!$A$3:$AW$699,16,FALSE)="","",VLOOKUP($A160,Sheet1!$A$3:$AW$699,16,FALSE))</f>
        <v>2147483647</v>
      </c>
      <c r="F160" s="142">
        <f>IF(VLOOKUP($A160,Sheet1!$A$3:$AW$699,17,FALSE)="","",VLOOKUP($A160,Sheet1!$A$3:$AW$699,17,FALSE))</f>
        <v>0</v>
      </c>
      <c r="G160" s="142" t="str">
        <f>IF(VLOOKUP($A160,Sheet1!$A$3:$AW$699,18,FALSE)="","",VLOOKUP($A160,Sheet1!$A$3:$AW$699,18,FALSE))</f>
        <v/>
      </c>
      <c r="H160" s="142" t="str">
        <f>IF(VLOOKUP($A160,Sheet1!$A$3:$AW$699,19,FALSE)="","",VLOOKUP($A160,Sheet1!$A$3:$AW$699,19,FALSE))</f>
        <v/>
      </c>
      <c r="I160" s="9" t="str">
        <f>IF(VLOOKUP($A160,Sheet1!$A$3:$AW$699,5,FALSE)="","",VLOOKUP($A160,Sheet1!$A$3:$AW$699,5,FALSE))</f>
        <v>DINT</v>
      </c>
      <c r="J160" s="9" t="s">
        <v>693</v>
      </c>
      <c r="K160" s="9" t="s">
        <v>658</v>
      </c>
      <c r="L160" s="146" t="str">
        <f>IF(VLOOKUP($A160,Sheet1!$A$3:$AW$699,7,FALSE)="★","x","")</f>
        <v/>
      </c>
      <c r="M160" s="146" t="str">
        <f>IF(VLOOKUP($A160,Sheet1!$A$3:$AW$699,8,FALSE)="▲","x","")</f>
        <v/>
      </c>
      <c r="N160" s="146" t="str">
        <f>IF(VLOOKUP($A160,Sheet1!$A$3:$AW$699,9,FALSE)="●","x","")</f>
        <v/>
      </c>
      <c r="O160" s="146" t="str">
        <f>IF(VLOOKUP($A160,Sheet1!$A$3:$AW$699,10,FALSE)="■","x","")</f>
        <v/>
      </c>
      <c r="P160" s="9" t="str">
        <f>IF(VLOOKUP($A160,Sheet1!$A$3:$AW$699,2,FALSE)="","",VLOOKUP($A160,Sheet1!$A$3:$AW$699,2,FALSE))</f>
        <v>P6.037</v>
      </c>
    </row>
    <row r="161" spans="1:16" ht="20.399999999999999" x14ac:dyDescent="0.3">
      <c r="A161" s="9">
        <v>435</v>
      </c>
      <c r="B161" s="9" t="str">
        <f>IF(VLOOKUP($A161,Sheet1!$A$3:$AW$699,20,FALSE)="","",VLOOKUP($A161,Sheet1!$A$3:$AW$699,20,FALSE))</f>
        <v>PRCmd19Setting</v>
      </c>
      <c r="C161" s="9" t="str">
        <f>IF(VLOOKUP($A161,Sheet1!$A$3:$AW$699,25,FALSE)="","",VLOOKUP($A161,Sheet1!$A$3:$AW$699,25,FALSE))</f>
        <v>PR/IO</v>
      </c>
      <c r="D161" s="142" t="str">
        <f>IF(VLOOKUP($A161,Sheet1!$A$3:$AW$699,15,FALSE)="","",VLOOKUP($A161,Sheet1!$A$3:$AW$699,15,FALSE))</f>
        <v>0x00000000</v>
      </c>
      <c r="E161" s="142" t="str">
        <f>IF(VLOOKUP($A161,Sheet1!$A$3:$AW$699,16,FALSE)="","",VLOOKUP($A161,Sheet1!$A$3:$AW$699,16,FALSE))</f>
        <v>0xFFFFFFFF</v>
      </c>
      <c r="F161" s="142" t="str">
        <f>IF(VLOOKUP($A161,Sheet1!$A$3:$AW$699,17,FALSE)="","",VLOOKUP($A161,Sheet1!$A$3:$AW$699,17,FALSE))</f>
        <v>0x00000000</v>
      </c>
      <c r="G161" s="142" t="str">
        <f>IF(VLOOKUP($A161,Sheet1!$A$3:$AW$699,18,FALSE)="","",VLOOKUP($A161,Sheet1!$A$3:$AW$699,18,FALSE))</f>
        <v/>
      </c>
      <c r="H161" s="142" t="str">
        <f>IF(VLOOKUP($A161,Sheet1!$A$3:$AW$699,19,FALSE)="","",VLOOKUP($A161,Sheet1!$A$3:$AW$699,19,FALSE))</f>
        <v/>
      </c>
      <c r="I161" s="9" t="str">
        <f>IF(VLOOKUP($A161,Sheet1!$A$3:$AW$699,5,FALSE)="","",VLOOKUP($A161,Sheet1!$A$3:$AW$699,5,FALSE))</f>
        <v>UDINT</v>
      </c>
      <c r="J161" s="9" t="s">
        <v>694</v>
      </c>
      <c r="K161" s="9" t="s">
        <v>658</v>
      </c>
      <c r="L161" s="146" t="str">
        <f>IF(VLOOKUP($A161,Sheet1!$A$3:$AW$699,7,FALSE)="★","x","")</f>
        <v/>
      </c>
      <c r="M161" s="146" t="str">
        <f>IF(VLOOKUP($A161,Sheet1!$A$3:$AW$699,8,FALSE)="▲","x","")</f>
        <v/>
      </c>
      <c r="N161" s="146" t="str">
        <f>IF(VLOOKUP($A161,Sheet1!$A$3:$AW$699,9,FALSE)="●","x","")</f>
        <v/>
      </c>
      <c r="O161" s="146" t="str">
        <f>IF(VLOOKUP($A161,Sheet1!$A$3:$AW$699,10,FALSE)="■","x","")</f>
        <v/>
      </c>
      <c r="P161" s="9" t="str">
        <f>IF(VLOOKUP($A161,Sheet1!$A$3:$AW$699,2,FALSE)="","",VLOOKUP($A161,Sheet1!$A$3:$AW$699,2,FALSE))</f>
        <v>P6.038</v>
      </c>
    </row>
    <row r="162" spans="1:16" ht="20.399999999999999" x14ac:dyDescent="0.3">
      <c r="A162" s="9">
        <v>436</v>
      </c>
      <c r="B162" s="9" t="str">
        <f>IF(VLOOKUP($A162,Sheet1!$A$3:$AW$699,20,FALSE)="","",VLOOKUP($A162,Sheet1!$A$3:$AW$699,20,FALSE))</f>
        <v>PRCmd19Data</v>
      </c>
      <c r="C162" s="9" t="str">
        <f>IF(VLOOKUP($A162,Sheet1!$A$3:$AW$699,25,FALSE)="","",VLOOKUP($A162,Sheet1!$A$3:$AW$699,25,FALSE))</f>
        <v>PR/IO</v>
      </c>
      <c r="D162" s="142">
        <f>IF(VLOOKUP($A162,Sheet1!$A$3:$AW$699,15,FALSE)="","",VLOOKUP($A162,Sheet1!$A$3:$AW$699,15,FALSE))</f>
        <v>-2147483648</v>
      </c>
      <c r="E162" s="142">
        <f>IF(VLOOKUP($A162,Sheet1!$A$3:$AW$699,16,FALSE)="","",VLOOKUP($A162,Sheet1!$A$3:$AW$699,16,FALSE))</f>
        <v>2147483647</v>
      </c>
      <c r="F162" s="142">
        <f>IF(VLOOKUP($A162,Sheet1!$A$3:$AW$699,17,FALSE)="","",VLOOKUP($A162,Sheet1!$A$3:$AW$699,17,FALSE))</f>
        <v>0</v>
      </c>
      <c r="G162" s="142" t="str">
        <f>IF(VLOOKUP($A162,Sheet1!$A$3:$AW$699,18,FALSE)="","",VLOOKUP($A162,Sheet1!$A$3:$AW$699,18,FALSE))</f>
        <v/>
      </c>
      <c r="H162" s="142" t="str">
        <f>IF(VLOOKUP($A162,Sheet1!$A$3:$AW$699,19,FALSE)="","",VLOOKUP($A162,Sheet1!$A$3:$AW$699,19,FALSE))</f>
        <v/>
      </c>
      <c r="I162" s="9" t="str">
        <f>IF(VLOOKUP($A162,Sheet1!$A$3:$AW$699,5,FALSE)="","",VLOOKUP($A162,Sheet1!$A$3:$AW$699,5,FALSE))</f>
        <v>DINT</v>
      </c>
      <c r="J162" s="9" t="s">
        <v>695</v>
      </c>
      <c r="K162" s="9" t="s">
        <v>658</v>
      </c>
      <c r="L162" s="146" t="str">
        <f>IF(VLOOKUP($A162,Sheet1!$A$3:$AW$699,7,FALSE)="★","x","")</f>
        <v/>
      </c>
      <c r="M162" s="146" t="str">
        <f>IF(VLOOKUP($A162,Sheet1!$A$3:$AW$699,8,FALSE)="▲","x","")</f>
        <v/>
      </c>
      <c r="N162" s="146" t="str">
        <f>IF(VLOOKUP($A162,Sheet1!$A$3:$AW$699,9,FALSE)="●","x","")</f>
        <v/>
      </c>
      <c r="O162" s="146" t="str">
        <f>IF(VLOOKUP($A162,Sheet1!$A$3:$AW$699,10,FALSE)="■","x","")</f>
        <v/>
      </c>
      <c r="P162" s="9" t="str">
        <f>IF(VLOOKUP($A162,Sheet1!$A$3:$AW$699,2,FALSE)="","",VLOOKUP($A162,Sheet1!$A$3:$AW$699,2,FALSE))</f>
        <v>P6.039</v>
      </c>
    </row>
    <row r="163" spans="1:16" ht="20.399999999999999" x14ac:dyDescent="0.3">
      <c r="A163" s="9">
        <v>437</v>
      </c>
      <c r="B163" s="9" t="str">
        <f>IF(VLOOKUP($A163,Sheet1!$A$3:$AW$699,20,FALSE)="","",VLOOKUP($A163,Sheet1!$A$3:$AW$699,20,FALSE))</f>
        <v>PRCmd20Setting</v>
      </c>
      <c r="C163" s="9" t="str">
        <f>IF(VLOOKUP($A163,Sheet1!$A$3:$AW$699,25,FALSE)="","",VLOOKUP($A163,Sheet1!$A$3:$AW$699,25,FALSE))</f>
        <v>PR/IO</v>
      </c>
      <c r="D163" s="142" t="str">
        <f>IF(VLOOKUP($A163,Sheet1!$A$3:$AW$699,15,FALSE)="","",VLOOKUP($A163,Sheet1!$A$3:$AW$699,15,FALSE))</f>
        <v>0x00000000</v>
      </c>
      <c r="E163" s="142" t="str">
        <f>IF(VLOOKUP($A163,Sheet1!$A$3:$AW$699,16,FALSE)="","",VLOOKUP($A163,Sheet1!$A$3:$AW$699,16,FALSE))</f>
        <v>0xFFFFFFFF</v>
      </c>
      <c r="F163" s="142" t="str">
        <f>IF(VLOOKUP($A163,Sheet1!$A$3:$AW$699,17,FALSE)="","",VLOOKUP($A163,Sheet1!$A$3:$AW$699,17,FALSE))</f>
        <v>0x00000000</v>
      </c>
      <c r="G163" s="142" t="str">
        <f>IF(VLOOKUP($A163,Sheet1!$A$3:$AW$699,18,FALSE)="","",VLOOKUP($A163,Sheet1!$A$3:$AW$699,18,FALSE))</f>
        <v/>
      </c>
      <c r="H163" s="142" t="str">
        <f>IF(VLOOKUP($A163,Sheet1!$A$3:$AW$699,19,FALSE)="","",VLOOKUP($A163,Sheet1!$A$3:$AW$699,19,FALSE))</f>
        <v/>
      </c>
      <c r="I163" s="9" t="str">
        <f>IF(VLOOKUP($A163,Sheet1!$A$3:$AW$699,5,FALSE)="","",VLOOKUP($A163,Sheet1!$A$3:$AW$699,5,FALSE))</f>
        <v>UDINT</v>
      </c>
      <c r="J163" s="9" t="s">
        <v>696</v>
      </c>
      <c r="K163" s="9" t="s">
        <v>658</v>
      </c>
      <c r="L163" s="146" t="str">
        <f>IF(VLOOKUP($A163,Sheet1!$A$3:$AW$699,7,FALSE)="★","x","")</f>
        <v/>
      </c>
      <c r="M163" s="146" t="str">
        <f>IF(VLOOKUP($A163,Sheet1!$A$3:$AW$699,8,FALSE)="▲","x","")</f>
        <v/>
      </c>
      <c r="N163" s="146" t="str">
        <f>IF(VLOOKUP($A163,Sheet1!$A$3:$AW$699,9,FALSE)="●","x","")</f>
        <v/>
      </c>
      <c r="O163" s="146" t="str">
        <f>IF(VLOOKUP($A163,Sheet1!$A$3:$AW$699,10,FALSE)="■","x","")</f>
        <v/>
      </c>
      <c r="P163" s="9" t="str">
        <f>IF(VLOOKUP($A163,Sheet1!$A$3:$AW$699,2,FALSE)="","",VLOOKUP($A163,Sheet1!$A$3:$AW$699,2,FALSE))</f>
        <v>P6.040</v>
      </c>
    </row>
    <row r="164" spans="1:16" ht="20.399999999999999" x14ac:dyDescent="0.3">
      <c r="A164" s="9">
        <v>438</v>
      </c>
      <c r="B164" s="9" t="str">
        <f>IF(VLOOKUP($A164,Sheet1!$A$3:$AW$699,20,FALSE)="","",VLOOKUP($A164,Sheet1!$A$3:$AW$699,20,FALSE))</f>
        <v>PRCmd20Data</v>
      </c>
      <c r="C164" s="9" t="str">
        <f>IF(VLOOKUP($A164,Sheet1!$A$3:$AW$699,25,FALSE)="","",VLOOKUP($A164,Sheet1!$A$3:$AW$699,25,FALSE))</f>
        <v>PR/IO</v>
      </c>
      <c r="D164" s="142">
        <f>IF(VLOOKUP($A164,Sheet1!$A$3:$AW$699,15,FALSE)="","",VLOOKUP($A164,Sheet1!$A$3:$AW$699,15,FALSE))</f>
        <v>-2147483648</v>
      </c>
      <c r="E164" s="142">
        <f>IF(VLOOKUP($A164,Sheet1!$A$3:$AW$699,16,FALSE)="","",VLOOKUP($A164,Sheet1!$A$3:$AW$699,16,FALSE))</f>
        <v>2147483647</v>
      </c>
      <c r="F164" s="142">
        <f>IF(VLOOKUP($A164,Sheet1!$A$3:$AW$699,17,FALSE)="","",VLOOKUP($A164,Sheet1!$A$3:$AW$699,17,FALSE))</f>
        <v>0</v>
      </c>
      <c r="G164" s="142" t="str">
        <f>IF(VLOOKUP($A164,Sheet1!$A$3:$AW$699,18,FALSE)="","",VLOOKUP($A164,Sheet1!$A$3:$AW$699,18,FALSE))</f>
        <v/>
      </c>
      <c r="H164" s="142" t="str">
        <f>IF(VLOOKUP($A164,Sheet1!$A$3:$AW$699,19,FALSE)="","",VLOOKUP($A164,Sheet1!$A$3:$AW$699,19,FALSE))</f>
        <v/>
      </c>
      <c r="I164" s="9" t="str">
        <f>IF(VLOOKUP($A164,Sheet1!$A$3:$AW$699,5,FALSE)="","",VLOOKUP($A164,Sheet1!$A$3:$AW$699,5,FALSE))</f>
        <v>DINT</v>
      </c>
      <c r="J164" s="9" t="s">
        <v>697</v>
      </c>
      <c r="K164" s="9" t="s">
        <v>658</v>
      </c>
      <c r="L164" s="146" t="str">
        <f>IF(VLOOKUP($A164,Sheet1!$A$3:$AW$699,7,FALSE)="★","x","")</f>
        <v/>
      </c>
      <c r="M164" s="146" t="str">
        <f>IF(VLOOKUP($A164,Sheet1!$A$3:$AW$699,8,FALSE)="▲","x","")</f>
        <v/>
      </c>
      <c r="N164" s="146" t="str">
        <f>IF(VLOOKUP($A164,Sheet1!$A$3:$AW$699,9,FALSE)="●","x","")</f>
        <v/>
      </c>
      <c r="O164" s="146" t="str">
        <f>IF(VLOOKUP($A164,Sheet1!$A$3:$AW$699,10,FALSE)="■","x","")</f>
        <v/>
      </c>
      <c r="P164" s="9" t="str">
        <f>IF(VLOOKUP($A164,Sheet1!$A$3:$AW$699,2,FALSE)="","",VLOOKUP($A164,Sheet1!$A$3:$AW$699,2,FALSE))</f>
        <v>P6.041</v>
      </c>
    </row>
    <row r="165" spans="1:16" ht="20.399999999999999" x14ac:dyDescent="0.3">
      <c r="A165" s="9">
        <v>439</v>
      </c>
      <c r="B165" s="9" t="str">
        <f>IF(VLOOKUP($A165,Sheet1!$A$3:$AW$699,20,FALSE)="","",VLOOKUP($A165,Sheet1!$A$3:$AW$699,20,FALSE))</f>
        <v>PRCmd21Setting</v>
      </c>
      <c r="C165" s="9" t="str">
        <f>IF(VLOOKUP($A165,Sheet1!$A$3:$AW$699,25,FALSE)="","",VLOOKUP($A165,Sheet1!$A$3:$AW$699,25,FALSE))</f>
        <v>PR/IO</v>
      </c>
      <c r="D165" s="142" t="str">
        <f>IF(VLOOKUP($A165,Sheet1!$A$3:$AW$699,15,FALSE)="","",VLOOKUP($A165,Sheet1!$A$3:$AW$699,15,FALSE))</f>
        <v>0x00000000</v>
      </c>
      <c r="E165" s="142" t="str">
        <f>IF(VLOOKUP($A165,Sheet1!$A$3:$AW$699,16,FALSE)="","",VLOOKUP($A165,Sheet1!$A$3:$AW$699,16,FALSE))</f>
        <v>0xFFFFFFFF</v>
      </c>
      <c r="F165" s="142" t="str">
        <f>IF(VLOOKUP($A165,Sheet1!$A$3:$AW$699,17,FALSE)="","",VLOOKUP($A165,Sheet1!$A$3:$AW$699,17,FALSE))</f>
        <v>0x00000000</v>
      </c>
      <c r="G165" s="142" t="str">
        <f>IF(VLOOKUP($A165,Sheet1!$A$3:$AW$699,18,FALSE)="","",VLOOKUP($A165,Sheet1!$A$3:$AW$699,18,FALSE))</f>
        <v/>
      </c>
      <c r="H165" s="142" t="str">
        <f>IF(VLOOKUP($A165,Sheet1!$A$3:$AW$699,19,FALSE)="","",VLOOKUP($A165,Sheet1!$A$3:$AW$699,19,FALSE))</f>
        <v/>
      </c>
      <c r="I165" s="9" t="str">
        <f>IF(VLOOKUP($A165,Sheet1!$A$3:$AW$699,5,FALSE)="","",VLOOKUP($A165,Sheet1!$A$3:$AW$699,5,FALSE))</f>
        <v>UDINT</v>
      </c>
      <c r="J165" s="9" t="s">
        <v>698</v>
      </c>
      <c r="K165" s="9" t="s">
        <v>658</v>
      </c>
      <c r="L165" s="146" t="str">
        <f>IF(VLOOKUP($A165,Sheet1!$A$3:$AW$699,7,FALSE)="★","x","")</f>
        <v/>
      </c>
      <c r="M165" s="146" t="str">
        <f>IF(VLOOKUP($A165,Sheet1!$A$3:$AW$699,8,FALSE)="▲","x","")</f>
        <v/>
      </c>
      <c r="N165" s="146" t="str">
        <f>IF(VLOOKUP($A165,Sheet1!$A$3:$AW$699,9,FALSE)="●","x","")</f>
        <v/>
      </c>
      <c r="O165" s="146" t="str">
        <f>IF(VLOOKUP($A165,Sheet1!$A$3:$AW$699,10,FALSE)="■","x","")</f>
        <v/>
      </c>
      <c r="P165" s="9" t="str">
        <f>IF(VLOOKUP($A165,Sheet1!$A$3:$AW$699,2,FALSE)="","",VLOOKUP($A165,Sheet1!$A$3:$AW$699,2,FALSE))</f>
        <v>P6.042</v>
      </c>
    </row>
    <row r="166" spans="1:16" ht="20.399999999999999" x14ac:dyDescent="0.3">
      <c r="A166" s="9">
        <v>440</v>
      </c>
      <c r="B166" s="9" t="str">
        <f>IF(VLOOKUP($A166,Sheet1!$A$3:$AW$699,20,FALSE)="","",VLOOKUP($A166,Sheet1!$A$3:$AW$699,20,FALSE))</f>
        <v>PRCmd21Data</v>
      </c>
      <c r="C166" s="9" t="str">
        <f>IF(VLOOKUP($A166,Sheet1!$A$3:$AW$699,25,FALSE)="","",VLOOKUP($A166,Sheet1!$A$3:$AW$699,25,FALSE))</f>
        <v>PR/IO</v>
      </c>
      <c r="D166" s="142">
        <f>IF(VLOOKUP($A166,Sheet1!$A$3:$AW$699,15,FALSE)="","",VLOOKUP($A166,Sheet1!$A$3:$AW$699,15,FALSE))</f>
        <v>-2147483648</v>
      </c>
      <c r="E166" s="142">
        <f>IF(VLOOKUP($A166,Sheet1!$A$3:$AW$699,16,FALSE)="","",VLOOKUP($A166,Sheet1!$A$3:$AW$699,16,FALSE))</f>
        <v>2147483647</v>
      </c>
      <c r="F166" s="142">
        <f>IF(VLOOKUP($A166,Sheet1!$A$3:$AW$699,17,FALSE)="","",VLOOKUP($A166,Sheet1!$A$3:$AW$699,17,FALSE))</f>
        <v>0</v>
      </c>
      <c r="G166" s="142" t="str">
        <f>IF(VLOOKUP($A166,Sheet1!$A$3:$AW$699,18,FALSE)="","",VLOOKUP($A166,Sheet1!$A$3:$AW$699,18,FALSE))</f>
        <v/>
      </c>
      <c r="H166" s="142" t="str">
        <f>IF(VLOOKUP($A166,Sheet1!$A$3:$AW$699,19,FALSE)="","",VLOOKUP($A166,Sheet1!$A$3:$AW$699,19,FALSE))</f>
        <v/>
      </c>
      <c r="I166" s="9" t="str">
        <f>IF(VLOOKUP($A166,Sheet1!$A$3:$AW$699,5,FALSE)="","",VLOOKUP($A166,Sheet1!$A$3:$AW$699,5,FALSE))</f>
        <v>DINT</v>
      </c>
      <c r="J166" s="9" t="s">
        <v>699</v>
      </c>
      <c r="K166" s="9" t="s">
        <v>658</v>
      </c>
      <c r="L166" s="146" t="str">
        <f>IF(VLOOKUP($A166,Sheet1!$A$3:$AW$699,7,FALSE)="★","x","")</f>
        <v/>
      </c>
      <c r="M166" s="146" t="str">
        <f>IF(VLOOKUP($A166,Sheet1!$A$3:$AW$699,8,FALSE)="▲","x","")</f>
        <v/>
      </c>
      <c r="N166" s="146" t="str">
        <f>IF(VLOOKUP($A166,Sheet1!$A$3:$AW$699,9,FALSE)="●","x","")</f>
        <v/>
      </c>
      <c r="O166" s="146" t="str">
        <f>IF(VLOOKUP($A166,Sheet1!$A$3:$AW$699,10,FALSE)="■","x","")</f>
        <v/>
      </c>
      <c r="P166" s="9" t="str">
        <f>IF(VLOOKUP($A166,Sheet1!$A$3:$AW$699,2,FALSE)="","",VLOOKUP($A166,Sheet1!$A$3:$AW$699,2,FALSE))</f>
        <v>P6.043</v>
      </c>
    </row>
    <row r="167" spans="1:16" ht="20.399999999999999" x14ac:dyDescent="0.3">
      <c r="A167" s="9">
        <v>441</v>
      </c>
      <c r="B167" s="9" t="str">
        <f>IF(VLOOKUP($A167,Sheet1!$A$3:$AW$699,20,FALSE)="","",VLOOKUP($A167,Sheet1!$A$3:$AW$699,20,FALSE))</f>
        <v>PRCmd22Setting</v>
      </c>
      <c r="C167" s="9" t="str">
        <f>IF(VLOOKUP($A167,Sheet1!$A$3:$AW$699,25,FALSE)="","",VLOOKUP($A167,Sheet1!$A$3:$AW$699,25,FALSE))</f>
        <v>PR/IO</v>
      </c>
      <c r="D167" s="142" t="str">
        <f>IF(VLOOKUP($A167,Sheet1!$A$3:$AW$699,15,FALSE)="","",VLOOKUP($A167,Sheet1!$A$3:$AW$699,15,FALSE))</f>
        <v>0x00000000</v>
      </c>
      <c r="E167" s="142" t="str">
        <f>IF(VLOOKUP($A167,Sheet1!$A$3:$AW$699,16,FALSE)="","",VLOOKUP($A167,Sheet1!$A$3:$AW$699,16,FALSE))</f>
        <v>0xFFFFFFFF</v>
      </c>
      <c r="F167" s="142" t="str">
        <f>IF(VLOOKUP($A167,Sheet1!$A$3:$AW$699,17,FALSE)="","",VLOOKUP($A167,Sheet1!$A$3:$AW$699,17,FALSE))</f>
        <v>0x00000000</v>
      </c>
      <c r="G167" s="142" t="str">
        <f>IF(VLOOKUP($A167,Sheet1!$A$3:$AW$699,18,FALSE)="","",VLOOKUP($A167,Sheet1!$A$3:$AW$699,18,FALSE))</f>
        <v/>
      </c>
      <c r="H167" s="142" t="str">
        <f>IF(VLOOKUP($A167,Sheet1!$A$3:$AW$699,19,FALSE)="","",VLOOKUP($A167,Sheet1!$A$3:$AW$699,19,FALSE))</f>
        <v/>
      </c>
      <c r="I167" s="9" t="str">
        <f>IF(VLOOKUP($A167,Sheet1!$A$3:$AW$699,5,FALSE)="","",VLOOKUP($A167,Sheet1!$A$3:$AW$699,5,FALSE))</f>
        <v>UDINT</v>
      </c>
      <c r="J167" s="9" t="s">
        <v>700</v>
      </c>
      <c r="K167" s="9" t="s">
        <v>658</v>
      </c>
      <c r="L167" s="146" t="str">
        <f>IF(VLOOKUP($A167,Sheet1!$A$3:$AW$699,7,FALSE)="★","x","")</f>
        <v/>
      </c>
      <c r="M167" s="146" t="str">
        <f>IF(VLOOKUP($A167,Sheet1!$A$3:$AW$699,8,FALSE)="▲","x","")</f>
        <v/>
      </c>
      <c r="N167" s="146" t="str">
        <f>IF(VLOOKUP($A167,Sheet1!$A$3:$AW$699,9,FALSE)="●","x","")</f>
        <v/>
      </c>
      <c r="O167" s="146" t="str">
        <f>IF(VLOOKUP($A167,Sheet1!$A$3:$AW$699,10,FALSE)="■","x","")</f>
        <v/>
      </c>
      <c r="P167" s="9" t="str">
        <f>IF(VLOOKUP($A167,Sheet1!$A$3:$AW$699,2,FALSE)="","",VLOOKUP($A167,Sheet1!$A$3:$AW$699,2,FALSE))</f>
        <v>P6.044</v>
      </c>
    </row>
    <row r="168" spans="1:16" ht="20.399999999999999" x14ac:dyDescent="0.3">
      <c r="A168" s="9">
        <v>442</v>
      </c>
      <c r="B168" s="9" t="str">
        <f>IF(VLOOKUP($A168,Sheet1!$A$3:$AW$699,20,FALSE)="","",VLOOKUP($A168,Sheet1!$A$3:$AW$699,20,FALSE))</f>
        <v>PRCmd22Data</v>
      </c>
      <c r="C168" s="9" t="str">
        <f>IF(VLOOKUP($A168,Sheet1!$A$3:$AW$699,25,FALSE)="","",VLOOKUP($A168,Sheet1!$A$3:$AW$699,25,FALSE))</f>
        <v>PR/IO</v>
      </c>
      <c r="D168" s="142">
        <f>IF(VLOOKUP($A168,Sheet1!$A$3:$AW$699,15,FALSE)="","",VLOOKUP($A168,Sheet1!$A$3:$AW$699,15,FALSE))</f>
        <v>-2147483648</v>
      </c>
      <c r="E168" s="142">
        <f>IF(VLOOKUP($A168,Sheet1!$A$3:$AW$699,16,FALSE)="","",VLOOKUP($A168,Sheet1!$A$3:$AW$699,16,FALSE))</f>
        <v>2147483647</v>
      </c>
      <c r="F168" s="142">
        <f>IF(VLOOKUP($A168,Sheet1!$A$3:$AW$699,17,FALSE)="","",VLOOKUP($A168,Sheet1!$A$3:$AW$699,17,FALSE))</f>
        <v>0</v>
      </c>
      <c r="G168" s="142" t="str">
        <f>IF(VLOOKUP($A168,Sheet1!$A$3:$AW$699,18,FALSE)="","",VLOOKUP($A168,Sheet1!$A$3:$AW$699,18,FALSE))</f>
        <v/>
      </c>
      <c r="H168" s="142" t="str">
        <f>IF(VLOOKUP($A168,Sheet1!$A$3:$AW$699,19,FALSE)="","",VLOOKUP($A168,Sheet1!$A$3:$AW$699,19,FALSE))</f>
        <v/>
      </c>
      <c r="I168" s="9" t="str">
        <f>IF(VLOOKUP($A168,Sheet1!$A$3:$AW$699,5,FALSE)="","",VLOOKUP($A168,Sheet1!$A$3:$AW$699,5,FALSE))</f>
        <v>DINT</v>
      </c>
      <c r="J168" s="9" t="s">
        <v>701</v>
      </c>
      <c r="K168" s="9" t="s">
        <v>658</v>
      </c>
      <c r="L168" s="146" t="str">
        <f>IF(VLOOKUP($A168,Sheet1!$A$3:$AW$699,7,FALSE)="★","x","")</f>
        <v/>
      </c>
      <c r="M168" s="146" t="str">
        <f>IF(VLOOKUP($A168,Sheet1!$A$3:$AW$699,8,FALSE)="▲","x","")</f>
        <v/>
      </c>
      <c r="N168" s="146" t="str">
        <f>IF(VLOOKUP($A168,Sheet1!$A$3:$AW$699,9,FALSE)="●","x","")</f>
        <v/>
      </c>
      <c r="O168" s="146" t="str">
        <f>IF(VLOOKUP($A168,Sheet1!$A$3:$AW$699,10,FALSE)="■","x","")</f>
        <v/>
      </c>
      <c r="P168" s="9" t="str">
        <f>IF(VLOOKUP($A168,Sheet1!$A$3:$AW$699,2,FALSE)="","",VLOOKUP($A168,Sheet1!$A$3:$AW$699,2,FALSE))</f>
        <v>P6.045</v>
      </c>
    </row>
    <row r="169" spans="1:16" ht="20.399999999999999" x14ac:dyDescent="0.3">
      <c r="A169" s="9">
        <v>443</v>
      </c>
      <c r="B169" s="9" t="str">
        <f>IF(VLOOKUP($A169,Sheet1!$A$3:$AW$699,20,FALSE)="","",VLOOKUP($A169,Sheet1!$A$3:$AW$699,20,FALSE))</f>
        <v>PRCmd23Setting</v>
      </c>
      <c r="C169" s="9" t="str">
        <f>IF(VLOOKUP($A169,Sheet1!$A$3:$AW$699,25,FALSE)="","",VLOOKUP($A169,Sheet1!$A$3:$AW$699,25,FALSE))</f>
        <v>PR/IO</v>
      </c>
      <c r="D169" s="142" t="str">
        <f>IF(VLOOKUP($A169,Sheet1!$A$3:$AW$699,15,FALSE)="","",VLOOKUP($A169,Sheet1!$A$3:$AW$699,15,FALSE))</f>
        <v>0x00000000</v>
      </c>
      <c r="E169" s="142" t="str">
        <f>IF(VLOOKUP($A169,Sheet1!$A$3:$AW$699,16,FALSE)="","",VLOOKUP($A169,Sheet1!$A$3:$AW$699,16,FALSE))</f>
        <v>0xFFFFFFFF</v>
      </c>
      <c r="F169" s="142" t="str">
        <f>IF(VLOOKUP($A169,Sheet1!$A$3:$AW$699,17,FALSE)="","",VLOOKUP($A169,Sheet1!$A$3:$AW$699,17,FALSE))</f>
        <v>0x00000000</v>
      </c>
      <c r="G169" s="142" t="str">
        <f>IF(VLOOKUP($A169,Sheet1!$A$3:$AW$699,18,FALSE)="","",VLOOKUP($A169,Sheet1!$A$3:$AW$699,18,FALSE))</f>
        <v/>
      </c>
      <c r="H169" s="142" t="str">
        <f>IF(VLOOKUP($A169,Sheet1!$A$3:$AW$699,19,FALSE)="","",VLOOKUP($A169,Sheet1!$A$3:$AW$699,19,FALSE))</f>
        <v/>
      </c>
      <c r="I169" s="9" t="str">
        <f>IF(VLOOKUP($A169,Sheet1!$A$3:$AW$699,5,FALSE)="","",VLOOKUP($A169,Sheet1!$A$3:$AW$699,5,FALSE))</f>
        <v>UDINT</v>
      </c>
      <c r="J169" s="9" t="s">
        <v>702</v>
      </c>
      <c r="K169" s="9" t="s">
        <v>658</v>
      </c>
      <c r="L169" s="146" t="str">
        <f>IF(VLOOKUP($A169,Sheet1!$A$3:$AW$699,7,FALSE)="★","x","")</f>
        <v/>
      </c>
      <c r="M169" s="146" t="str">
        <f>IF(VLOOKUP($A169,Sheet1!$A$3:$AW$699,8,FALSE)="▲","x","")</f>
        <v/>
      </c>
      <c r="N169" s="146" t="str">
        <f>IF(VLOOKUP($A169,Sheet1!$A$3:$AW$699,9,FALSE)="●","x","")</f>
        <v/>
      </c>
      <c r="O169" s="146" t="str">
        <f>IF(VLOOKUP($A169,Sheet1!$A$3:$AW$699,10,FALSE)="■","x","")</f>
        <v/>
      </c>
      <c r="P169" s="9" t="str">
        <f>IF(VLOOKUP($A169,Sheet1!$A$3:$AW$699,2,FALSE)="","",VLOOKUP($A169,Sheet1!$A$3:$AW$699,2,FALSE))</f>
        <v>P6.046</v>
      </c>
    </row>
    <row r="170" spans="1:16" ht="20.399999999999999" x14ac:dyDescent="0.3">
      <c r="A170" s="9">
        <v>444</v>
      </c>
      <c r="B170" s="9" t="str">
        <f>IF(VLOOKUP($A170,Sheet1!$A$3:$AW$699,20,FALSE)="","",VLOOKUP($A170,Sheet1!$A$3:$AW$699,20,FALSE))</f>
        <v>PRCmd23Data</v>
      </c>
      <c r="C170" s="9" t="str">
        <f>IF(VLOOKUP($A170,Sheet1!$A$3:$AW$699,25,FALSE)="","",VLOOKUP($A170,Sheet1!$A$3:$AW$699,25,FALSE))</f>
        <v>PR/IO</v>
      </c>
      <c r="D170" s="142">
        <f>IF(VLOOKUP($A170,Sheet1!$A$3:$AW$699,15,FALSE)="","",VLOOKUP($A170,Sheet1!$A$3:$AW$699,15,FALSE))</f>
        <v>-2147483648</v>
      </c>
      <c r="E170" s="142">
        <f>IF(VLOOKUP($A170,Sheet1!$A$3:$AW$699,16,FALSE)="","",VLOOKUP($A170,Sheet1!$A$3:$AW$699,16,FALSE))</f>
        <v>2147483647</v>
      </c>
      <c r="F170" s="142">
        <f>IF(VLOOKUP($A170,Sheet1!$A$3:$AW$699,17,FALSE)="","",VLOOKUP($A170,Sheet1!$A$3:$AW$699,17,FALSE))</f>
        <v>0</v>
      </c>
      <c r="G170" s="142" t="str">
        <f>IF(VLOOKUP($A170,Sheet1!$A$3:$AW$699,18,FALSE)="","",VLOOKUP($A170,Sheet1!$A$3:$AW$699,18,FALSE))</f>
        <v/>
      </c>
      <c r="H170" s="142" t="str">
        <f>IF(VLOOKUP($A170,Sheet1!$A$3:$AW$699,19,FALSE)="","",VLOOKUP($A170,Sheet1!$A$3:$AW$699,19,FALSE))</f>
        <v/>
      </c>
      <c r="I170" s="9" t="str">
        <f>IF(VLOOKUP($A170,Sheet1!$A$3:$AW$699,5,FALSE)="","",VLOOKUP($A170,Sheet1!$A$3:$AW$699,5,FALSE))</f>
        <v>DINT</v>
      </c>
      <c r="J170" s="9" t="s">
        <v>703</v>
      </c>
      <c r="K170" s="9" t="s">
        <v>658</v>
      </c>
      <c r="L170" s="146" t="str">
        <f>IF(VLOOKUP($A170,Sheet1!$A$3:$AW$699,7,FALSE)="★","x","")</f>
        <v/>
      </c>
      <c r="M170" s="146" t="str">
        <f>IF(VLOOKUP($A170,Sheet1!$A$3:$AW$699,8,FALSE)="▲","x","")</f>
        <v/>
      </c>
      <c r="N170" s="146" t="str">
        <f>IF(VLOOKUP($A170,Sheet1!$A$3:$AW$699,9,FALSE)="●","x","")</f>
        <v/>
      </c>
      <c r="O170" s="146" t="str">
        <f>IF(VLOOKUP($A170,Sheet1!$A$3:$AW$699,10,FALSE)="■","x","")</f>
        <v/>
      </c>
      <c r="P170" s="9" t="str">
        <f>IF(VLOOKUP($A170,Sheet1!$A$3:$AW$699,2,FALSE)="","",VLOOKUP($A170,Sheet1!$A$3:$AW$699,2,FALSE))</f>
        <v>P6.047</v>
      </c>
    </row>
    <row r="171" spans="1:16" ht="20.399999999999999" x14ac:dyDescent="0.3">
      <c r="A171" s="9">
        <v>445</v>
      </c>
      <c r="B171" s="9" t="str">
        <f>IF(VLOOKUP($A171,Sheet1!$A$3:$AW$699,20,FALSE)="","",VLOOKUP($A171,Sheet1!$A$3:$AW$699,20,FALSE))</f>
        <v>PRCmd24Setting</v>
      </c>
      <c r="C171" s="9" t="str">
        <f>IF(VLOOKUP($A171,Sheet1!$A$3:$AW$699,25,FALSE)="","",VLOOKUP($A171,Sheet1!$A$3:$AW$699,25,FALSE))</f>
        <v>PR/IO</v>
      </c>
      <c r="D171" s="142" t="str">
        <f>IF(VLOOKUP($A171,Sheet1!$A$3:$AW$699,15,FALSE)="","",VLOOKUP($A171,Sheet1!$A$3:$AW$699,15,FALSE))</f>
        <v>0x00000000</v>
      </c>
      <c r="E171" s="142" t="str">
        <f>IF(VLOOKUP($A171,Sheet1!$A$3:$AW$699,16,FALSE)="","",VLOOKUP($A171,Sheet1!$A$3:$AW$699,16,FALSE))</f>
        <v>0xFFFFFFFF</v>
      </c>
      <c r="F171" s="142" t="str">
        <f>IF(VLOOKUP($A171,Sheet1!$A$3:$AW$699,17,FALSE)="","",VLOOKUP($A171,Sheet1!$A$3:$AW$699,17,FALSE))</f>
        <v>0x00000000</v>
      </c>
      <c r="G171" s="142" t="str">
        <f>IF(VLOOKUP($A171,Sheet1!$A$3:$AW$699,18,FALSE)="","",VLOOKUP($A171,Sheet1!$A$3:$AW$699,18,FALSE))</f>
        <v/>
      </c>
      <c r="H171" s="142" t="str">
        <f>IF(VLOOKUP($A171,Sheet1!$A$3:$AW$699,19,FALSE)="","",VLOOKUP($A171,Sheet1!$A$3:$AW$699,19,FALSE))</f>
        <v/>
      </c>
      <c r="I171" s="9" t="str">
        <f>IF(VLOOKUP($A171,Sheet1!$A$3:$AW$699,5,FALSE)="","",VLOOKUP($A171,Sheet1!$A$3:$AW$699,5,FALSE))</f>
        <v>UDINT</v>
      </c>
      <c r="J171" s="9" t="s">
        <v>704</v>
      </c>
      <c r="K171" s="9" t="s">
        <v>658</v>
      </c>
      <c r="L171" s="146" t="str">
        <f>IF(VLOOKUP($A171,Sheet1!$A$3:$AW$699,7,FALSE)="★","x","")</f>
        <v/>
      </c>
      <c r="M171" s="146" t="str">
        <f>IF(VLOOKUP($A171,Sheet1!$A$3:$AW$699,8,FALSE)="▲","x","")</f>
        <v/>
      </c>
      <c r="N171" s="146" t="str">
        <f>IF(VLOOKUP($A171,Sheet1!$A$3:$AW$699,9,FALSE)="●","x","")</f>
        <v/>
      </c>
      <c r="O171" s="146" t="str">
        <f>IF(VLOOKUP($A171,Sheet1!$A$3:$AW$699,10,FALSE)="■","x","")</f>
        <v/>
      </c>
      <c r="P171" s="9" t="str">
        <f>IF(VLOOKUP($A171,Sheet1!$A$3:$AW$699,2,FALSE)="","",VLOOKUP($A171,Sheet1!$A$3:$AW$699,2,FALSE))</f>
        <v>P6.048</v>
      </c>
    </row>
    <row r="172" spans="1:16" ht="20.399999999999999" x14ac:dyDescent="0.3">
      <c r="A172" s="9">
        <v>446</v>
      </c>
      <c r="B172" s="9" t="str">
        <f>IF(VLOOKUP($A172,Sheet1!$A$3:$AW$699,20,FALSE)="","",VLOOKUP($A172,Sheet1!$A$3:$AW$699,20,FALSE))</f>
        <v>PRCmd24Data</v>
      </c>
      <c r="C172" s="9" t="str">
        <f>IF(VLOOKUP($A172,Sheet1!$A$3:$AW$699,25,FALSE)="","",VLOOKUP($A172,Sheet1!$A$3:$AW$699,25,FALSE))</f>
        <v>PR/IO</v>
      </c>
      <c r="D172" s="142">
        <f>IF(VLOOKUP($A172,Sheet1!$A$3:$AW$699,15,FALSE)="","",VLOOKUP($A172,Sheet1!$A$3:$AW$699,15,FALSE))</f>
        <v>-2147483648</v>
      </c>
      <c r="E172" s="142">
        <f>IF(VLOOKUP($A172,Sheet1!$A$3:$AW$699,16,FALSE)="","",VLOOKUP($A172,Sheet1!$A$3:$AW$699,16,FALSE))</f>
        <v>2147483647</v>
      </c>
      <c r="F172" s="142">
        <f>IF(VLOOKUP($A172,Sheet1!$A$3:$AW$699,17,FALSE)="","",VLOOKUP($A172,Sheet1!$A$3:$AW$699,17,FALSE))</f>
        <v>0</v>
      </c>
      <c r="G172" s="142" t="str">
        <f>IF(VLOOKUP($A172,Sheet1!$A$3:$AW$699,18,FALSE)="","",VLOOKUP($A172,Sheet1!$A$3:$AW$699,18,FALSE))</f>
        <v/>
      </c>
      <c r="H172" s="142" t="str">
        <f>IF(VLOOKUP($A172,Sheet1!$A$3:$AW$699,19,FALSE)="","",VLOOKUP($A172,Sheet1!$A$3:$AW$699,19,FALSE))</f>
        <v/>
      </c>
      <c r="I172" s="9" t="str">
        <f>IF(VLOOKUP($A172,Sheet1!$A$3:$AW$699,5,FALSE)="","",VLOOKUP($A172,Sheet1!$A$3:$AW$699,5,FALSE))</f>
        <v>DINT</v>
      </c>
      <c r="J172" s="9" t="s">
        <v>705</v>
      </c>
      <c r="K172" s="9" t="s">
        <v>658</v>
      </c>
      <c r="L172" s="146" t="str">
        <f>IF(VLOOKUP($A172,Sheet1!$A$3:$AW$699,7,FALSE)="★","x","")</f>
        <v/>
      </c>
      <c r="M172" s="146" t="str">
        <f>IF(VLOOKUP($A172,Sheet1!$A$3:$AW$699,8,FALSE)="▲","x","")</f>
        <v/>
      </c>
      <c r="N172" s="146" t="str">
        <f>IF(VLOOKUP($A172,Sheet1!$A$3:$AW$699,9,FALSE)="●","x","")</f>
        <v/>
      </c>
      <c r="O172" s="146" t="str">
        <f>IF(VLOOKUP($A172,Sheet1!$A$3:$AW$699,10,FALSE)="■","x","")</f>
        <v/>
      </c>
      <c r="P172" s="9" t="str">
        <f>IF(VLOOKUP($A172,Sheet1!$A$3:$AW$699,2,FALSE)="","",VLOOKUP($A172,Sheet1!$A$3:$AW$699,2,FALSE))</f>
        <v>P6.049</v>
      </c>
    </row>
    <row r="173" spans="1:16" ht="20.399999999999999" x14ac:dyDescent="0.3">
      <c r="A173" s="9">
        <v>447</v>
      </c>
      <c r="B173" s="9" t="str">
        <f>IF(VLOOKUP($A173,Sheet1!$A$3:$AW$699,20,FALSE)="","",VLOOKUP($A173,Sheet1!$A$3:$AW$699,20,FALSE))</f>
        <v>PRCmd25Setting</v>
      </c>
      <c r="C173" s="9" t="str">
        <f>IF(VLOOKUP($A173,Sheet1!$A$3:$AW$699,25,FALSE)="","",VLOOKUP($A173,Sheet1!$A$3:$AW$699,25,FALSE))</f>
        <v>PR/IO</v>
      </c>
      <c r="D173" s="142" t="str">
        <f>IF(VLOOKUP($A173,Sheet1!$A$3:$AW$699,15,FALSE)="","",VLOOKUP($A173,Sheet1!$A$3:$AW$699,15,FALSE))</f>
        <v>0x00000000</v>
      </c>
      <c r="E173" s="142" t="str">
        <f>IF(VLOOKUP($A173,Sheet1!$A$3:$AW$699,16,FALSE)="","",VLOOKUP($A173,Sheet1!$A$3:$AW$699,16,FALSE))</f>
        <v>0xFFFFFFFF</v>
      </c>
      <c r="F173" s="142" t="str">
        <f>IF(VLOOKUP($A173,Sheet1!$A$3:$AW$699,17,FALSE)="","",VLOOKUP($A173,Sheet1!$A$3:$AW$699,17,FALSE))</f>
        <v>0x00000000</v>
      </c>
      <c r="G173" s="142" t="str">
        <f>IF(VLOOKUP($A173,Sheet1!$A$3:$AW$699,18,FALSE)="","",VLOOKUP($A173,Sheet1!$A$3:$AW$699,18,FALSE))</f>
        <v/>
      </c>
      <c r="H173" s="142" t="str">
        <f>IF(VLOOKUP($A173,Sheet1!$A$3:$AW$699,19,FALSE)="","",VLOOKUP($A173,Sheet1!$A$3:$AW$699,19,FALSE))</f>
        <v/>
      </c>
      <c r="I173" s="9" t="str">
        <f>IF(VLOOKUP($A173,Sheet1!$A$3:$AW$699,5,FALSE)="","",VLOOKUP($A173,Sheet1!$A$3:$AW$699,5,FALSE))</f>
        <v>UDINT</v>
      </c>
      <c r="J173" s="9" t="s">
        <v>706</v>
      </c>
      <c r="K173" s="9" t="s">
        <v>658</v>
      </c>
      <c r="L173" s="146" t="str">
        <f>IF(VLOOKUP($A173,Sheet1!$A$3:$AW$699,7,FALSE)="★","x","")</f>
        <v/>
      </c>
      <c r="M173" s="146" t="str">
        <f>IF(VLOOKUP($A173,Sheet1!$A$3:$AW$699,8,FALSE)="▲","x","")</f>
        <v/>
      </c>
      <c r="N173" s="146" t="str">
        <f>IF(VLOOKUP($A173,Sheet1!$A$3:$AW$699,9,FALSE)="●","x","")</f>
        <v/>
      </c>
      <c r="O173" s="146" t="str">
        <f>IF(VLOOKUP($A173,Sheet1!$A$3:$AW$699,10,FALSE)="■","x","")</f>
        <v/>
      </c>
      <c r="P173" s="9" t="str">
        <f>IF(VLOOKUP($A173,Sheet1!$A$3:$AW$699,2,FALSE)="","",VLOOKUP($A173,Sheet1!$A$3:$AW$699,2,FALSE))</f>
        <v>P6.050</v>
      </c>
    </row>
    <row r="174" spans="1:16" ht="20.399999999999999" x14ac:dyDescent="0.3">
      <c r="A174" s="9">
        <v>448</v>
      </c>
      <c r="B174" s="9" t="str">
        <f>IF(VLOOKUP($A174,Sheet1!$A$3:$AW$699,20,FALSE)="","",VLOOKUP($A174,Sheet1!$A$3:$AW$699,20,FALSE))</f>
        <v>PRCmd25Data</v>
      </c>
      <c r="C174" s="9" t="str">
        <f>IF(VLOOKUP($A174,Sheet1!$A$3:$AW$699,25,FALSE)="","",VLOOKUP($A174,Sheet1!$A$3:$AW$699,25,FALSE))</f>
        <v>PR/IO</v>
      </c>
      <c r="D174" s="142">
        <f>IF(VLOOKUP($A174,Sheet1!$A$3:$AW$699,15,FALSE)="","",VLOOKUP($A174,Sheet1!$A$3:$AW$699,15,FALSE))</f>
        <v>-2147483648</v>
      </c>
      <c r="E174" s="142">
        <f>IF(VLOOKUP($A174,Sheet1!$A$3:$AW$699,16,FALSE)="","",VLOOKUP($A174,Sheet1!$A$3:$AW$699,16,FALSE))</f>
        <v>2147483647</v>
      </c>
      <c r="F174" s="142">
        <f>IF(VLOOKUP($A174,Sheet1!$A$3:$AW$699,17,FALSE)="","",VLOOKUP($A174,Sheet1!$A$3:$AW$699,17,FALSE))</f>
        <v>0</v>
      </c>
      <c r="G174" s="142" t="str">
        <f>IF(VLOOKUP($A174,Sheet1!$A$3:$AW$699,18,FALSE)="","",VLOOKUP($A174,Sheet1!$A$3:$AW$699,18,FALSE))</f>
        <v/>
      </c>
      <c r="H174" s="142" t="str">
        <f>IF(VLOOKUP($A174,Sheet1!$A$3:$AW$699,19,FALSE)="","",VLOOKUP($A174,Sheet1!$A$3:$AW$699,19,FALSE))</f>
        <v/>
      </c>
      <c r="I174" s="9" t="str">
        <f>IF(VLOOKUP($A174,Sheet1!$A$3:$AW$699,5,FALSE)="","",VLOOKUP($A174,Sheet1!$A$3:$AW$699,5,FALSE))</f>
        <v>DINT</v>
      </c>
      <c r="J174" s="9" t="s">
        <v>707</v>
      </c>
      <c r="K174" s="9" t="s">
        <v>658</v>
      </c>
      <c r="L174" s="146" t="str">
        <f>IF(VLOOKUP($A174,Sheet1!$A$3:$AW$699,7,FALSE)="★","x","")</f>
        <v/>
      </c>
      <c r="M174" s="146" t="str">
        <f>IF(VLOOKUP($A174,Sheet1!$A$3:$AW$699,8,FALSE)="▲","x","")</f>
        <v/>
      </c>
      <c r="N174" s="146" t="str">
        <f>IF(VLOOKUP($A174,Sheet1!$A$3:$AW$699,9,FALSE)="●","x","")</f>
        <v/>
      </c>
      <c r="O174" s="146" t="str">
        <f>IF(VLOOKUP($A174,Sheet1!$A$3:$AW$699,10,FALSE)="■","x","")</f>
        <v/>
      </c>
      <c r="P174" s="9" t="str">
        <f>IF(VLOOKUP($A174,Sheet1!$A$3:$AW$699,2,FALSE)="","",VLOOKUP($A174,Sheet1!$A$3:$AW$699,2,FALSE))</f>
        <v>P6.051</v>
      </c>
    </row>
    <row r="175" spans="1:16" ht="20.399999999999999" x14ac:dyDescent="0.3">
      <c r="A175" s="9">
        <v>449</v>
      </c>
      <c r="B175" s="9" t="str">
        <f>IF(VLOOKUP($A175,Sheet1!$A$3:$AW$699,20,FALSE)="","",VLOOKUP($A175,Sheet1!$A$3:$AW$699,20,FALSE))</f>
        <v>PRCmd26Setting</v>
      </c>
      <c r="C175" s="9" t="str">
        <f>IF(VLOOKUP($A175,Sheet1!$A$3:$AW$699,25,FALSE)="","",VLOOKUP($A175,Sheet1!$A$3:$AW$699,25,FALSE))</f>
        <v>PR/IO</v>
      </c>
      <c r="D175" s="142" t="str">
        <f>IF(VLOOKUP($A175,Sheet1!$A$3:$AW$699,15,FALSE)="","",VLOOKUP($A175,Sheet1!$A$3:$AW$699,15,FALSE))</f>
        <v>0x00000000</v>
      </c>
      <c r="E175" s="142" t="str">
        <f>IF(VLOOKUP($A175,Sheet1!$A$3:$AW$699,16,FALSE)="","",VLOOKUP($A175,Sheet1!$A$3:$AW$699,16,FALSE))</f>
        <v>0xFFFFFFFF</v>
      </c>
      <c r="F175" s="142" t="str">
        <f>IF(VLOOKUP($A175,Sheet1!$A$3:$AW$699,17,FALSE)="","",VLOOKUP($A175,Sheet1!$A$3:$AW$699,17,FALSE))</f>
        <v>0x00000000</v>
      </c>
      <c r="G175" s="142" t="str">
        <f>IF(VLOOKUP($A175,Sheet1!$A$3:$AW$699,18,FALSE)="","",VLOOKUP($A175,Sheet1!$A$3:$AW$699,18,FALSE))</f>
        <v/>
      </c>
      <c r="H175" s="142" t="str">
        <f>IF(VLOOKUP($A175,Sheet1!$A$3:$AW$699,19,FALSE)="","",VLOOKUP($A175,Sheet1!$A$3:$AW$699,19,FALSE))</f>
        <v/>
      </c>
      <c r="I175" s="9" t="str">
        <f>IF(VLOOKUP($A175,Sheet1!$A$3:$AW$699,5,FALSE)="","",VLOOKUP($A175,Sheet1!$A$3:$AW$699,5,FALSE))</f>
        <v>UDINT</v>
      </c>
      <c r="J175" s="9" t="s">
        <v>708</v>
      </c>
      <c r="K175" s="9" t="s">
        <v>658</v>
      </c>
      <c r="L175" s="146" t="str">
        <f>IF(VLOOKUP($A175,Sheet1!$A$3:$AW$699,7,FALSE)="★","x","")</f>
        <v/>
      </c>
      <c r="M175" s="146" t="str">
        <f>IF(VLOOKUP($A175,Sheet1!$A$3:$AW$699,8,FALSE)="▲","x","")</f>
        <v/>
      </c>
      <c r="N175" s="146" t="str">
        <f>IF(VLOOKUP($A175,Sheet1!$A$3:$AW$699,9,FALSE)="●","x","")</f>
        <v/>
      </c>
      <c r="O175" s="146" t="str">
        <f>IF(VLOOKUP($A175,Sheet1!$A$3:$AW$699,10,FALSE)="■","x","")</f>
        <v/>
      </c>
      <c r="P175" s="9" t="str">
        <f>IF(VLOOKUP($A175,Sheet1!$A$3:$AW$699,2,FALSE)="","",VLOOKUP($A175,Sheet1!$A$3:$AW$699,2,FALSE))</f>
        <v>P6.052</v>
      </c>
    </row>
    <row r="176" spans="1:16" ht="20.399999999999999" x14ac:dyDescent="0.3">
      <c r="A176" s="9">
        <v>450</v>
      </c>
      <c r="B176" s="9" t="str">
        <f>IF(VLOOKUP($A176,Sheet1!$A$3:$AW$699,20,FALSE)="","",VLOOKUP($A176,Sheet1!$A$3:$AW$699,20,FALSE))</f>
        <v>PRCmd26Data</v>
      </c>
      <c r="C176" s="9" t="str">
        <f>IF(VLOOKUP($A176,Sheet1!$A$3:$AW$699,25,FALSE)="","",VLOOKUP($A176,Sheet1!$A$3:$AW$699,25,FALSE))</f>
        <v>PR/IO</v>
      </c>
      <c r="D176" s="142">
        <f>IF(VLOOKUP($A176,Sheet1!$A$3:$AW$699,15,FALSE)="","",VLOOKUP($A176,Sheet1!$A$3:$AW$699,15,FALSE))</f>
        <v>-2147483648</v>
      </c>
      <c r="E176" s="142">
        <f>IF(VLOOKUP($A176,Sheet1!$A$3:$AW$699,16,FALSE)="","",VLOOKUP($A176,Sheet1!$A$3:$AW$699,16,FALSE))</f>
        <v>2147483647</v>
      </c>
      <c r="F176" s="142">
        <f>IF(VLOOKUP($A176,Sheet1!$A$3:$AW$699,17,FALSE)="","",VLOOKUP($A176,Sheet1!$A$3:$AW$699,17,FALSE))</f>
        <v>0</v>
      </c>
      <c r="G176" s="142" t="str">
        <f>IF(VLOOKUP($A176,Sheet1!$A$3:$AW$699,18,FALSE)="","",VLOOKUP($A176,Sheet1!$A$3:$AW$699,18,FALSE))</f>
        <v/>
      </c>
      <c r="H176" s="142" t="str">
        <f>IF(VLOOKUP($A176,Sheet1!$A$3:$AW$699,19,FALSE)="","",VLOOKUP($A176,Sheet1!$A$3:$AW$699,19,FALSE))</f>
        <v/>
      </c>
      <c r="I176" s="9" t="str">
        <f>IF(VLOOKUP($A176,Sheet1!$A$3:$AW$699,5,FALSE)="","",VLOOKUP($A176,Sheet1!$A$3:$AW$699,5,FALSE))</f>
        <v>DINT</v>
      </c>
      <c r="J176" s="9" t="s">
        <v>709</v>
      </c>
      <c r="K176" s="9" t="s">
        <v>658</v>
      </c>
      <c r="L176" s="146" t="str">
        <f>IF(VLOOKUP($A176,Sheet1!$A$3:$AW$699,7,FALSE)="★","x","")</f>
        <v/>
      </c>
      <c r="M176" s="146" t="str">
        <f>IF(VLOOKUP($A176,Sheet1!$A$3:$AW$699,8,FALSE)="▲","x","")</f>
        <v/>
      </c>
      <c r="N176" s="146" t="str">
        <f>IF(VLOOKUP($A176,Sheet1!$A$3:$AW$699,9,FALSE)="●","x","")</f>
        <v/>
      </c>
      <c r="O176" s="146" t="str">
        <f>IF(VLOOKUP($A176,Sheet1!$A$3:$AW$699,10,FALSE)="■","x","")</f>
        <v/>
      </c>
      <c r="P176" s="9" t="str">
        <f>IF(VLOOKUP($A176,Sheet1!$A$3:$AW$699,2,FALSE)="","",VLOOKUP($A176,Sheet1!$A$3:$AW$699,2,FALSE))</f>
        <v>P6.053</v>
      </c>
    </row>
    <row r="177" spans="1:16" ht="20.399999999999999" x14ac:dyDescent="0.3">
      <c r="A177" s="9">
        <v>451</v>
      </c>
      <c r="B177" s="9" t="str">
        <f>IF(VLOOKUP($A177,Sheet1!$A$3:$AW$699,20,FALSE)="","",VLOOKUP($A177,Sheet1!$A$3:$AW$699,20,FALSE))</f>
        <v>PRCmd27Setting</v>
      </c>
      <c r="C177" s="9" t="str">
        <f>IF(VLOOKUP($A177,Sheet1!$A$3:$AW$699,25,FALSE)="","",VLOOKUP($A177,Sheet1!$A$3:$AW$699,25,FALSE))</f>
        <v>PR/IO</v>
      </c>
      <c r="D177" s="142" t="str">
        <f>IF(VLOOKUP($A177,Sheet1!$A$3:$AW$699,15,FALSE)="","",VLOOKUP($A177,Sheet1!$A$3:$AW$699,15,FALSE))</f>
        <v>0x00000000</v>
      </c>
      <c r="E177" s="142" t="str">
        <f>IF(VLOOKUP($A177,Sheet1!$A$3:$AW$699,16,FALSE)="","",VLOOKUP($A177,Sheet1!$A$3:$AW$699,16,FALSE))</f>
        <v>0xFFFFFFFF</v>
      </c>
      <c r="F177" s="142" t="str">
        <f>IF(VLOOKUP($A177,Sheet1!$A$3:$AW$699,17,FALSE)="","",VLOOKUP($A177,Sheet1!$A$3:$AW$699,17,FALSE))</f>
        <v>0x00000000</v>
      </c>
      <c r="G177" s="142" t="str">
        <f>IF(VLOOKUP($A177,Sheet1!$A$3:$AW$699,18,FALSE)="","",VLOOKUP($A177,Sheet1!$A$3:$AW$699,18,FALSE))</f>
        <v/>
      </c>
      <c r="H177" s="142" t="str">
        <f>IF(VLOOKUP($A177,Sheet1!$A$3:$AW$699,19,FALSE)="","",VLOOKUP($A177,Sheet1!$A$3:$AW$699,19,FALSE))</f>
        <v/>
      </c>
      <c r="I177" s="9" t="str">
        <f>IF(VLOOKUP($A177,Sheet1!$A$3:$AW$699,5,FALSE)="","",VLOOKUP($A177,Sheet1!$A$3:$AW$699,5,FALSE))</f>
        <v>UDINT</v>
      </c>
      <c r="J177" s="9" t="s">
        <v>710</v>
      </c>
      <c r="K177" s="9" t="s">
        <v>658</v>
      </c>
      <c r="L177" s="146" t="str">
        <f>IF(VLOOKUP($A177,Sheet1!$A$3:$AW$699,7,FALSE)="★","x","")</f>
        <v/>
      </c>
      <c r="M177" s="146" t="str">
        <f>IF(VLOOKUP($A177,Sheet1!$A$3:$AW$699,8,FALSE)="▲","x","")</f>
        <v/>
      </c>
      <c r="N177" s="146" t="str">
        <f>IF(VLOOKUP($A177,Sheet1!$A$3:$AW$699,9,FALSE)="●","x","")</f>
        <v/>
      </c>
      <c r="O177" s="146" t="str">
        <f>IF(VLOOKUP($A177,Sheet1!$A$3:$AW$699,10,FALSE)="■","x","")</f>
        <v/>
      </c>
      <c r="P177" s="9" t="str">
        <f>IF(VLOOKUP($A177,Sheet1!$A$3:$AW$699,2,FALSE)="","",VLOOKUP($A177,Sheet1!$A$3:$AW$699,2,FALSE))</f>
        <v>P6.054</v>
      </c>
    </row>
    <row r="178" spans="1:16" ht="20.399999999999999" x14ac:dyDescent="0.3">
      <c r="A178" s="9">
        <v>452</v>
      </c>
      <c r="B178" s="9" t="str">
        <f>IF(VLOOKUP($A178,Sheet1!$A$3:$AW$699,20,FALSE)="","",VLOOKUP($A178,Sheet1!$A$3:$AW$699,20,FALSE))</f>
        <v>PRCmd27Data</v>
      </c>
      <c r="C178" s="9" t="str">
        <f>IF(VLOOKUP($A178,Sheet1!$A$3:$AW$699,25,FALSE)="","",VLOOKUP($A178,Sheet1!$A$3:$AW$699,25,FALSE))</f>
        <v>PR/IO</v>
      </c>
      <c r="D178" s="142">
        <f>IF(VLOOKUP($A178,Sheet1!$A$3:$AW$699,15,FALSE)="","",VLOOKUP($A178,Sheet1!$A$3:$AW$699,15,FALSE))</f>
        <v>-2147483648</v>
      </c>
      <c r="E178" s="142">
        <f>IF(VLOOKUP($A178,Sheet1!$A$3:$AW$699,16,FALSE)="","",VLOOKUP($A178,Sheet1!$A$3:$AW$699,16,FALSE))</f>
        <v>2147483647</v>
      </c>
      <c r="F178" s="142">
        <f>IF(VLOOKUP($A178,Sheet1!$A$3:$AW$699,17,FALSE)="","",VLOOKUP($A178,Sheet1!$A$3:$AW$699,17,FALSE))</f>
        <v>0</v>
      </c>
      <c r="G178" s="142" t="str">
        <f>IF(VLOOKUP($A178,Sheet1!$A$3:$AW$699,18,FALSE)="","",VLOOKUP($A178,Sheet1!$A$3:$AW$699,18,FALSE))</f>
        <v/>
      </c>
      <c r="H178" s="142" t="str">
        <f>IF(VLOOKUP($A178,Sheet1!$A$3:$AW$699,19,FALSE)="","",VLOOKUP($A178,Sheet1!$A$3:$AW$699,19,FALSE))</f>
        <v/>
      </c>
      <c r="I178" s="9" t="str">
        <f>IF(VLOOKUP($A178,Sheet1!$A$3:$AW$699,5,FALSE)="","",VLOOKUP($A178,Sheet1!$A$3:$AW$699,5,FALSE))</f>
        <v>DINT</v>
      </c>
      <c r="J178" s="9" t="s">
        <v>711</v>
      </c>
      <c r="K178" s="9" t="s">
        <v>658</v>
      </c>
      <c r="L178" s="146" t="str">
        <f>IF(VLOOKUP($A178,Sheet1!$A$3:$AW$699,7,FALSE)="★","x","")</f>
        <v/>
      </c>
      <c r="M178" s="146" t="str">
        <f>IF(VLOOKUP($A178,Sheet1!$A$3:$AW$699,8,FALSE)="▲","x","")</f>
        <v/>
      </c>
      <c r="N178" s="146" t="str">
        <f>IF(VLOOKUP($A178,Sheet1!$A$3:$AW$699,9,FALSE)="●","x","")</f>
        <v/>
      </c>
      <c r="O178" s="146" t="str">
        <f>IF(VLOOKUP($A178,Sheet1!$A$3:$AW$699,10,FALSE)="■","x","")</f>
        <v/>
      </c>
      <c r="P178" s="9" t="str">
        <f>IF(VLOOKUP($A178,Sheet1!$A$3:$AW$699,2,FALSE)="","",VLOOKUP($A178,Sheet1!$A$3:$AW$699,2,FALSE))</f>
        <v>P6.055</v>
      </c>
    </row>
    <row r="179" spans="1:16" ht="20.399999999999999" x14ac:dyDescent="0.3">
      <c r="A179" s="9">
        <v>453</v>
      </c>
      <c r="B179" s="9" t="str">
        <f>IF(VLOOKUP($A179,Sheet1!$A$3:$AW$699,20,FALSE)="","",VLOOKUP($A179,Sheet1!$A$3:$AW$699,20,FALSE))</f>
        <v>PRCmd28Setting</v>
      </c>
      <c r="C179" s="9" t="str">
        <f>IF(VLOOKUP($A179,Sheet1!$A$3:$AW$699,25,FALSE)="","",VLOOKUP($A179,Sheet1!$A$3:$AW$699,25,FALSE))</f>
        <v>PR/IO</v>
      </c>
      <c r="D179" s="142" t="str">
        <f>IF(VLOOKUP($A179,Sheet1!$A$3:$AW$699,15,FALSE)="","",VLOOKUP($A179,Sheet1!$A$3:$AW$699,15,FALSE))</f>
        <v>0x00000000</v>
      </c>
      <c r="E179" s="142" t="str">
        <f>IF(VLOOKUP($A179,Sheet1!$A$3:$AW$699,16,FALSE)="","",VLOOKUP($A179,Sheet1!$A$3:$AW$699,16,FALSE))</f>
        <v>0xFFFFFFFF</v>
      </c>
      <c r="F179" s="142" t="str">
        <f>IF(VLOOKUP($A179,Sheet1!$A$3:$AW$699,17,FALSE)="","",VLOOKUP($A179,Sheet1!$A$3:$AW$699,17,FALSE))</f>
        <v>0x00000000</v>
      </c>
      <c r="G179" s="142" t="str">
        <f>IF(VLOOKUP($A179,Sheet1!$A$3:$AW$699,18,FALSE)="","",VLOOKUP($A179,Sheet1!$A$3:$AW$699,18,FALSE))</f>
        <v/>
      </c>
      <c r="H179" s="142" t="str">
        <f>IF(VLOOKUP($A179,Sheet1!$A$3:$AW$699,19,FALSE)="","",VLOOKUP($A179,Sheet1!$A$3:$AW$699,19,FALSE))</f>
        <v/>
      </c>
      <c r="I179" s="9" t="str">
        <f>IF(VLOOKUP($A179,Sheet1!$A$3:$AW$699,5,FALSE)="","",VLOOKUP($A179,Sheet1!$A$3:$AW$699,5,FALSE))</f>
        <v>UDINT</v>
      </c>
      <c r="J179" s="9" t="s">
        <v>712</v>
      </c>
      <c r="K179" s="9" t="s">
        <v>658</v>
      </c>
      <c r="L179" s="146" t="str">
        <f>IF(VLOOKUP($A179,Sheet1!$A$3:$AW$699,7,FALSE)="★","x","")</f>
        <v/>
      </c>
      <c r="M179" s="146" t="str">
        <f>IF(VLOOKUP($A179,Sheet1!$A$3:$AW$699,8,FALSE)="▲","x","")</f>
        <v/>
      </c>
      <c r="N179" s="146" t="str">
        <f>IF(VLOOKUP($A179,Sheet1!$A$3:$AW$699,9,FALSE)="●","x","")</f>
        <v/>
      </c>
      <c r="O179" s="146" t="str">
        <f>IF(VLOOKUP($A179,Sheet1!$A$3:$AW$699,10,FALSE)="■","x","")</f>
        <v/>
      </c>
      <c r="P179" s="9" t="str">
        <f>IF(VLOOKUP($A179,Sheet1!$A$3:$AW$699,2,FALSE)="","",VLOOKUP($A179,Sheet1!$A$3:$AW$699,2,FALSE))</f>
        <v>P6.056</v>
      </c>
    </row>
    <row r="180" spans="1:16" ht="20.399999999999999" x14ac:dyDescent="0.3">
      <c r="A180" s="9">
        <v>454</v>
      </c>
      <c r="B180" s="9" t="str">
        <f>IF(VLOOKUP($A180,Sheet1!$A$3:$AW$699,20,FALSE)="","",VLOOKUP($A180,Sheet1!$A$3:$AW$699,20,FALSE))</f>
        <v>PRCmd28Data</v>
      </c>
      <c r="C180" s="9" t="str">
        <f>IF(VLOOKUP($A180,Sheet1!$A$3:$AW$699,25,FALSE)="","",VLOOKUP($A180,Sheet1!$A$3:$AW$699,25,FALSE))</f>
        <v>PR/IO</v>
      </c>
      <c r="D180" s="142">
        <f>IF(VLOOKUP($A180,Sheet1!$A$3:$AW$699,15,FALSE)="","",VLOOKUP($A180,Sheet1!$A$3:$AW$699,15,FALSE))</f>
        <v>-2147483648</v>
      </c>
      <c r="E180" s="142">
        <f>IF(VLOOKUP($A180,Sheet1!$A$3:$AW$699,16,FALSE)="","",VLOOKUP($A180,Sheet1!$A$3:$AW$699,16,FALSE))</f>
        <v>2147483647</v>
      </c>
      <c r="F180" s="142">
        <f>IF(VLOOKUP($A180,Sheet1!$A$3:$AW$699,17,FALSE)="","",VLOOKUP($A180,Sheet1!$A$3:$AW$699,17,FALSE))</f>
        <v>0</v>
      </c>
      <c r="G180" s="142" t="str">
        <f>IF(VLOOKUP($A180,Sheet1!$A$3:$AW$699,18,FALSE)="","",VLOOKUP($A180,Sheet1!$A$3:$AW$699,18,FALSE))</f>
        <v/>
      </c>
      <c r="H180" s="142" t="str">
        <f>IF(VLOOKUP($A180,Sheet1!$A$3:$AW$699,19,FALSE)="","",VLOOKUP($A180,Sheet1!$A$3:$AW$699,19,FALSE))</f>
        <v/>
      </c>
      <c r="I180" s="9" t="str">
        <f>IF(VLOOKUP($A180,Sheet1!$A$3:$AW$699,5,FALSE)="","",VLOOKUP($A180,Sheet1!$A$3:$AW$699,5,FALSE))</f>
        <v>DINT</v>
      </c>
      <c r="J180" s="9" t="s">
        <v>713</v>
      </c>
      <c r="K180" s="9" t="s">
        <v>658</v>
      </c>
      <c r="L180" s="146" t="str">
        <f>IF(VLOOKUP($A180,Sheet1!$A$3:$AW$699,7,FALSE)="★","x","")</f>
        <v/>
      </c>
      <c r="M180" s="146" t="str">
        <f>IF(VLOOKUP($A180,Sheet1!$A$3:$AW$699,8,FALSE)="▲","x","")</f>
        <v/>
      </c>
      <c r="N180" s="146" t="str">
        <f>IF(VLOOKUP($A180,Sheet1!$A$3:$AW$699,9,FALSE)="●","x","")</f>
        <v/>
      </c>
      <c r="O180" s="146" t="str">
        <f>IF(VLOOKUP($A180,Sheet1!$A$3:$AW$699,10,FALSE)="■","x","")</f>
        <v/>
      </c>
      <c r="P180" s="9" t="str">
        <f>IF(VLOOKUP($A180,Sheet1!$A$3:$AW$699,2,FALSE)="","",VLOOKUP($A180,Sheet1!$A$3:$AW$699,2,FALSE))</f>
        <v>P6.057</v>
      </c>
    </row>
    <row r="181" spans="1:16" ht="20.399999999999999" x14ac:dyDescent="0.3">
      <c r="A181" s="9">
        <v>455</v>
      </c>
      <c r="B181" s="9" t="str">
        <f>IF(VLOOKUP($A181,Sheet1!$A$3:$AW$699,20,FALSE)="","",VLOOKUP($A181,Sheet1!$A$3:$AW$699,20,FALSE))</f>
        <v>PRCmd29Setting</v>
      </c>
      <c r="C181" s="9" t="str">
        <f>IF(VLOOKUP($A181,Sheet1!$A$3:$AW$699,25,FALSE)="","",VLOOKUP($A181,Sheet1!$A$3:$AW$699,25,FALSE))</f>
        <v>PR/IO</v>
      </c>
      <c r="D181" s="142" t="str">
        <f>IF(VLOOKUP($A181,Sheet1!$A$3:$AW$699,15,FALSE)="","",VLOOKUP($A181,Sheet1!$A$3:$AW$699,15,FALSE))</f>
        <v>0x00000000</v>
      </c>
      <c r="E181" s="142" t="str">
        <f>IF(VLOOKUP($A181,Sheet1!$A$3:$AW$699,16,FALSE)="","",VLOOKUP($A181,Sheet1!$A$3:$AW$699,16,FALSE))</f>
        <v>0xFFFFFFFF</v>
      </c>
      <c r="F181" s="142" t="str">
        <f>IF(VLOOKUP($A181,Sheet1!$A$3:$AW$699,17,FALSE)="","",VLOOKUP($A181,Sheet1!$A$3:$AW$699,17,FALSE))</f>
        <v>0x00000000</v>
      </c>
      <c r="G181" s="142" t="str">
        <f>IF(VLOOKUP($A181,Sheet1!$A$3:$AW$699,18,FALSE)="","",VLOOKUP($A181,Sheet1!$A$3:$AW$699,18,FALSE))</f>
        <v/>
      </c>
      <c r="H181" s="142" t="str">
        <f>IF(VLOOKUP($A181,Sheet1!$A$3:$AW$699,19,FALSE)="","",VLOOKUP($A181,Sheet1!$A$3:$AW$699,19,FALSE))</f>
        <v/>
      </c>
      <c r="I181" s="9" t="str">
        <f>IF(VLOOKUP($A181,Sheet1!$A$3:$AW$699,5,FALSE)="","",VLOOKUP($A181,Sheet1!$A$3:$AW$699,5,FALSE))</f>
        <v>UDINT</v>
      </c>
      <c r="J181" s="9" t="s">
        <v>714</v>
      </c>
      <c r="K181" s="9" t="s">
        <v>658</v>
      </c>
      <c r="L181" s="146" t="str">
        <f>IF(VLOOKUP($A181,Sheet1!$A$3:$AW$699,7,FALSE)="★","x","")</f>
        <v/>
      </c>
      <c r="M181" s="146" t="str">
        <f>IF(VLOOKUP($A181,Sheet1!$A$3:$AW$699,8,FALSE)="▲","x","")</f>
        <v/>
      </c>
      <c r="N181" s="146" t="str">
        <f>IF(VLOOKUP($A181,Sheet1!$A$3:$AW$699,9,FALSE)="●","x","")</f>
        <v/>
      </c>
      <c r="O181" s="146" t="str">
        <f>IF(VLOOKUP($A181,Sheet1!$A$3:$AW$699,10,FALSE)="■","x","")</f>
        <v/>
      </c>
      <c r="P181" s="9" t="str">
        <f>IF(VLOOKUP($A181,Sheet1!$A$3:$AW$699,2,FALSE)="","",VLOOKUP($A181,Sheet1!$A$3:$AW$699,2,FALSE))</f>
        <v>P6.058</v>
      </c>
    </row>
    <row r="182" spans="1:16" ht="20.399999999999999" x14ac:dyDescent="0.3">
      <c r="A182" s="9">
        <v>456</v>
      </c>
      <c r="B182" s="9" t="str">
        <f>IF(VLOOKUP($A182,Sheet1!$A$3:$AW$699,20,FALSE)="","",VLOOKUP($A182,Sheet1!$A$3:$AW$699,20,FALSE))</f>
        <v>PRCmd29Data</v>
      </c>
      <c r="C182" s="9" t="str">
        <f>IF(VLOOKUP($A182,Sheet1!$A$3:$AW$699,25,FALSE)="","",VLOOKUP($A182,Sheet1!$A$3:$AW$699,25,FALSE))</f>
        <v>PR/IO</v>
      </c>
      <c r="D182" s="142">
        <f>IF(VLOOKUP($A182,Sheet1!$A$3:$AW$699,15,FALSE)="","",VLOOKUP($A182,Sheet1!$A$3:$AW$699,15,FALSE))</f>
        <v>-2147483648</v>
      </c>
      <c r="E182" s="142">
        <f>IF(VLOOKUP($A182,Sheet1!$A$3:$AW$699,16,FALSE)="","",VLOOKUP($A182,Sheet1!$A$3:$AW$699,16,FALSE))</f>
        <v>2147483647</v>
      </c>
      <c r="F182" s="142">
        <f>IF(VLOOKUP($A182,Sheet1!$A$3:$AW$699,17,FALSE)="","",VLOOKUP($A182,Sheet1!$A$3:$AW$699,17,FALSE))</f>
        <v>0</v>
      </c>
      <c r="G182" s="142" t="str">
        <f>IF(VLOOKUP($A182,Sheet1!$A$3:$AW$699,18,FALSE)="","",VLOOKUP($A182,Sheet1!$A$3:$AW$699,18,FALSE))</f>
        <v/>
      </c>
      <c r="H182" s="142" t="str">
        <f>IF(VLOOKUP($A182,Sheet1!$A$3:$AW$699,19,FALSE)="","",VLOOKUP($A182,Sheet1!$A$3:$AW$699,19,FALSE))</f>
        <v/>
      </c>
      <c r="I182" s="9" t="str">
        <f>IF(VLOOKUP($A182,Sheet1!$A$3:$AW$699,5,FALSE)="","",VLOOKUP($A182,Sheet1!$A$3:$AW$699,5,FALSE))</f>
        <v>DINT</v>
      </c>
      <c r="J182" s="9" t="s">
        <v>715</v>
      </c>
      <c r="K182" s="9" t="s">
        <v>658</v>
      </c>
      <c r="L182" s="146" t="str">
        <f>IF(VLOOKUP($A182,Sheet1!$A$3:$AW$699,7,FALSE)="★","x","")</f>
        <v/>
      </c>
      <c r="M182" s="146" t="str">
        <f>IF(VLOOKUP($A182,Sheet1!$A$3:$AW$699,8,FALSE)="▲","x","")</f>
        <v/>
      </c>
      <c r="N182" s="146" t="str">
        <f>IF(VLOOKUP($A182,Sheet1!$A$3:$AW$699,9,FALSE)="●","x","")</f>
        <v/>
      </c>
      <c r="O182" s="146" t="str">
        <f>IF(VLOOKUP($A182,Sheet1!$A$3:$AW$699,10,FALSE)="■","x","")</f>
        <v/>
      </c>
      <c r="P182" s="9" t="str">
        <f>IF(VLOOKUP($A182,Sheet1!$A$3:$AW$699,2,FALSE)="","",VLOOKUP($A182,Sheet1!$A$3:$AW$699,2,FALSE))</f>
        <v>P6.059</v>
      </c>
    </row>
    <row r="183" spans="1:16" ht="20.399999999999999" x14ac:dyDescent="0.3">
      <c r="A183" s="9">
        <v>457</v>
      </c>
      <c r="B183" s="9" t="str">
        <f>IF(VLOOKUP($A183,Sheet1!$A$3:$AW$699,20,FALSE)="","",VLOOKUP($A183,Sheet1!$A$3:$AW$699,20,FALSE))</f>
        <v>PRCmd30Setting</v>
      </c>
      <c r="C183" s="9" t="str">
        <f>IF(VLOOKUP($A183,Sheet1!$A$3:$AW$699,25,FALSE)="","",VLOOKUP($A183,Sheet1!$A$3:$AW$699,25,FALSE))</f>
        <v>PR/IO</v>
      </c>
      <c r="D183" s="142" t="str">
        <f>IF(VLOOKUP($A183,Sheet1!$A$3:$AW$699,15,FALSE)="","",VLOOKUP($A183,Sheet1!$A$3:$AW$699,15,FALSE))</f>
        <v>0x00000000</v>
      </c>
      <c r="E183" s="142" t="str">
        <f>IF(VLOOKUP($A183,Sheet1!$A$3:$AW$699,16,FALSE)="","",VLOOKUP($A183,Sheet1!$A$3:$AW$699,16,FALSE))</f>
        <v>0xFFFFFFFF</v>
      </c>
      <c r="F183" s="142" t="str">
        <f>IF(VLOOKUP($A183,Sheet1!$A$3:$AW$699,17,FALSE)="","",VLOOKUP($A183,Sheet1!$A$3:$AW$699,17,FALSE))</f>
        <v>0x00000000</v>
      </c>
      <c r="G183" s="142" t="str">
        <f>IF(VLOOKUP($A183,Sheet1!$A$3:$AW$699,18,FALSE)="","",VLOOKUP($A183,Sheet1!$A$3:$AW$699,18,FALSE))</f>
        <v/>
      </c>
      <c r="H183" s="142" t="str">
        <f>IF(VLOOKUP($A183,Sheet1!$A$3:$AW$699,19,FALSE)="","",VLOOKUP($A183,Sheet1!$A$3:$AW$699,19,FALSE))</f>
        <v/>
      </c>
      <c r="I183" s="9" t="str">
        <f>IF(VLOOKUP($A183,Sheet1!$A$3:$AW$699,5,FALSE)="","",VLOOKUP($A183,Sheet1!$A$3:$AW$699,5,FALSE))</f>
        <v>UDINT</v>
      </c>
      <c r="J183" s="9" t="s">
        <v>716</v>
      </c>
      <c r="K183" s="9" t="s">
        <v>658</v>
      </c>
      <c r="L183" s="146" t="str">
        <f>IF(VLOOKUP($A183,Sheet1!$A$3:$AW$699,7,FALSE)="★","x","")</f>
        <v/>
      </c>
      <c r="M183" s="146" t="str">
        <f>IF(VLOOKUP($A183,Sheet1!$A$3:$AW$699,8,FALSE)="▲","x","")</f>
        <v/>
      </c>
      <c r="N183" s="146" t="str">
        <f>IF(VLOOKUP($A183,Sheet1!$A$3:$AW$699,9,FALSE)="●","x","")</f>
        <v/>
      </c>
      <c r="O183" s="146" t="str">
        <f>IF(VLOOKUP($A183,Sheet1!$A$3:$AW$699,10,FALSE)="■","x","")</f>
        <v/>
      </c>
      <c r="P183" s="9" t="str">
        <f>IF(VLOOKUP($A183,Sheet1!$A$3:$AW$699,2,FALSE)="","",VLOOKUP($A183,Sheet1!$A$3:$AW$699,2,FALSE))</f>
        <v>P6.060</v>
      </c>
    </row>
    <row r="184" spans="1:16" ht="20.399999999999999" x14ac:dyDescent="0.3">
      <c r="A184" s="9">
        <v>458</v>
      </c>
      <c r="B184" s="9" t="str">
        <f>IF(VLOOKUP($A184,Sheet1!$A$3:$AW$699,20,FALSE)="","",VLOOKUP($A184,Sheet1!$A$3:$AW$699,20,FALSE))</f>
        <v>PRCmd30Data</v>
      </c>
      <c r="C184" s="9" t="str">
        <f>IF(VLOOKUP($A184,Sheet1!$A$3:$AW$699,25,FALSE)="","",VLOOKUP($A184,Sheet1!$A$3:$AW$699,25,FALSE))</f>
        <v>PR/IO</v>
      </c>
      <c r="D184" s="142">
        <f>IF(VLOOKUP($A184,Sheet1!$A$3:$AW$699,15,FALSE)="","",VLOOKUP($A184,Sheet1!$A$3:$AW$699,15,FALSE))</f>
        <v>-2147483648</v>
      </c>
      <c r="E184" s="142">
        <f>IF(VLOOKUP($A184,Sheet1!$A$3:$AW$699,16,FALSE)="","",VLOOKUP($A184,Sheet1!$A$3:$AW$699,16,FALSE))</f>
        <v>2147483647</v>
      </c>
      <c r="F184" s="142">
        <f>IF(VLOOKUP($A184,Sheet1!$A$3:$AW$699,17,FALSE)="","",VLOOKUP($A184,Sheet1!$A$3:$AW$699,17,FALSE))</f>
        <v>0</v>
      </c>
      <c r="G184" s="142" t="str">
        <f>IF(VLOOKUP($A184,Sheet1!$A$3:$AW$699,18,FALSE)="","",VLOOKUP($A184,Sheet1!$A$3:$AW$699,18,FALSE))</f>
        <v/>
      </c>
      <c r="H184" s="142" t="str">
        <f>IF(VLOOKUP($A184,Sheet1!$A$3:$AW$699,19,FALSE)="","",VLOOKUP($A184,Sheet1!$A$3:$AW$699,19,FALSE))</f>
        <v/>
      </c>
      <c r="I184" s="9" t="str">
        <f>IF(VLOOKUP($A184,Sheet1!$A$3:$AW$699,5,FALSE)="","",VLOOKUP($A184,Sheet1!$A$3:$AW$699,5,FALSE))</f>
        <v>DINT</v>
      </c>
      <c r="J184" s="9" t="s">
        <v>717</v>
      </c>
      <c r="K184" s="9" t="s">
        <v>658</v>
      </c>
      <c r="L184" s="146" t="str">
        <f>IF(VLOOKUP($A184,Sheet1!$A$3:$AW$699,7,FALSE)="★","x","")</f>
        <v/>
      </c>
      <c r="M184" s="146" t="str">
        <f>IF(VLOOKUP($A184,Sheet1!$A$3:$AW$699,8,FALSE)="▲","x","")</f>
        <v/>
      </c>
      <c r="N184" s="146" t="str">
        <f>IF(VLOOKUP($A184,Sheet1!$A$3:$AW$699,9,FALSE)="●","x","")</f>
        <v/>
      </c>
      <c r="O184" s="146" t="str">
        <f>IF(VLOOKUP($A184,Sheet1!$A$3:$AW$699,10,FALSE)="■","x","")</f>
        <v/>
      </c>
      <c r="P184" s="9" t="str">
        <f>IF(VLOOKUP($A184,Sheet1!$A$3:$AW$699,2,FALSE)="","",VLOOKUP($A184,Sheet1!$A$3:$AW$699,2,FALSE))</f>
        <v>P6.061</v>
      </c>
    </row>
    <row r="185" spans="1:16" ht="20.399999999999999" x14ac:dyDescent="0.3">
      <c r="A185" s="9">
        <v>459</v>
      </c>
      <c r="B185" s="9" t="str">
        <f>IF(VLOOKUP($A185,Sheet1!$A$3:$AW$699,20,FALSE)="","",VLOOKUP($A185,Sheet1!$A$3:$AW$699,20,FALSE))</f>
        <v>PRCmd31Setting</v>
      </c>
      <c r="C185" s="9" t="str">
        <f>IF(VLOOKUP($A185,Sheet1!$A$3:$AW$699,25,FALSE)="","",VLOOKUP($A185,Sheet1!$A$3:$AW$699,25,FALSE))</f>
        <v>PR/IO</v>
      </c>
      <c r="D185" s="142" t="str">
        <f>IF(VLOOKUP($A185,Sheet1!$A$3:$AW$699,15,FALSE)="","",VLOOKUP($A185,Sheet1!$A$3:$AW$699,15,FALSE))</f>
        <v>0x00000000</v>
      </c>
      <c r="E185" s="142" t="str">
        <f>IF(VLOOKUP($A185,Sheet1!$A$3:$AW$699,16,FALSE)="","",VLOOKUP($A185,Sheet1!$A$3:$AW$699,16,FALSE))</f>
        <v>0xFFFFFFFF</v>
      </c>
      <c r="F185" s="142" t="str">
        <f>IF(VLOOKUP($A185,Sheet1!$A$3:$AW$699,17,FALSE)="","",VLOOKUP($A185,Sheet1!$A$3:$AW$699,17,FALSE))</f>
        <v>0x00000000</v>
      </c>
      <c r="G185" s="142" t="str">
        <f>IF(VLOOKUP($A185,Sheet1!$A$3:$AW$699,18,FALSE)="","",VLOOKUP($A185,Sheet1!$A$3:$AW$699,18,FALSE))</f>
        <v/>
      </c>
      <c r="H185" s="142" t="str">
        <f>IF(VLOOKUP($A185,Sheet1!$A$3:$AW$699,19,FALSE)="","",VLOOKUP($A185,Sheet1!$A$3:$AW$699,19,FALSE))</f>
        <v/>
      </c>
      <c r="I185" s="9" t="str">
        <f>IF(VLOOKUP($A185,Sheet1!$A$3:$AW$699,5,FALSE)="","",VLOOKUP($A185,Sheet1!$A$3:$AW$699,5,FALSE))</f>
        <v>UDINT</v>
      </c>
      <c r="J185" s="9" t="s">
        <v>718</v>
      </c>
      <c r="K185" s="9" t="s">
        <v>658</v>
      </c>
      <c r="L185" s="146" t="str">
        <f>IF(VLOOKUP($A185,Sheet1!$A$3:$AW$699,7,FALSE)="★","x","")</f>
        <v/>
      </c>
      <c r="M185" s="146" t="str">
        <f>IF(VLOOKUP($A185,Sheet1!$A$3:$AW$699,8,FALSE)="▲","x","")</f>
        <v/>
      </c>
      <c r="N185" s="146" t="str">
        <f>IF(VLOOKUP($A185,Sheet1!$A$3:$AW$699,9,FALSE)="●","x","")</f>
        <v/>
      </c>
      <c r="O185" s="146" t="str">
        <f>IF(VLOOKUP($A185,Sheet1!$A$3:$AW$699,10,FALSE)="■","x","")</f>
        <v/>
      </c>
      <c r="P185" s="9" t="str">
        <f>IF(VLOOKUP($A185,Sheet1!$A$3:$AW$699,2,FALSE)="","",VLOOKUP($A185,Sheet1!$A$3:$AW$699,2,FALSE))</f>
        <v>P6.062</v>
      </c>
    </row>
    <row r="186" spans="1:16" ht="20.399999999999999" x14ac:dyDescent="0.3">
      <c r="A186" s="9">
        <v>460</v>
      </c>
      <c r="B186" s="9" t="str">
        <f>IF(VLOOKUP($A186,Sheet1!$A$3:$AW$699,20,FALSE)="","",VLOOKUP($A186,Sheet1!$A$3:$AW$699,20,FALSE))</f>
        <v>PRCmd31Data</v>
      </c>
      <c r="C186" s="9" t="str">
        <f>IF(VLOOKUP($A186,Sheet1!$A$3:$AW$699,25,FALSE)="","",VLOOKUP($A186,Sheet1!$A$3:$AW$699,25,FALSE))</f>
        <v>PR/IO</v>
      </c>
      <c r="D186" s="142">
        <f>IF(VLOOKUP($A186,Sheet1!$A$3:$AW$699,15,FALSE)="","",VLOOKUP($A186,Sheet1!$A$3:$AW$699,15,FALSE))</f>
        <v>-2147483648</v>
      </c>
      <c r="E186" s="142">
        <f>IF(VLOOKUP($A186,Sheet1!$A$3:$AW$699,16,FALSE)="","",VLOOKUP($A186,Sheet1!$A$3:$AW$699,16,FALSE))</f>
        <v>2147483647</v>
      </c>
      <c r="F186" s="142">
        <f>IF(VLOOKUP($A186,Sheet1!$A$3:$AW$699,17,FALSE)="","",VLOOKUP($A186,Sheet1!$A$3:$AW$699,17,FALSE))</f>
        <v>0</v>
      </c>
      <c r="G186" s="142" t="str">
        <f>IF(VLOOKUP($A186,Sheet1!$A$3:$AW$699,18,FALSE)="","",VLOOKUP($A186,Sheet1!$A$3:$AW$699,18,FALSE))</f>
        <v/>
      </c>
      <c r="H186" s="142" t="str">
        <f>IF(VLOOKUP($A186,Sheet1!$A$3:$AW$699,19,FALSE)="","",VLOOKUP($A186,Sheet1!$A$3:$AW$699,19,FALSE))</f>
        <v/>
      </c>
      <c r="I186" s="9" t="str">
        <f>IF(VLOOKUP($A186,Sheet1!$A$3:$AW$699,5,FALSE)="","",VLOOKUP($A186,Sheet1!$A$3:$AW$699,5,FALSE))</f>
        <v>DINT</v>
      </c>
      <c r="J186" s="9" t="s">
        <v>719</v>
      </c>
      <c r="K186" s="9" t="s">
        <v>658</v>
      </c>
      <c r="L186" s="146" t="str">
        <f>IF(VLOOKUP($A186,Sheet1!$A$3:$AW$699,7,FALSE)="★","x","")</f>
        <v/>
      </c>
      <c r="M186" s="146" t="str">
        <f>IF(VLOOKUP($A186,Sheet1!$A$3:$AW$699,8,FALSE)="▲","x","")</f>
        <v/>
      </c>
      <c r="N186" s="146" t="str">
        <f>IF(VLOOKUP($A186,Sheet1!$A$3:$AW$699,9,FALSE)="●","x","")</f>
        <v/>
      </c>
      <c r="O186" s="146" t="str">
        <f>IF(VLOOKUP($A186,Sheet1!$A$3:$AW$699,10,FALSE)="■","x","")</f>
        <v/>
      </c>
      <c r="P186" s="9" t="str">
        <f>IF(VLOOKUP($A186,Sheet1!$A$3:$AW$699,2,FALSE)="","",VLOOKUP($A186,Sheet1!$A$3:$AW$699,2,FALSE))</f>
        <v>P6.063</v>
      </c>
    </row>
    <row r="187" spans="1:16" ht="20.399999999999999" x14ac:dyDescent="0.3">
      <c r="A187" s="9">
        <v>461</v>
      </c>
      <c r="B187" s="9" t="str">
        <f>IF(VLOOKUP($A187,Sheet1!$A$3:$AW$699,20,FALSE)="","",VLOOKUP($A187,Sheet1!$A$3:$AW$699,20,FALSE))</f>
        <v>PRCmd32Setting</v>
      </c>
      <c r="C187" s="9" t="str">
        <f>IF(VLOOKUP($A187,Sheet1!$A$3:$AW$699,25,FALSE)="","",VLOOKUP($A187,Sheet1!$A$3:$AW$699,25,FALSE))</f>
        <v>PR/IO</v>
      </c>
      <c r="D187" s="142" t="str">
        <f>IF(VLOOKUP($A187,Sheet1!$A$3:$AW$699,15,FALSE)="","",VLOOKUP($A187,Sheet1!$A$3:$AW$699,15,FALSE))</f>
        <v>0x00000000</v>
      </c>
      <c r="E187" s="142" t="str">
        <f>IF(VLOOKUP($A187,Sheet1!$A$3:$AW$699,16,FALSE)="","",VLOOKUP($A187,Sheet1!$A$3:$AW$699,16,FALSE))</f>
        <v>0xFFFFFFFF</v>
      </c>
      <c r="F187" s="142" t="str">
        <f>IF(VLOOKUP($A187,Sheet1!$A$3:$AW$699,17,FALSE)="","",VLOOKUP($A187,Sheet1!$A$3:$AW$699,17,FALSE))</f>
        <v>0x00000000</v>
      </c>
      <c r="G187" s="142" t="str">
        <f>IF(VLOOKUP($A187,Sheet1!$A$3:$AW$699,18,FALSE)="","",VLOOKUP($A187,Sheet1!$A$3:$AW$699,18,FALSE))</f>
        <v/>
      </c>
      <c r="H187" s="142" t="str">
        <f>IF(VLOOKUP($A187,Sheet1!$A$3:$AW$699,19,FALSE)="","",VLOOKUP($A187,Sheet1!$A$3:$AW$699,19,FALSE))</f>
        <v/>
      </c>
      <c r="I187" s="9" t="str">
        <f>IF(VLOOKUP($A187,Sheet1!$A$3:$AW$699,5,FALSE)="","",VLOOKUP($A187,Sheet1!$A$3:$AW$699,5,FALSE))</f>
        <v>UDINT</v>
      </c>
      <c r="J187" s="9" t="s">
        <v>720</v>
      </c>
      <c r="K187" s="9" t="s">
        <v>658</v>
      </c>
      <c r="L187" s="146" t="str">
        <f>IF(VLOOKUP($A187,Sheet1!$A$3:$AW$699,7,FALSE)="★","x","")</f>
        <v/>
      </c>
      <c r="M187" s="146" t="str">
        <f>IF(VLOOKUP($A187,Sheet1!$A$3:$AW$699,8,FALSE)="▲","x","")</f>
        <v/>
      </c>
      <c r="N187" s="146" t="str">
        <f>IF(VLOOKUP($A187,Sheet1!$A$3:$AW$699,9,FALSE)="●","x","")</f>
        <v/>
      </c>
      <c r="O187" s="146" t="str">
        <f>IF(VLOOKUP($A187,Sheet1!$A$3:$AW$699,10,FALSE)="■","x","")</f>
        <v/>
      </c>
      <c r="P187" s="9" t="str">
        <f>IF(VLOOKUP($A187,Sheet1!$A$3:$AW$699,2,FALSE)="","",VLOOKUP($A187,Sheet1!$A$3:$AW$699,2,FALSE))</f>
        <v>P6.064</v>
      </c>
    </row>
    <row r="188" spans="1:16" ht="20.399999999999999" x14ac:dyDescent="0.3">
      <c r="A188" s="9">
        <v>462</v>
      </c>
      <c r="B188" s="9" t="str">
        <f>IF(VLOOKUP($A188,Sheet1!$A$3:$AW$699,20,FALSE)="","",VLOOKUP($A188,Sheet1!$A$3:$AW$699,20,FALSE))</f>
        <v>PRCmd32Data</v>
      </c>
      <c r="C188" s="9" t="str">
        <f>IF(VLOOKUP($A188,Sheet1!$A$3:$AW$699,25,FALSE)="","",VLOOKUP($A188,Sheet1!$A$3:$AW$699,25,FALSE))</f>
        <v>PR/IO</v>
      </c>
      <c r="D188" s="142">
        <f>IF(VLOOKUP($A188,Sheet1!$A$3:$AW$699,15,FALSE)="","",VLOOKUP($A188,Sheet1!$A$3:$AW$699,15,FALSE))</f>
        <v>-2147483648</v>
      </c>
      <c r="E188" s="142">
        <f>IF(VLOOKUP($A188,Sheet1!$A$3:$AW$699,16,FALSE)="","",VLOOKUP($A188,Sheet1!$A$3:$AW$699,16,FALSE))</f>
        <v>2147483647</v>
      </c>
      <c r="F188" s="142">
        <f>IF(VLOOKUP($A188,Sheet1!$A$3:$AW$699,17,FALSE)="","",VLOOKUP($A188,Sheet1!$A$3:$AW$699,17,FALSE))</f>
        <v>0</v>
      </c>
      <c r="G188" s="142" t="str">
        <f>IF(VLOOKUP($A188,Sheet1!$A$3:$AW$699,18,FALSE)="","",VLOOKUP($A188,Sheet1!$A$3:$AW$699,18,FALSE))</f>
        <v/>
      </c>
      <c r="H188" s="142" t="str">
        <f>IF(VLOOKUP($A188,Sheet1!$A$3:$AW$699,19,FALSE)="","",VLOOKUP($A188,Sheet1!$A$3:$AW$699,19,FALSE))</f>
        <v/>
      </c>
      <c r="I188" s="9" t="str">
        <f>IF(VLOOKUP($A188,Sheet1!$A$3:$AW$699,5,FALSE)="","",VLOOKUP($A188,Sheet1!$A$3:$AW$699,5,FALSE))</f>
        <v>DINT</v>
      </c>
      <c r="J188" s="9" t="s">
        <v>721</v>
      </c>
      <c r="K188" s="9" t="s">
        <v>658</v>
      </c>
      <c r="L188" s="146" t="str">
        <f>IF(VLOOKUP($A188,Sheet1!$A$3:$AW$699,7,FALSE)="★","x","")</f>
        <v/>
      </c>
      <c r="M188" s="146" t="str">
        <f>IF(VLOOKUP($A188,Sheet1!$A$3:$AW$699,8,FALSE)="▲","x","")</f>
        <v/>
      </c>
      <c r="N188" s="146" t="str">
        <f>IF(VLOOKUP($A188,Sheet1!$A$3:$AW$699,9,FALSE)="●","x","")</f>
        <v/>
      </c>
      <c r="O188" s="146" t="str">
        <f>IF(VLOOKUP($A188,Sheet1!$A$3:$AW$699,10,FALSE)="■","x","")</f>
        <v/>
      </c>
      <c r="P188" s="9" t="str">
        <f>IF(VLOOKUP($A188,Sheet1!$A$3:$AW$699,2,FALSE)="","",VLOOKUP($A188,Sheet1!$A$3:$AW$699,2,FALSE))</f>
        <v>P6.065</v>
      </c>
    </row>
    <row r="189" spans="1:16" ht="20.399999999999999" x14ac:dyDescent="0.3">
      <c r="A189" s="9">
        <v>463</v>
      </c>
      <c r="B189" s="9" t="str">
        <f>IF(VLOOKUP($A189,Sheet1!$A$3:$AW$699,20,FALSE)="","",VLOOKUP($A189,Sheet1!$A$3:$AW$699,20,FALSE))</f>
        <v>PRCmd33Setting</v>
      </c>
      <c r="C189" s="9" t="str">
        <f>IF(VLOOKUP($A189,Sheet1!$A$3:$AW$699,25,FALSE)="","",VLOOKUP($A189,Sheet1!$A$3:$AW$699,25,FALSE))</f>
        <v>PR/IO</v>
      </c>
      <c r="D189" s="142" t="str">
        <f>IF(VLOOKUP($A189,Sheet1!$A$3:$AW$699,15,FALSE)="","",VLOOKUP($A189,Sheet1!$A$3:$AW$699,15,FALSE))</f>
        <v>0x00000000</v>
      </c>
      <c r="E189" s="142" t="str">
        <f>IF(VLOOKUP($A189,Sheet1!$A$3:$AW$699,16,FALSE)="","",VLOOKUP($A189,Sheet1!$A$3:$AW$699,16,FALSE))</f>
        <v>0xFFFFFFFF</v>
      </c>
      <c r="F189" s="142" t="str">
        <f>IF(VLOOKUP($A189,Sheet1!$A$3:$AW$699,17,FALSE)="","",VLOOKUP($A189,Sheet1!$A$3:$AW$699,17,FALSE))</f>
        <v>0x00000000</v>
      </c>
      <c r="G189" s="142" t="str">
        <f>IF(VLOOKUP($A189,Sheet1!$A$3:$AW$699,18,FALSE)="","",VLOOKUP($A189,Sheet1!$A$3:$AW$699,18,FALSE))</f>
        <v/>
      </c>
      <c r="H189" s="142" t="str">
        <f>IF(VLOOKUP($A189,Sheet1!$A$3:$AW$699,19,FALSE)="","",VLOOKUP($A189,Sheet1!$A$3:$AW$699,19,FALSE))</f>
        <v/>
      </c>
      <c r="I189" s="9" t="str">
        <f>IF(VLOOKUP($A189,Sheet1!$A$3:$AW$699,5,FALSE)="","",VLOOKUP($A189,Sheet1!$A$3:$AW$699,5,FALSE))</f>
        <v>UDINT</v>
      </c>
      <c r="J189" s="9" t="s">
        <v>722</v>
      </c>
      <c r="K189" s="9" t="s">
        <v>658</v>
      </c>
      <c r="L189" s="146" t="str">
        <f>IF(VLOOKUP($A189,Sheet1!$A$3:$AW$699,7,FALSE)="★","x","")</f>
        <v/>
      </c>
      <c r="M189" s="146" t="str">
        <f>IF(VLOOKUP($A189,Sheet1!$A$3:$AW$699,8,FALSE)="▲","x","")</f>
        <v/>
      </c>
      <c r="N189" s="146" t="str">
        <f>IF(VLOOKUP($A189,Sheet1!$A$3:$AW$699,9,FALSE)="●","x","")</f>
        <v/>
      </c>
      <c r="O189" s="146" t="str">
        <f>IF(VLOOKUP($A189,Sheet1!$A$3:$AW$699,10,FALSE)="■","x","")</f>
        <v/>
      </c>
      <c r="P189" s="9" t="str">
        <f>IF(VLOOKUP($A189,Sheet1!$A$3:$AW$699,2,FALSE)="","",VLOOKUP($A189,Sheet1!$A$3:$AW$699,2,FALSE))</f>
        <v>P6.066</v>
      </c>
    </row>
    <row r="190" spans="1:16" ht="20.399999999999999" x14ac:dyDescent="0.3">
      <c r="A190" s="9">
        <v>464</v>
      </c>
      <c r="B190" s="9" t="str">
        <f>IF(VLOOKUP($A190,Sheet1!$A$3:$AW$699,20,FALSE)="","",VLOOKUP($A190,Sheet1!$A$3:$AW$699,20,FALSE))</f>
        <v>PRCmd33Data</v>
      </c>
      <c r="C190" s="9" t="str">
        <f>IF(VLOOKUP($A190,Sheet1!$A$3:$AW$699,25,FALSE)="","",VLOOKUP($A190,Sheet1!$A$3:$AW$699,25,FALSE))</f>
        <v>PR/IO</v>
      </c>
      <c r="D190" s="142">
        <f>IF(VLOOKUP($A190,Sheet1!$A$3:$AW$699,15,FALSE)="","",VLOOKUP($A190,Sheet1!$A$3:$AW$699,15,FALSE))</f>
        <v>-2147483648</v>
      </c>
      <c r="E190" s="142">
        <f>IF(VLOOKUP($A190,Sheet1!$A$3:$AW$699,16,FALSE)="","",VLOOKUP($A190,Sheet1!$A$3:$AW$699,16,FALSE))</f>
        <v>2147483647</v>
      </c>
      <c r="F190" s="142">
        <f>IF(VLOOKUP($A190,Sheet1!$A$3:$AW$699,17,FALSE)="","",VLOOKUP($A190,Sheet1!$A$3:$AW$699,17,FALSE))</f>
        <v>0</v>
      </c>
      <c r="G190" s="142" t="str">
        <f>IF(VLOOKUP($A190,Sheet1!$A$3:$AW$699,18,FALSE)="","",VLOOKUP($A190,Sheet1!$A$3:$AW$699,18,FALSE))</f>
        <v/>
      </c>
      <c r="H190" s="142" t="str">
        <f>IF(VLOOKUP($A190,Sheet1!$A$3:$AW$699,19,FALSE)="","",VLOOKUP($A190,Sheet1!$A$3:$AW$699,19,FALSE))</f>
        <v/>
      </c>
      <c r="I190" s="9" t="str">
        <f>IF(VLOOKUP($A190,Sheet1!$A$3:$AW$699,5,FALSE)="","",VLOOKUP($A190,Sheet1!$A$3:$AW$699,5,FALSE))</f>
        <v>DINT</v>
      </c>
      <c r="J190" s="9" t="s">
        <v>723</v>
      </c>
      <c r="K190" s="9" t="s">
        <v>658</v>
      </c>
      <c r="L190" s="146" t="str">
        <f>IF(VLOOKUP($A190,Sheet1!$A$3:$AW$699,7,FALSE)="★","x","")</f>
        <v/>
      </c>
      <c r="M190" s="146" t="str">
        <f>IF(VLOOKUP($A190,Sheet1!$A$3:$AW$699,8,FALSE)="▲","x","")</f>
        <v/>
      </c>
      <c r="N190" s="146" t="str">
        <f>IF(VLOOKUP($A190,Sheet1!$A$3:$AW$699,9,FALSE)="●","x","")</f>
        <v/>
      </c>
      <c r="O190" s="146" t="str">
        <f>IF(VLOOKUP($A190,Sheet1!$A$3:$AW$699,10,FALSE)="■","x","")</f>
        <v/>
      </c>
      <c r="P190" s="9" t="str">
        <f>IF(VLOOKUP($A190,Sheet1!$A$3:$AW$699,2,FALSE)="","",VLOOKUP($A190,Sheet1!$A$3:$AW$699,2,FALSE))</f>
        <v>P6.067</v>
      </c>
    </row>
    <row r="191" spans="1:16" ht="20.399999999999999" x14ac:dyDescent="0.3">
      <c r="A191" s="9">
        <v>465</v>
      </c>
      <c r="B191" s="9" t="str">
        <f>IF(VLOOKUP($A191,Sheet1!$A$3:$AW$699,20,FALSE)="","",VLOOKUP($A191,Sheet1!$A$3:$AW$699,20,FALSE))</f>
        <v>PRCmd34Setting</v>
      </c>
      <c r="C191" s="9" t="str">
        <f>IF(VLOOKUP($A191,Sheet1!$A$3:$AW$699,25,FALSE)="","",VLOOKUP($A191,Sheet1!$A$3:$AW$699,25,FALSE))</f>
        <v>PR/IO</v>
      </c>
      <c r="D191" s="142" t="str">
        <f>IF(VLOOKUP($A191,Sheet1!$A$3:$AW$699,15,FALSE)="","",VLOOKUP($A191,Sheet1!$A$3:$AW$699,15,FALSE))</f>
        <v>0x00000000</v>
      </c>
      <c r="E191" s="142" t="str">
        <f>IF(VLOOKUP($A191,Sheet1!$A$3:$AW$699,16,FALSE)="","",VLOOKUP($A191,Sheet1!$A$3:$AW$699,16,FALSE))</f>
        <v>0xFFFFFFFF</v>
      </c>
      <c r="F191" s="142" t="str">
        <f>IF(VLOOKUP($A191,Sheet1!$A$3:$AW$699,17,FALSE)="","",VLOOKUP($A191,Sheet1!$A$3:$AW$699,17,FALSE))</f>
        <v>0x00000000</v>
      </c>
      <c r="G191" s="142" t="str">
        <f>IF(VLOOKUP($A191,Sheet1!$A$3:$AW$699,18,FALSE)="","",VLOOKUP($A191,Sheet1!$A$3:$AW$699,18,FALSE))</f>
        <v/>
      </c>
      <c r="H191" s="142" t="str">
        <f>IF(VLOOKUP($A191,Sheet1!$A$3:$AW$699,19,FALSE)="","",VLOOKUP($A191,Sheet1!$A$3:$AW$699,19,FALSE))</f>
        <v/>
      </c>
      <c r="I191" s="9" t="str">
        <f>IF(VLOOKUP($A191,Sheet1!$A$3:$AW$699,5,FALSE)="","",VLOOKUP($A191,Sheet1!$A$3:$AW$699,5,FALSE))</f>
        <v>UDINT</v>
      </c>
      <c r="J191" s="9" t="s">
        <v>724</v>
      </c>
      <c r="K191" s="9" t="s">
        <v>658</v>
      </c>
      <c r="L191" s="146" t="str">
        <f>IF(VLOOKUP($A191,Sheet1!$A$3:$AW$699,7,FALSE)="★","x","")</f>
        <v/>
      </c>
      <c r="M191" s="146" t="str">
        <f>IF(VLOOKUP($A191,Sheet1!$A$3:$AW$699,8,FALSE)="▲","x","")</f>
        <v/>
      </c>
      <c r="N191" s="146" t="str">
        <f>IF(VLOOKUP($A191,Sheet1!$A$3:$AW$699,9,FALSE)="●","x","")</f>
        <v/>
      </c>
      <c r="O191" s="146" t="str">
        <f>IF(VLOOKUP($A191,Sheet1!$A$3:$AW$699,10,FALSE)="■","x","")</f>
        <v/>
      </c>
      <c r="P191" s="9" t="str">
        <f>IF(VLOOKUP($A191,Sheet1!$A$3:$AW$699,2,FALSE)="","",VLOOKUP($A191,Sheet1!$A$3:$AW$699,2,FALSE))</f>
        <v>P6.068</v>
      </c>
    </row>
    <row r="192" spans="1:16" ht="20.399999999999999" x14ac:dyDescent="0.3">
      <c r="A192" s="9">
        <v>466</v>
      </c>
      <c r="B192" s="9" t="str">
        <f>IF(VLOOKUP($A192,Sheet1!$A$3:$AW$699,20,FALSE)="","",VLOOKUP($A192,Sheet1!$A$3:$AW$699,20,FALSE))</f>
        <v>PRCmd34Data</v>
      </c>
      <c r="C192" s="9" t="str">
        <f>IF(VLOOKUP($A192,Sheet1!$A$3:$AW$699,25,FALSE)="","",VLOOKUP($A192,Sheet1!$A$3:$AW$699,25,FALSE))</f>
        <v>PR/IO</v>
      </c>
      <c r="D192" s="142">
        <f>IF(VLOOKUP($A192,Sheet1!$A$3:$AW$699,15,FALSE)="","",VLOOKUP($A192,Sheet1!$A$3:$AW$699,15,FALSE))</f>
        <v>-2147483648</v>
      </c>
      <c r="E192" s="142">
        <f>IF(VLOOKUP($A192,Sheet1!$A$3:$AW$699,16,FALSE)="","",VLOOKUP($A192,Sheet1!$A$3:$AW$699,16,FALSE))</f>
        <v>2147483647</v>
      </c>
      <c r="F192" s="142">
        <f>IF(VLOOKUP($A192,Sheet1!$A$3:$AW$699,17,FALSE)="","",VLOOKUP($A192,Sheet1!$A$3:$AW$699,17,FALSE))</f>
        <v>0</v>
      </c>
      <c r="G192" s="142" t="str">
        <f>IF(VLOOKUP($A192,Sheet1!$A$3:$AW$699,18,FALSE)="","",VLOOKUP($A192,Sheet1!$A$3:$AW$699,18,FALSE))</f>
        <v/>
      </c>
      <c r="H192" s="142" t="str">
        <f>IF(VLOOKUP($A192,Sheet1!$A$3:$AW$699,19,FALSE)="","",VLOOKUP($A192,Sheet1!$A$3:$AW$699,19,FALSE))</f>
        <v/>
      </c>
      <c r="I192" s="9" t="str">
        <f>IF(VLOOKUP($A192,Sheet1!$A$3:$AW$699,5,FALSE)="","",VLOOKUP($A192,Sheet1!$A$3:$AW$699,5,FALSE))</f>
        <v>DINT</v>
      </c>
      <c r="J192" s="9" t="s">
        <v>725</v>
      </c>
      <c r="K192" s="9" t="s">
        <v>658</v>
      </c>
      <c r="L192" s="146" t="str">
        <f>IF(VLOOKUP($A192,Sheet1!$A$3:$AW$699,7,FALSE)="★","x","")</f>
        <v/>
      </c>
      <c r="M192" s="146" t="str">
        <f>IF(VLOOKUP($A192,Sheet1!$A$3:$AW$699,8,FALSE)="▲","x","")</f>
        <v/>
      </c>
      <c r="N192" s="146" t="str">
        <f>IF(VLOOKUP($A192,Sheet1!$A$3:$AW$699,9,FALSE)="●","x","")</f>
        <v/>
      </c>
      <c r="O192" s="146" t="str">
        <f>IF(VLOOKUP($A192,Sheet1!$A$3:$AW$699,10,FALSE)="■","x","")</f>
        <v/>
      </c>
      <c r="P192" s="9" t="str">
        <f>IF(VLOOKUP($A192,Sheet1!$A$3:$AW$699,2,FALSE)="","",VLOOKUP($A192,Sheet1!$A$3:$AW$699,2,FALSE))</f>
        <v>P6.069</v>
      </c>
    </row>
    <row r="193" spans="1:16" ht="20.399999999999999" x14ac:dyDescent="0.3">
      <c r="A193" s="9">
        <v>467</v>
      </c>
      <c r="B193" s="9" t="str">
        <f>IF(VLOOKUP($A193,Sheet1!$A$3:$AW$699,20,FALSE)="","",VLOOKUP($A193,Sheet1!$A$3:$AW$699,20,FALSE))</f>
        <v>PRCmd35Setting</v>
      </c>
      <c r="C193" s="9" t="str">
        <f>IF(VLOOKUP($A193,Sheet1!$A$3:$AW$699,25,FALSE)="","",VLOOKUP($A193,Sheet1!$A$3:$AW$699,25,FALSE))</f>
        <v>PR/IO</v>
      </c>
      <c r="D193" s="142" t="str">
        <f>IF(VLOOKUP($A193,Sheet1!$A$3:$AW$699,15,FALSE)="","",VLOOKUP($A193,Sheet1!$A$3:$AW$699,15,FALSE))</f>
        <v>0x00000000</v>
      </c>
      <c r="E193" s="142" t="str">
        <f>IF(VLOOKUP($A193,Sheet1!$A$3:$AW$699,16,FALSE)="","",VLOOKUP($A193,Sheet1!$A$3:$AW$699,16,FALSE))</f>
        <v>0xFFFFFFFF</v>
      </c>
      <c r="F193" s="142" t="str">
        <f>IF(VLOOKUP($A193,Sheet1!$A$3:$AW$699,17,FALSE)="","",VLOOKUP($A193,Sheet1!$A$3:$AW$699,17,FALSE))</f>
        <v>0x00000000</v>
      </c>
      <c r="G193" s="142" t="str">
        <f>IF(VLOOKUP($A193,Sheet1!$A$3:$AW$699,18,FALSE)="","",VLOOKUP($A193,Sheet1!$A$3:$AW$699,18,FALSE))</f>
        <v/>
      </c>
      <c r="H193" s="142" t="str">
        <f>IF(VLOOKUP($A193,Sheet1!$A$3:$AW$699,19,FALSE)="","",VLOOKUP($A193,Sheet1!$A$3:$AW$699,19,FALSE))</f>
        <v/>
      </c>
      <c r="I193" s="9" t="str">
        <f>IF(VLOOKUP($A193,Sheet1!$A$3:$AW$699,5,FALSE)="","",VLOOKUP($A193,Sheet1!$A$3:$AW$699,5,FALSE))</f>
        <v>UDINT</v>
      </c>
      <c r="J193" s="9" t="s">
        <v>726</v>
      </c>
      <c r="K193" s="9" t="s">
        <v>658</v>
      </c>
      <c r="L193" s="146" t="str">
        <f>IF(VLOOKUP($A193,Sheet1!$A$3:$AW$699,7,FALSE)="★","x","")</f>
        <v/>
      </c>
      <c r="M193" s="146" t="str">
        <f>IF(VLOOKUP($A193,Sheet1!$A$3:$AW$699,8,FALSE)="▲","x","")</f>
        <v/>
      </c>
      <c r="N193" s="146" t="str">
        <f>IF(VLOOKUP($A193,Sheet1!$A$3:$AW$699,9,FALSE)="●","x","")</f>
        <v/>
      </c>
      <c r="O193" s="146" t="str">
        <f>IF(VLOOKUP($A193,Sheet1!$A$3:$AW$699,10,FALSE)="■","x","")</f>
        <v/>
      </c>
      <c r="P193" s="9" t="str">
        <f>IF(VLOOKUP($A193,Sheet1!$A$3:$AW$699,2,FALSE)="","",VLOOKUP($A193,Sheet1!$A$3:$AW$699,2,FALSE))</f>
        <v>P6.070</v>
      </c>
    </row>
    <row r="194" spans="1:16" ht="20.399999999999999" x14ac:dyDescent="0.3">
      <c r="A194" s="9">
        <v>468</v>
      </c>
      <c r="B194" s="9" t="str">
        <f>IF(VLOOKUP($A194,Sheet1!$A$3:$AW$699,20,FALSE)="","",VLOOKUP($A194,Sheet1!$A$3:$AW$699,20,FALSE))</f>
        <v>PRCmd35Data</v>
      </c>
      <c r="C194" s="9" t="str">
        <f>IF(VLOOKUP($A194,Sheet1!$A$3:$AW$699,25,FALSE)="","",VLOOKUP($A194,Sheet1!$A$3:$AW$699,25,FALSE))</f>
        <v>PR/IO</v>
      </c>
      <c r="D194" s="142">
        <f>IF(VLOOKUP($A194,Sheet1!$A$3:$AW$699,15,FALSE)="","",VLOOKUP($A194,Sheet1!$A$3:$AW$699,15,FALSE))</f>
        <v>-2147483648</v>
      </c>
      <c r="E194" s="142">
        <f>IF(VLOOKUP($A194,Sheet1!$A$3:$AW$699,16,FALSE)="","",VLOOKUP($A194,Sheet1!$A$3:$AW$699,16,FALSE))</f>
        <v>2147483647</v>
      </c>
      <c r="F194" s="142">
        <f>IF(VLOOKUP($A194,Sheet1!$A$3:$AW$699,17,FALSE)="","",VLOOKUP($A194,Sheet1!$A$3:$AW$699,17,FALSE))</f>
        <v>0</v>
      </c>
      <c r="G194" s="142" t="str">
        <f>IF(VLOOKUP($A194,Sheet1!$A$3:$AW$699,18,FALSE)="","",VLOOKUP($A194,Sheet1!$A$3:$AW$699,18,FALSE))</f>
        <v/>
      </c>
      <c r="H194" s="142" t="str">
        <f>IF(VLOOKUP($A194,Sheet1!$A$3:$AW$699,19,FALSE)="","",VLOOKUP($A194,Sheet1!$A$3:$AW$699,19,FALSE))</f>
        <v/>
      </c>
      <c r="I194" s="9" t="str">
        <f>IF(VLOOKUP($A194,Sheet1!$A$3:$AW$699,5,FALSE)="","",VLOOKUP($A194,Sheet1!$A$3:$AW$699,5,FALSE))</f>
        <v>DINT</v>
      </c>
      <c r="J194" s="9" t="s">
        <v>727</v>
      </c>
      <c r="K194" s="9" t="s">
        <v>658</v>
      </c>
      <c r="L194" s="146" t="str">
        <f>IF(VLOOKUP($A194,Sheet1!$A$3:$AW$699,7,FALSE)="★","x","")</f>
        <v/>
      </c>
      <c r="M194" s="146" t="str">
        <f>IF(VLOOKUP($A194,Sheet1!$A$3:$AW$699,8,FALSE)="▲","x","")</f>
        <v/>
      </c>
      <c r="N194" s="146" t="str">
        <f>IF(VLOOKUP($A194,Sheet1!$A$3:$AW$699,9,FALSE)="●","x","")</f>
        <v/>
      </c>
      <c r="O194" s="146" t="str">
        <f>IF(VLOOKUP($A194,Sheet1!$A$3:$AW$699,10,FALSE)="■","x","")</f>
        <v/>
      </c>
      <c r="P194" s="9" t="str">
        <f>IF(VLOOKUP($A194,Sheet1!$A$3:$AW$699,2,FALSE)="","",VLOOKUP($A194,Sheet1!$A$3:$AW$699,2,FALSE))</f>
        <v>P6.071</v>
      </c>
    </row>
    <row r="195" spans="1:16" ht="20.399999999999999" x14ac:dyDescent="0.3">
      <c r="A195" s="9">
        <v>469</v>
      </c>
      <c r="B195" s="9" t="str">
        <f>IF(VLOOKUP($A195,Sheet1!$A$3:$AW$699,20,FALSE)="","",VLOOKUP($A195,Sheet1!$A$3:$AW$699,20,FALSE))</f>
        <v>PRCmd36Setting</v>
      </c>
      <c r="C195" s="9" t="str">
        <f>IF(VLOOKUP($A195,Sheet1!$A$3:$AW$699,25,FALSE)="","",VLOOKUP($A195,Sheet1!$A$3:$AW$699,25,FALSE))</f>
        <v>PR/IO</v>
      </c>
      <c r="D195" s="142" t="str">
        <f>IF(VLOOKUP($A195,Sheet1!$A$3:$AW$699,15,FALSE)="","",VLOOKUP($A195,Sheet1!$A$3:$AW$699,15,FALSE))</f>
        <v>0x00000000</v>
      </c>
      <c r="E195" s="142" t="str">
        <f>IF(VLOOKUP($A195,Sheet1!$A$3:$AW$699,16,FALSE)="","",VLOOKUP($A195,Sheet1!$A$3:$AW$699,16,FALSE))</f>
        <v>0xFFFFFFFF</v>
      </c>
      <c r="F195" s="142" t="str">
        <f>IF(VLOOKUP($A195,Sheet1!$A$3:$AW$699,17,FALSE)="","",VLOOKUP($A195,Sheet1!$A$3:$AW$699,17,FALSE))</f>
        <v>0x00000000</v>
      </c>
      <c r="G195" s="142" t="str">
        <f>IF(VLOOKUP($A195,Sheet1!$A$3:$AW$699,18,FALSE)="","",VLOOKUP($A195,Sheet1!$A$3:$AW$699,18,FALSE))</f>
        <v/>
      </c>
      <c r="H195" s="142" t="str">
        <f>IF(VLOOKUP($A195,Sheet1!$A$3:$AW$699,19,FALSE)="","",VLOOKUP($A195,Sheet1!$A$3:$AW$699,19,FALSE))</f>
        <v/>
      </c>
      <c r="I195" s="9" t="str">
        <f>IF(VLOOKUP($A195,Sheet1!$A$3:$AW$699,5,FALSE)="","",VLOOKUP($A195,Sheet1!$A$3:$AW$699,5,FALSE))</f>
        <v>UDINT</v>
      </c>
      <c r="J195" s="9" t="s">
        <v>728</v>
      </c>
      <c r="K195" s="9" t="s">
        <v>658</v>
      </c>
      <c r="L195" s="146" t="str">
        <f>IF(VLOOKUP($A195,Sheet1!$A$3:$AW$699,7,FALSE)="★","x","")</f>
        <v/>
      </c>
      <c r="M195" s="146" t="str">
        <f>IF(VLOOKUP($A195,Sheet1!$A$3:$AW$699,8,FALSE)="▲","x","")</f>
        <v/>
      </c>
      <c r="N195" s="146" t="str">
        <f>IF(VLOOKUP($A195,Sheet1!$A$3:$AW$699,9,FALSE)="●","x","")</f>
        <v/>
      </c>
      <c r="O195" s="146" t="str">
        <f>IF(VLOOKUP($A195,Sheet1!$A$3:$AW$699,10,FALSE)="■","x","")</f>
        <v/>
      </c>
      <c r="P195" s="9" t="str">
        <f>IF(VLOOKUP($A195,Sheet1!$A$3:$AW$699,2,FALSE)="","",VLOOKUP($A195,Sheet1!$A$3:$AW$699,2,FALSE))</f>
        <v>P6.072</v>
      </c>
    </row>
    <row r="196" spans="1:16" ht="20.399999999999999" x14ac:dyDescent="0.3">
      <c r="A196" s="9">
        <v>470</v>
      </c>
      <c r="B196" s="9" t="str">
        <f>IF(VLOOKUP($A196,Sheet1!$A$3:$AW$699,20,FALSE)="","",VLOOKUP($A196,Sheet1!$A$3:$AW$699,20,FALSE))</f>
        <v>PRCmd36Data</v>
      </c>
      <c r="C196" s="9" t="str">
        <f>IF(VLOOKUP($A196,Sheet1!$A$3:$AW$699,25,FALSE)="","",VLOOKUP($A196,Sheet1!$A$3:$AW$699,25,FALSE))</f>
        <v>PR/IO</v>
      </c>
      <c r="D196" s="142">
        <f>IF(VLOOKUP($A196,Sheet1!$A$3:$AW$699,15,FALSE)="","",VLOOKUP($A196,Sheet1!$A$3:$AW$699,15,FALSE))</f>
        <v>-2147483648</v>
      </c>
      <c r="E196" s="142">
        <f>IF(VLOOKUP($A196,Sheet1!$A$3:$AW$699,16,FALSE)="","",VLOOKUP($A196,Sheet1!$A$3:$AW$699,16,FALSE))</f>
        <v>2147483647</v>
      </c>
      <c r="F196" s="142">
        <f>IF(VLOOKUP($A196,Sheet1!$A$3:$AW$699,17,FALSE)="","",VLOOKUP($A196,Sheet1!$A$3:$AW$699,17,FALSE))</f>
        <v>0</v>
      </c>
      <c r="G196" s="142" t="str">
        <f>IF(VLOOKUP($A196,Sheet1!$A$3:$AW$699,18,FALSE)="","",VLOOKUP($A196,Sheet1!$A$3:$AW$699,18,FALSE))</f>
        <v/>
      </c>
      <c r="H196" s="142" t="str">
        <f>IF(VLOOKUP($A196,Sheet1!$A$3:$AW$699,19,FALSE)="","",VLOOKUP($A196,Sheet1!$A$3:$AW$699,19,FALSE))</f>
        <v/>
      </c>
      <c r="I196" s="9" t="str">
        <f>IF(VLOOKUP($A196,Sheet1!$A$3:$AW$699,5,FALSE)="","",VLOOKUP($A196,Sheet1!$A$3:$AW$699,5,FALSE))</f>
        <v>DINT</v>
      </c>
      <c r="J196" s="9" t="s">
        <v>729</v>
      </c>
      <c r="K196" s="9" t="s">
        <v>658</v>
      </c>
      <c r="L196" s="146" t="str">
        <f>IF(VLOOKUP($A196,Sheet1!$A$3:$AW$699,7,FALSE)="★","x","")</f>
        <v/>
      </c>
      <c r="M196" s="146" t="str">
        <f>IF(VLOOKUP($A196,Sheet1!$A$3:$AW$699,8,FALSE)="▲","x","")</f>
        <v/>
      </c>
      <c r="N196" s="146" t="str">
        <f>IF(VLOOKUP($A196,Sheet1!$A$3:$AW$699,9,FALSE)="●","x","")</f>
        <v/>
      </c>
      <c r="O196" s="146" t="str">
        <f>IF(VLOOKUP($A196,Sheet1!$A$3:$AW$699,10,FALSE)="■","x","")</f>
        <v/>
      </c>
      <c r="P196" s="9" t="str">
        <f>IF(VLOOKUP($A196,Sheet1!$A$3:$AW$699,2,FALSE)="","",VLOOKUP($A196,Sheet1!$A$3:$AW$699,2,FALSE))</f>
        <v>P6.073</v>
      </c>
    </row>
    <row r="197" spans="1:16" ht="20.399999999999999" x14ac:dyDescent="0.3">
      <c r="A197" s="9">
        <v>471</v>
      </c>
      <c r="B197" s="9" t="str">
        <f>IF(VLOOKUP($A197,Sheet1!$A$3:$AW$699,20,FALSE)="","",VLOOKUP($A197,Sheet1!$A$3:$AW$699,20,FALSE))</f>
        <v>PRCmd37Setting</v>
      </c>
      <c r="C197" s="9" t="str">
        <f>IF(VLOOKUP($A197,Sheet1!$A$3:$AW$699,25,FALSE)="","",VLOOKUP($A197,Sheet1!$A$3:$AW$699,25,FALSE))</f>
        <v>PR/IO</v>
      </c>
      <c r="D197" s="142" t="str">
        <f>IF(VLOOKUP($A197,Sheet1!$A$3:$AW$699,15,FALSE)="","",VLOOKUP($A197,Sheet1!$A$3:$AW$699,15,FALSE))</f>
        <v>0x00000000</v>
      </c>
      <c r="E197" s="142" t="str">
        <f>IF(VLOOKUP($A197,Sheet1!$A$3:$AW$699,16,FALSE)="","",VLOOKUP($A197,Sheet1!$A$3:$AW$699,16,FALSE))</f>
        <v>0xFFFFFFFF</v>
      </c>
      <c r="F197" s="142" t="str">
        <f>IF(VLOOKUP($A197,Sheet1!$A$3:$AW$699,17,FALSE)="","",VLOOKUP($A197,Sheet1!$A$3:$AW$699,17,FALSE))</f>
        <v>0x00000000</v>
      </c>
      <c r="G197" s="142" t="str">
        <f>IF(VLOOKUP($A197,Sheet1!$A$3:$AW$699,18,FALSE)="","",VLOOKUP($A197,Sheet1!$A$3:$AW$699,18,FALSE))</f>
        <v/>
      </c>
      <c r="H197" s="142" t="str">
        <f>IF(VLOOKUP($A197,Sheet1!$A$3:$AW$699,19,FALSE)="","",VLOOKUP($A197,Sheet1!$A$3:$AW$699,19,FALSE))</f>
        <v/>
      </c>
      <c r="I197" s="9" t="str">
        <f>IF(VLOOKUP($A197,Sheet1!$A$3:$AW$699,5,FALSE)="","",VLOOKUP($A197,Sheet1!$A$3:$AW$699,5,FALSE))</f>
        <v>UDINT</v>
      </c>
      <c r="J197" s="9" t="s">
        <v>730</v>
      </c>
      <c r="K197" s="9" t="s">
        <v>658</v>
      </c>
      <c r="L197" s="146" t="str">
        <f>IF(VLOOKUP($A197,Sheet1!$A$3:$AW$699,7,FALSE)="★","x","")</f>
        <v/>
      </c>
      <c r="M197" s="146" t="str">
        <f>IF(VLOOKUP($A197,Sheet1!$A$3:$AW$699,8,FALSE)="▲","x","")</f>
        <v/>
      </c>
      <c r="N197" s="146" t="str">
        <f>IF(VLOOKUP($A197,Sheet1!$A$3:$AW$699,9,FALSE)="●","x","")</f>
        <v/>
      </c>
      <c r="O197" s="146" t="str">
        <f>IF(VLOOKUP($A197,Sheet1!$A$3:$AW$699,10,FALSE)="■","x","")</f>
        <v/>
      </c>
      <c r="P197" s="9" t="str">
        <f>IF(VLOOKUP($A197,Sheet1!$A$3:$AW$699,2,FALSE)="","",VLOOKUP($A197,Sheet1!$A$3:$AW$699,2,FALSE))</f>
        <v>P6.074</v>
      </c>
    </row>
    <row r="198" spans="1:16" ht="20.399999999999999" x14ac:dyDescent="0.3">
      <c r="A198" s="9">
        <v>472</v>
      </c>
      <c r="B198" s="9" t="str">
        <f>IF(VLOOKUP($A198,Sheet1!$A$3:$AW$699,20,FALSE)="","",VLOOKUP($A198,Sheet1!$A$3:$AW$699,20,FALSE))</f>
        <v>PRCmd37Data</v>
      </c>
      <c r="C198" s="9" t="str">
        <f>IF(VLOOKUP($A198,Sheet1!$A$3:$AW$699,25,FALSE)="","",VLOOKUP($A198,Sheet1!$A$3:$AW$699,25,FALSE))</f>
        <v>PR/IO</v>
      </c>
      <c r="D198" s="142">
        <f>IF(VLOOKUP($A198,Sheet1!$A$3:$AW$699,15,FALSE)="","",VLOOKUP($A198,Sheet1!$A$3:$AW$699,15,FALSE))</f>
        <v>-2147483648</v>
      </c>
      <c r="E198" s="142">
        <f>IF(VLOOKUP($A198,Sheet1!$A$3:$AW$699,16,FALSE)="","",VLOOKUP($A198,Sheet1!$A$3:$AW$699,16,FALSE))</f>
        <v>2147483647</v>
      </c>
      <c r="F198" s="142">
        <f>IF(VLOOKUP($A198,Sheet1!$A$3:$AW$699,17,FALSE)="","",VLOOKUP($A198,Sheet1!$A$3:$AW$699,17,FALSE))</f>
        <v>0</v>
      </c>
      <c r="G198" s="142" t="str">
        <f>IF(VLOOKUP($A198,Sheet1!$A$3:$AW$699,18,FALSE)="","",VLOOKUP($A198,Sheet1!$A$3:$AW$699,18,FALSE))</f>
        <v/>
      </c>
      <c r="H198" s="142" t="str">
        <f>IF(VLOOKUP($A198,Sheet1!$A$3:$AW$699,19,FALSE)="","",VLOOKUP($A198,Sheet1!$A$3:$AW$699,19,FALSE))</f>
        <v/>
      </c>
      <c r="I198" s="9" t="str">
        <f>IF(VLOOKUP($A198,Sheet1!$A$3:$AW$699,5,FALSE)="","",VLOOKUP($A198,Sheet1!$A$3:$AW$699,5,FALSE))</f>
        <v>DINT</v>
      </c>
      <c r="J198" s="9" t="s">
        <v>731</v>
      </c>
      <c r="K198" s="9" t="s">
        <v>658</v>
      </c>
      <c r="L198" s="146" t="str">
        <f>IF(VLOOKUP($A198,Sheet1!$A$3:$AW$699,7,FALSE)="★","x","")</f>
        <v/>
      </c>
      <c r="M198" s="146" t="str">
        <f>IF(VLOOKUP($A198,Sheet1!$A$3:$AW$699,8,FALSE)="▲","x","")</f>
        <v/>
      </c>
      <c r="N198" s="146" t="str">
        <f>IF(VLOOKUP($A198,Sheet1!$A$3:$AW$699,9,FALSE)="●","x","")</f>
        <v/>
      </c>
      <c r="O198" s="146" t="str">
        <f>IF(VLOOKUP($A198,Sheet1!$A$3:$AW$699,10,FALSE)="■","x","")</f>
        <v/>
      </c>
      <c r="P198" s="9" t="str">
        <f>IF(VLOOKUP($A198,Sheet1!$A$3:$AW$699,2,FALSE)="","",VLOOKUP($A198,Sheet1!$A$3:$AW$699,2,FALSE))</f>
        <v>P6.075</v>
      </c>
    </row>
    <row r="199" spans="1:16" ht="20.399999999999999" x14ac:dyDescent="0.3">
      <c r="A199" s="9">
        <v>473</v>
      </c>
      <c r="B199" s="9" t="str">
        <f>IF(VLOOKUP($A199,Sheet1!$A$3:$AW$699,20,FALSE)="","",VLOOKUP($A199,Sheet1!$A$3:$AW$699,20,FALSE))</f>
        <v>PRCmd38Setting</v>
      </c>
      <c r="C199" s="9" t="str">
        <f>IF(VLOOKUP($A199,Sheet1!$A$3:$AW$699,25,FALSE)="","",VLOOKUP($A199,Sheet1!$A$3:$AW$699,25,FALSE))</f>
        <v>PR/IO</v>
      </c>
      <c r="D199" s="142" t="str">
        <f>IF(VLOOKUP($A199,Sheet1!$A$3:$AW$699,15,FALSE)="","",VLOOKUP($A199,Sheet1!$A$3:$AW$699,15,FALSE))</f>
        <v>0x00000000</v>
      </c>
      <c r="E199" s="142" t="str">
        <f>IF(VLOOKUP($A199,Sheet1!$A$3:$AW$699,16,FALSE)="","",VLOOKUP($A199,Sheet1!$A$3:$AW$699,16,FALSE))</f>
        <v>0xFFFFFFFF</v>
      </c>
      <c r="F199" s="142" t="str">
        <f>IF(VLOOKUP($A199,Sheet1!$A$3:$AW$699,17,FALSE)="","",VLOOKUP($A199,Sheet1!$A$3:$AW$699,17,FALSE))</f>
        <v>0x00000000</v>
      </c>
      <c r="G199" s="142" t="str">
        <f>IF(VLOOKUP($A199,Sheet1!$A$3:$AW$699,18,FALSE)="","",VLOOKUP($A199,Sheet1!$A$3:$AW$699,18,FALSE))</f>
        <v/>
      </c>
      <c r="H199" s="142" t="str">
        <f>IF(VLOOKUP($A199,Sheet1!$A$3:$AW$699,19,FALSE)="","",VLOOKUP($A199,Sheet1!$A$3:$AW$699,19,FALSE))</f>
        <v/>
      </c>
      <c r="I199" s="9" t="str">
        <f>IF(VLOOKUP($A199,Sheet1!$A$3:$AW$699,5,FALSE)="","",VLOOKUP($A199,Sheet1!$A$3:$AW$699,5,FALSE))</f>
        <v>UDINT</v>
      </c>
      <c r="J199" s="9" t="s">
        <v>732</v>
      </c>
      <c r="K199" s="9" t="s">
        <v>658</v>
      </c>
      <c r="L199" s="146" t="str">
        <f>IF(VLOOKUP($A199,Sheet1!$A$3:$AW$699,7,FALSE)="★","x","")</f>
        <v/>
      </c>
      <c r="M199" s="146" t="str">
        <f>IF(VLOOKUP($A199,Sheet1!$A$3:$AW$699,8,FALSE)="▲","x","")</f>
        <v/>
      </c>
      <c r="N199" s="146" t="str">
        <f>IF(VLOOKUP($A199,Sheet1!$A$3:$AW$699,9,FALSE)="●","x","")</f>
        <v/>
      </c>
      <c r="O199" s="146" t="str">
        <f>IF(VLOOKUP($A199,Sheet1!$A$3:$AW$699,10,FALSE)="■","x","")</f>
        <v/>
      </c>
      <c r="P199" s="9" t="str">
        <f>IF(VLOOKUP($A199,Sheet1!$A$3:$AW$699,2,FALSE)="","",VLOOKUP($A199,Sheet1!$A$3:$AW$699,2,FALSE))</f>
        <v>P6.076</v>
      </c>
    </row>
    <row r="200" spans="1:16" ht="20.399999999999999" x14ac:dyDescent="0.3">
      <c r="A200" s="9">
        <v>474</v>
      </c>
      <c r="B200" s="9" t="str">
        <f>IF(VLOOKUP($A200,Sheet1!$A$3:$AW$699,20,FALSE)="","",VLOOKUP($A200,Sheet1!$A$3:$AW$699,20,FALSE))</f>
        <v>PRCmd38Data</v>
      </c>
      <c r="C200" s="9" t="str">
        <f>IF(VLOOKUP($A200,Sheet1!$A$3:$AW$699,25,FALSE)="","",VLOOKUP($A200,Sheet1!$A$3:$AW$699,25,FALSE))</f>
        <v>PR/IO</v>
      </c>
      <c r="D200" s="142">
        <f>IF(VLOOKUP($A200,Sheet1!$A$3:$AW$699,15,FALSE)="","",VLOOKUP($A200,Sheet1!$A$3:$AW$699,15,FALSE))</f>
        <v>-2147483648</v>
      </c>
      <c r="E200" s="142">
        <f>IF(VLOOKUP($A200,Sheet1!$A$3:$AW$699,16,FALSE)="","",VLOOKUP($A200,Sheet1!$A$3:$AW$699,16,FALSE))</f>
        <v>2147483647</v>
      </c>
      <c r="F200" s="142">
        <f>IF(VLOOKUP($A200,Sheet1!$A$3:$AW$699,17,FALSE)="","",VLOOKUP($A200,Sheet1!$A$3:$AW$699,17,FALSE))</f>
        <v>0</v>
      </c>
      <c r="G200" s="142" t="str">
        <f>IF(VLOOKUP($A200,Sheet1!$A$3:$AW$699,18,FALSE)="","",VLOOKUP($A200,Sheet1!$A$3:$AW$699,18,FALSE))</f>
        <v/>
      </c>
      <c r="H200" s="142" t="str">
        <f>IF(VLOOKUP($A200,Sheet1!$A$3:$AW$699,19,FALSE)="","",VLOOKUP($A200,Sheet1!$A$3:$AW$699,19,FALSE))</f>
        <v/>
      </c>
      <c r="I200" s="9" t="str">
        <f>IF(VLOOKUP($A200,Sheet1!$A$3:$AW$699,5,FALSE)="","",VLOOKUP($A200,Sheet1!$A$3:$AW$699,5,FALSE))</f>
        <v>DINT</v>
      </c>
      <c r="J200" s="9" t="s">
        <v>733</v>
      </c>
      <c r="K200" s="9" t="s">
        <v>658</v>
      </c>
      <c r="L200" s="146" t="str">
        <f>IF(VLOOKUP($A200,Sheet1!$A$3:$AW$699,7,FALSE)="★","x","")</f>
        <v/>
      </c>
      <c r="M200" s="146" t="str">
        <f>IF(VLOOKUP($A200,Sheet1!$A$3:$AW$699,8,FALSE)="▲","x","")</f>
        <v/>
      </c>
      <c r="N200" s="146" t="str">
        <f>IF(VLOOKUP($A200,Sheet1!$A$3:$AW$699,9,FALSE)="●","x","")</f>
        <v/>
      </c>
      <c r="O200" s="146" t="str">
        <f>IF(VLOOKUP($A200,Sheet1!$A$3:$AW$699,10,FALSE)="■","x","")</f>
        <v/>
      </c>
      <c r="P200" s="9" t="str">
        <f>IF(VLOOKUP($A200,Sheet1!$A$3:$AW$699,2,FALSE)="","",VLOOKUP($A200,Sheet1!$A$3:$AW$699,2,FALSE))</f>
        <v>P6.077</v>
      </c>
    </row>
    <row r="201" spans="1:16" ht="20.399999999999999" x14ac:dyDescent="0.3">
      <c r="A201" s="9">
        <v>475</v>
      </c>
      <c r="B201" s="9" t="str">
        <f>IF(VLOOKUP($A201,Sheet1!$A$3:$AW$699,20,FALSE)="","",VLOOKUP($A201,Sheet1!$A$3:$AW$699,20,FALSE))</f>
        <v>PRCmd39Setting</v>
      </c>
      <c r="C201" s="9" t="str">
        <f>IF(VLOOKUP($A201,Sheet1!$A$3:$AW$699,25,FALSE)="","",VLOOKUP($A201,Sheet1!$A$3:$AW$699,25,FALSE))</f>
        <v>PR/IO</v>
      </c>
      <c r="D201" s="142" t="str">
        <f>IF(VLOOKUP($A201,Sheet1!$A$3:$AW$699,15,FALSE)="","",VLOOKUP($A201,Sheet1!$A$3:$AW$699,15,FALSE))</f>
        <v>0x00000000</v>
      </c>
      <c r="E201" s="142" t="str">
        <f>IF(VLOOKUP($A201,Sheet1!$A$3:$AW$699,16,FALSE)="","",VLOOKUP($A201,Sheet1!$A$3:$AW$699,16,FALSE))</f>
        <v>0xFFFFFFFF</v>
      </c>
      <c r="F201" s="142" t="str">
        <f>IF(VLOOKUP($A201,Sheet1!$A$3:$AW$699,17,FALSE)="","",VLOOKUP($A201,Sheet1!$A$3:$AW$699,17,FALSE))</f>
        <v>0x00000000</v>
      </c>
      <c r="G201" s="142" t="str">
        <f>IF(VLOOKUP($A201,Sheet1!$A$3:$AW$699,18,FALSE)="","",VLOOKUP($A201,Sheet1!$A$3:$AW$699,18,FALSE))</f>
        <v/>
      </c>
      <c r="H201" s="142" t="str">
        <f>IF(VLOOKUP($A201,Sheet1!$A$3:$AW$699,19,FALSE)="","",VLOOKUP($A201,Sheet1!$A$3:$AW$699,19,FALSE))</f>
        <v/>
      </c>
      <c r="I201" s="9" t="str">
        <f>IF(VLOOKUP($A201,Sheet1!$A$3:$AW$699,5,FALSE)="","",VLOOKUP($A201,Sheet1!$A$3:$AW$699,5,FALSE))</f>
        <v>UDINT</v>
      </c>
      <c r="J201" s="9" t="s">
        <v>734</v>
      </c>
      <c r="K201" s="9" t="s">
        <v>658</v>
      </c>
      <c r="L201" s="146" t="str">
        <f>IF(VLOOKUP($A201,Sheet1!$A$3:$AW$699,7,FALSE)="★","x","")</f>
        <v/>
      </c>
      <c r="M201" s="146" t="str">
        <f>IF(VLOOKUP($A201,Sheet1!$A$3:$AW$699,8,FALSE)="▲","x","")</f>
        <v/>
      </c>
      <c r="N201" s="146" t="str">
        <f>IF(VLOOKUP($A201,Sheet1!$A$3:$AW$699,9,FALSE)="●","x","")</f>
        <v/>
      </c>
      <c r="O201" s="146" t="str">
        <f>IF(VLOOKUP($A201,Sheet1!$A$3:$AW$699,10,FALSE)="■","x","")</f>
        <v/>
      </c>
      <c r="P201" s="9" t="str">
        <f>IF(VLOOKUP($A201,Sheet1!$A$3:$AW$699,2,FALSE)="","",VLOOKUP($A201,Sheet1!$A$3:$AW$699,2,FALSE))</f>
        <v>P6.078</v>
      </c>
    </row>
    <row r="202" spans="1:16" ht="20.399999999999999" x14ac:dyDescent="0.3">
      <c r="A202" s="9">
        <v>476</v>
      </c>
      <c r="B202" s="9" t="str">
        <f>IF(VLOOKUP($A202,Sheet1!$A$3:$AW$699,20,FALSE)="","",VLOOKUP($A202,Sheet1!$A$3:$AW$699,20,FALSE))</f>
        <v>PRCmd39Data</v>
      </c>
      <c r="C202" s="9" t="str">
        <f>IF(VLOOKUP($A202,Sheet1!$A$3:$AW$699,25,FALSE)="","",VLOOKUP($A202,Sheet1!$A$3:$AW$699,25,FALSE))</f>
        <v>PR/IO</v>
      </c>
      <c r="D202" s="142">
        <f>IF(VLOOKUP($A202,Sheet1!$A$3:$AW$699,15,FALSE)="","",VLOOKUP($A202,Sheet1!$A$3:$AW$699,15,FALSE))</f>
        <v>-2147483648</v>
      </c>
      <c r="E202" s="142">
        <f>IF(VLOOKUP($A202,Sheet1!$A$3:$AW$699,16,FALSE)="","",VLOOKUP($A202,Sheet1!$A$3:$AW$699,16,FALSE))</f>
        <v>2147483647</v>
      </c>
      <c r="F202" s="142">
        <f>IF(VLOOKUP($A202,Sheet1!$A$3:$AW$699,17,FALSE)="","",VLOOKUP($A202,Sheet1!$A$3:$AW$699,17,FALSE))</f>
        <v>0</v>
      </c>
      <c r="G202" s="142" t="str">
        <f>IF(VLOOKUP($A202,Sheet1!$A$3:$AW$699,18,FALSE)="","",VLOOKUP($A202,Sheet1!$A$3:$AW$699,18,FALSE))</f>
        <v/>
      </c>
      <c r="H202" s="142" t="str">
        <f>IF(VLOOKUP($A202,Sheet1!$A$3:$AW$699,19,FALSE)="","",VLOOKUP($A202,Sheet1!$A$3:$AW$699,19,FALSE))</f>
        <v/>
      </c>
      <c r="I202" s="9" t="str">
        <f>IF(VLOOKUP($A202,Sheet1!$A$3:$AW$699,5,FALSE)="","",VLOOKUP($A202,Sheet1!$A$3:$AW$699,5,FALSE))</f>
        <v>DINT</v>
      </c>
      <c r="J202" s="9" t="s">
        <v>735</v>
      </c>
      <c r="K202" s="9" t="s">
        <v>658</v>
      </c>
      <c r="L202" s="146" t="str">
        <f>IF(VLOOKUP($A202,Sheet1!$A$3:$AW$699,7,FALSE)="★","x","")</f>
        <v/>
      </c>
      <c r="M202" s="146" t="str">
        <f>IF(VLOOKUP($A202,Sheet1!$A$3:$AW$699,8,FALSE)="▲","x","")</f>
        <v/>
      </c>
      <c r="N202" s="146" t="str">
        <f>IF(VLOOKUP($A202,Sheet1!$A$3:$AW$699,9,FALSE)="●","x","")</f>
        <v/>
      </c>
      <c r="O202" s="146" t="str">
        <f>IF(VLOOKUP($A202,Sheet1!$A$3:$AW$699,10,FALSE)="■","x","")</f>
        <v/>
      </c>
      <c r="P202" s="9" t="str">
        <f>IF(VLOOKUP($A202,Sheet1!$A$3:$AW$699,2,FALSE)="","",VLOOKUP($A202,Sheet1!$A$3:$AW$699,2,FALSE))</f>
        <v>P6.079</v>
      </c>
    </row>
    <row r="203" spans="1:16" ht="20.399999999999999" x14ac:dyDescent="0.3">
      <c r="A203" s="9">
        <v>477</v>
      </c>
      <c r="B203" s="9" t="str">
        <f>IF(VLOOKUP($A203,Sheet1!$A$3:$AW$699,20,FALSE)="","",VLOOKUP($A203,Sheet1!$A$3:$AW$699,20,FALSE))</f>
        <v>PRCmd40Setting</v>
      </c>
      <c r="C203" s="9" t="str">
        <f>IF(VLOOKUP($A203,Sheet1!$A$3:$AW$699,25,FALSE)="","",VLOOKUP($A203,Sheet1!$A$3:$AW$699,25,FALSE))</f>
        <v>PR/IO</v>
      </c>
      <c r="D203" s="142" t="str">
        <f>IF(VLOOKUP($A203,Sheet1!$A$3:$AW$699,15,FALSE)="","",VLOOKUP($A203,Sheet1!$A$3:$AW$699,15,FALSE))</f>
        <v>0x00000000</v>
      </c>
      <c r="E203" s="142" t="str">
        <f>IF(VLOOKUP($A203,Sheet1!$A$3:$AW$699,16,FALSE)="","",VLOOKUP($A203,Sheet1!$A$3:$AW$699,16,FALSE))</f>
        <v>0xFFFFFFFF</v>
      </c>
      <c r="F203" s="142" t="str">
        <f>IF(VLOOKUP($A203,Sheet1!$A$3:$AW$699,17,FALSE)="","",VLOOKUP($A203,Sheet1!$A$3:$AW$699,17,FALSE))</f>
        <v>0x00000000</v>
      </c>
      <c r="G203" s="142" t="str">
        <f>IF(VLOOKUP($A203,Sheet1!$A$3:$AW$699,18,FALSE)="","",VLOOKUP($A203,Sheet1!$A$3:$AW$699,18,FALSE))</f>
        <v/>
      </c>
      <c r="H203" s="142" t="str">
        <f>IF(VLOOKUP($A203,Sheet1!$A$3:$AW$699,19,FALSE)="","",VLOOKUP($A203,Sheet1!$A$3:$AW$699,19,FALSE))</f>
        <v/>
      </c>
      <c r="I203" s="9" t="str">
        <f>IF(VLOOKUP($A203,Sheet1!$A$3:$AW$699,5,FALSE)="","",VLOOKUP($A203,Sheet1!$A$3:$AW$699,5,FALSE))</f>
        <v>UDINT</v>
      </c>
      <c r="J203" s="9" t="s">
        <v>736</v>
      </c>
      <c r="K203" s="9" t="s">
        <v>658</v>
      </c>
      <c r="L203" s="146" t="str">
        <f>IF(VLOOKUP($A203,Sheet1!$A$3:$AW$699,7,FALSE)="★","x","")</f>
        <v/>
      </c>
      <c r="M203" s="146" t="str">
        <f>IF(VLOOKUP($A203,Sheet1!$A$3:$AW$699,8,FALSE)="▲","x","")</f>
        <v/>
      </c>
      <c r="N203" s="146" t="str">
        <f>IF(VLOOKUP($A203,Sheet1!$A$3:$AW$699,9,FALSE)="●","x","")</f>
        <v/>
      </c>
      <c r="O203" s="146" t="str">
        <f>IF(VLOOKUP($A203,Sheet1!$A$3:$AW$699,10,FALSE)="■","x","")</f>
        <v/>
      </c>
      <c r="P203" s="9" t="str">
        <f>IF(VLOOKUP($A203,Sheet1!$A$3:$AW$699,2,FALSE)="","",VLOOKUP($A203,Sheet1!$A$3:$AW$699,2,FALSE))</f>
        <v>P6.080</v>
      </c>
    </row>
    <row r="204" spans="1:16" ht="20.399999999999999" x14ac:dyDescent="0.3">
      <c r="A204" s="9">
        <v>478</v>
      </c>
      <c r="B204" s="9" t="str">
        <f>IF(VLOOKUP($A204,Sheet1!$A$3:$AW$699,20,FALSE)="","",VLOOKUP($A204,Sheet1!$A$3:$AW$699,20,FALSE))</f>
        <v>PRCmd40Data</v>
      </c>
      <c r="C204" s="9" t="str">
        <f>IF(VLOOKUP($A204,Sheet1!$A$3:$AW$699,25,FALSE)="","",VLOOKUP($A204,Sheet1!$A$3:$AW$699,25,FALSE))</f>
        <v>PR/IO</v>
      </c>
      <c r="D204" s="142">
        <f>IF(VLOOKUP($A204,Sheet1!$A$3:$AW$699,15,FALSE)="","",VLOOKUP($A204,Sheet1!$A$3:$AW$699,15,FALSE))</f>
        <v>-2147483648</v>
      </c>
      <c r="E204" s="142">
        <f>IF(VLOOKUP($A204,Sheet1!$A$3:$AW$699,16,FALSE)="","",VLOOKUP($A204,Sheet1!$A$3:$AW$699,16,FALSE))</f>
        <v>2147483647</v>
      </c>
      <c r="F204" s="142">
        <f>IF(VLOOKUP($A204,Sheet1!$A$3:$AW$699,17,FALSE)="","",VLOOKUP($A204,Sheet1!$A$3:$AW$699,17,FALSE))</f>
        <v>0</v>
      </c>
      <c r="G204" s="142" t="str">
        <f>IF(VLOOKUP($A204,Sheet1!$A$3:$AW$699,18,FALSE)="","",VLOOKUP($A204,Sheet1!$A$3:$AW$699,18,FALSE))</f>
        <v/>
      </c>
      <c r="H204" s="142" t="str">
        <f>IF(VLOOKUP($A204,Sheet1!$A$3:$AW$699,19,FALSE)="","",VLOOKUP($A204,Sheet1!$A$3:$AW$699,19,FALSE))</f>
        <v/>
      </c>
      <c r="I204" s="9" t="str">
        <f>IF(VLOOKUP($A204,Sheet1!$A$3:$AW$699,5,FALSE)="","",VLOOKUP($A204,Sheet1!$A$3:$AW$699,5,FALSE))</f>
        <v>DINT</v>
      </c>
      <c r="J204" s="9" t="s">
        <v>737</v>
      </c>
      <c r="K204" s="9" t="s">
        <v>658</v>
      </c>
      <c r="L204" s="146" t="str">
        <f>IF(VLOOKUP($A204,Sheet1!$A$3:$AW$699,7,FALSE)="★","x","")</f>
        <v/>
      </c>
      <c r="M204" s="146" t="str">
        <f>IF(VLOOKUP($A204,Sheet1!$A$3:$AW$699,8,FALSE)="▲","x","")</f>
        <v/>
      </c>
      <c r="N204" s="146" t="str">
        <f>IF(VLOOKUP($A204,Sheet1!$A$3:$AW$699,9,FALSE)="●","x","")</f>
        <v/>
      </c>
      <c r="O204" s="146" t="str">
        <f>IF(VLOOKUP($A204,Sheet1!$A$3:$AW$699,10,FALSE)="■","x","")</f>
        <v/>
      </c>
      <c r="P204" s="9" t="str">
        <f>IF(VLOOKUP($A204,Sheet1!$A$3:$AW$699,2,FALSE)="","",VLOOKUP($A204,Sheet1!$A$3:$AW$699,2,FALSE))</f>
        <v>P6.081</v>
      </c>
    </row>
    <row r="205" spans="1:16" ht="20.399999999999999" x14ac:dyDescent="0.3">
      <c r="A205" s="9">
        <v>479</v>
      </c>
      <c r="B205" s="9" t="str">
        <f>IF(VLOOKUP($A205,Sheet1!$A$3:$AW$699,20,FALSE)="","",VLOOKUP($A205,Sheet1!$A$3:$AW$699,20,FALSE))</f>
        <v>PRCmd41Setting</v>
      </c>
      <c r="C205" s="9" t="str">
        <f>IF(VLOOKUP($A205,Sheet1!$A$3:$AW$699,25,FALSE)="","",VLOOKUP($A205,Sheet1!$A$3:$AW$699,25,FALSE))</f>
        <v>PR/IO</v>
      </c>
      <c r="D205" s="142" t="str">
        <f>IF(VLOOKUP($A205,Sheet1!$A$3:$AW$699,15,FALSE)="","",VLOOKUP($A205,Sheet1!$A$3:$AW$699,15,FALSE))</f>
        <v>0x00000000</v>
      </c>
      <c r="E205" s="142" t="str">
        <f>IF(VLOOKUP($A205,Sheet1!$A$3:$AW$699,16,FALSE)="","",VLOOKUP($A205,Sheet1!$A$3:$AW$699,16,FALSE))</f>
        <v>0xFFFFFFFF</v>
      </c>
      <c r="F205" s="142" t="str">
        <f>IF(VLOOKUP($A205,Sheet1!$A$3:$AW$699,17,FALSE)="","",VLOOKUP($A205,Sheet1!$A$3:$AW$699,17,FALSE))</f>
        <v>0x00000000</v>
      </c>
      <c r="G205" s="142" t="str">
        <f>IF(VLOOKUP($A205,Sheet1!$A$3:$AW$699,18,FALSE)="","",VLOOKUP($A205,Sheet1!$A$3:$AW$699,18,FALSE))</f>
        <v/>
      </c>
      <c r="H205" s="142" t="str">
        <f>IF(VLOOKUP($A205,Sheet1!$A$3:$AW$699,19,FALSE)="","",VLOOKUP($A205,Sheet1!$A$3:$AW$699,19,FALSE))</f>
        <v/>
      </c>
      <c r="I205" s="9" t="str">
        <f>IF(VLOOKUP($A205,Sheet1!$A$3:$AW$699,5,FALSE)="","",VLOOKUP($A205,Sheet1!$A$3:$AW$699,5,FALSE))</f>
        <v>UDINT</v>
      </c>
      <c r="J205" s="9" t="s">
        <v>738</v>
      </c>
      <c r="K205" s="9" t="s">
        <v>658</v>
      </c>
      <c r="L205" s="146" t="str">
        <f>IF(VLOOKUP($A205,Sheet1!$A$3:$AW$699,7,FALSE)="★","x","")</f>
        <v/>
      </c>
      <c r="M205" s="146" t="str">
        <f>IF(VLOOKUP($A205,Sheet1!$A$3:$AW$699,8,FALSE)="▲","x","")</f>
        <v/>
      </c>
      <c r="N205" s="146" t="str">
        <f>IF(VLOOKUP($A205,Sheet1!$A$3:$AW$699,9,FALSE)="●","x","")</f>
        <v/>
      </c>
      <c r="O205" s="146" t="str">
        <f>IF(VLOOKUP($A205,Sheet1!$A$3:$AW$699,10,FALSE)="■","x","")</f>
        <v/>
      </c>
      <c r="P205" s="9" t="str">
        <f>IF(VLOOKUP($A205,Sheet1!$A$3:$AW$699,2,FALSE)="","",VLOOKUP($A205,Sheet1!$A$3:$AW$699,2,FALSE))</f>
        <v>P6.082</v>
      </c>
    </row>
    <row r="206" spans="1:16" ht="20.399999999999999" x14ac:dyDescent="0.3">
      <c r="A206" s="9">
        <v>480</v>
      </c>
      <c r="B206" s="9" t="str">
        <f>IF(VLOOKUP($A206,Sheet1!$A$3:$AW$699,20,FALSE)="","",VLOOKUP($A206,Sheet1!$A$3:$AW$699,20,FALSE))</f>
        <v>PRCmd41Data</v>
      </c>
      <c r="C206" s="9" t="str">
        <f>IF(VLOOKUP($A206,Sheet1!$A$3:$AW$699,25,FALSE)="","",VLOOKUP($A206,Sheet1!$A$3:$AW$699,25,FALSE))</f>
        <v>PR/IO</v>
      </c>
      <c r="D206" s="142">
        <f>IF(VLOOKUP($A206,Sheet1!$A$3:$AW$699,15,FALSE)="","",VLOOKUP($A206,Sheet1!$A$3:$AW$699,15,FALSE))</f>
        <v>-2147483648</v>
      </c>
      <c r="E206" s="142">
        <f>IF(VLOOKUP($A206,Sheet1!$A$3:$AW$699,16,FALSE)="","",VLOOKUP($A206,Sheet1!$A$3:$AW$699,16,FALSE))</f>
        <v>2147483647</v>
      </c>
      <c r="F206" s="142">
        <f>IF(VLOOKUP($A206,Sheet1!$A$3:$AW$699,17,FALSE)="","",VLOOKUP($A206,Sheet1!$A$3:$AW$699,17,FALSE))</f>
        <v>0</v>
      </c>
      <c r="G206" s="142" t="str">
        <f>IF(VLOOKUP($A206,Sheet1!$A$3:$AW$699,18,FALSE)="","",VLOOKUP($A206,Sheet1!$A$3:$AW$699,18,FALSE))</f>
        <v/>
      </c>
      <c r="H206" s="142" t="str">
        <f>IF(VLOOKUP($A206,Sheet1!$A$3:$AW$699,19,FALSE)="","",VLOOKUP($A206,Sheet1!$A$3:$AW$699,19,FALSE))</f>
        <v/>
      </c>
      <c r="I206" s="9" t="str">
        <f>IF(VLOOKUP($A206,Sheet1!$A$3:$AW$699,5,FALSE)="","",VLOOKUP($A206,Sheet1!$A$3:$AW$699,5,FALSE))</f>
        <v>DINT</v>
      </c>
      <c r="J206" s="9" t="s">
        <v>739</v>
      </c>
      <c r="K206" s="9" t="s">
        <v>658</v>
      </c>
      <c r="L206" s="146" t="str">
        <f>IF(VLOOKUP($A206,Sheet1!$A$3:$AW$699,7,FALSE)="★","x","")</f>
        <v/>
      </c>
      <c r="M206" s="146" t="str">
        <f>IF(VLOOKUP($A206,Sheet1!$A$3:$AW$699,8,FALSE)="▲","x","")</f>
        <v/>
      </c>
      <c r="N206" s="146" t="str">
        <f>IF(VLOOKUP($A206,Sheet1!$A$3:$AW$699,9,FALSE)="●","x","")</f>
        <v/>
      </c>
      <c r="O206" s="146" t="str">
        <f>IF(VLOOKUP($A206,Sheet1!$A$3:$AW$699,10,FALSE)="■","x","")</f>
        <v/>
      </c>
      <c r="P206" s="9" t="str">
        <f>IF(VLOOKUP($A206,Sheet1!$A$3:$AW$699,2,FALSE)="","",VLOOKUP($A206,Sheet1!$A$3:$AW$699,2,FALSE))</f>
        <v>P6.083</v>
      </c>
    </row>
    <row r="207" spans="1:16" ht="20.399999999999999" x14ac:dyDescent="0.3">
      <c r="A207" s="9">
        <v>481</v>
      </c>
      <c r="B207" s="9" t="str">
        <f>IF(VLOOKUP($A207,Sheet1!$A$3:$AW$699,20,FALSE)="","",VLOOKUP($A207,Sheet1!$A$3:$AW$699,20,FALSE))</f>
        <v>PRCmd42Setting</v>
      </c>
      <c r="C207" s="9" t="str">
        <f>IF(VLOOKUP($A207,Sheet1!$A$3:$AW$699,25,FALSE)="","",VLOOKUP($A207,Sheet1!$A$3:$AW$699,25,FALSE))</f>
        <v>PR/IO</v>
      </c>
      <c r="D207" s="142" t="str">
        <f>IF(VLOOKUP($A207,Sheet1!$A$3:$AW$699,15,FALSE)="","",VLOOKUP($A207,Sheet1!$A$3:$AW$699,15,FALSE))</f>
        <v>0x00000000</v>
      </c>
      <c r="E207" s="142" t="str">
        <f>IF(VLOOKUP($A207,Sheet1!$A$3:$AW$699,16,FALSE)="","",VLOOKUP($A207,Sheet1!$A$3:$AW$699,16,FALSE))</f>
        <v>0xFFFFFFFF</v>
      </c>
      <c r="F207" s="142" t="str">
        <f>IF(VLOOKUP($A207,Sheet1!$A$3:$AW$699,17,FALSE)="","",VLOOKUP($A207,Sheet1!$A$3:$AW$699,17,FALSE))</f>
        <v>0x00000000</v>
      </c>
      <c r="G207" s="142" t="str">
        <f>IF(VLOOKUP($A207,Sheet1!$A$3:$AW$699,18,FALSE)="","",VLOOKUP($A207,Sheet1!$A$3:$AW$699,18,FALSE))</f>
        <v/>
      </c>
      <c r="H207" s="142" t="str">
        <f>IF(VLOOKUP($A207,Sheet1!$A$3:$AW$699,19,FALSE)="","",VLOOKUP($A207,Sheet1!$A$3:$AW$699,19,FALSE))</f>
        <v/>
      </c>
      <c r="I207" s="9" t="str">
        <f>IF(VLOOKUP($A207,Sheet1!$A$3:$AW$699,5,FALSE)="","",VLOOKUP($A207,Sheet1!$A$3:$AW$699,5,FALSE))</f>
        <v>UDINT</v>
      </c>
      <c r="J207" s="9" t="s">
        <v>740</v>
      </c>
      <c r="K207" s="9" t="s">
        <v>658</v>
      </c>
      <c r="L207" s="146" t="str">
        <f>IF(VLOOKUP($A207,Sheet1!$A$3:$AW$699,7,FALSE)="★","x","")</f>
        <v/>
      </c>
      <c r="M207" s="146" t="str">
        <f>IF(VLOOKUP($A207,Sheet1!$A$3:$AW$699,8,FALSE)="▲","x","")</f>
        <v/>
      </c>
      <c r="N207" s="146" t="str">
        <f>IF(VLOOKUP($A207,Sheet1!$A$3:$AW$699,9,FALSE)="●","x","")</f>
        <v/>
      </c>
      <c r="O207" s="146" t="str">
        <f>IF(VLOOKUP($A207,Sheet1!$A$3:$AW$699,10,FALSE)="■","x","")</f>
        <v/>
      </c>
      <c r="P207" s="9" t="str">
        <f>IF(VLOOKUP($A207,Sheet1!$A$3:$AW$699,2,FALSE)="","",VLOOKUP($A207,Sheet1!$A$3:$AW$699,2,FALSE))</f>
        <v>P6.084</v>
      </c>
    </row>
    <row r="208" spans="1:16" ht="20.399999999999999" x14ac:dyDescent="0.3">
      <c r="A208" s="9">
        <v>482</v>
      </c>
      <c r="B208" s="9" t="str">
        <f>IF(VLOOKUP($A208,Sheet1!$A$3:$AW$699,20,FALSE)="","",VLOOKUP($A208,Sheet1!$A$3:$AW$699,20,FALSE))</f>
        <v>PRCmd42Data</v>
      </c>
      <c r="C208" s="9" t="str">
        <f>IF(VLOOKUP($A208,Sheet1!$A$3:$AW$699,25,FALSE)="","",VLOOKUP($A208,Sheet1!$A$3:$AW$699,25,FALSE))</f>
        <v>PR/IO</v>
      </c>
      <c r="D208" s="142">
        <f>IF(VLOOKUP($A208,Sheet1!$A$3:$AW$699,15,FALSE)="","",VLOOKUP($A208,Sheet1!$A$3:$AW$699,15,FALSE))</f>
        <v>-2147483648</v>
      </c>
      <c r="E208" s="142">
        <f>IF(VLOOKUP($A208,Sheet1!$A$3:$AW$699,16,FALSE)="","",VLOOKUP($A208,Sheet1!$A$3:$AW$699,16,FALSE))</f>
        <v>2147483647</v>
      </c>
      <c r="F208" s="142">
        <f>IF(VLOOKUP($A208,Sheet1!$A$3:$AW$699,17,FALSE)="","",VLOOKUP($A208,Sheet1!$A$3:$AW$699,17,FALSE))</f>
        <v>0</v>
      </c>
      <c r="G208" s="142" t="str">
        <f>IF(VLOOKUP($A208,Sheet1!$A$3:$AW$699,18,FALSE)="","",VLOOKUP($A208,Sheet1!$A$3:$AW$699,18,FALSE))</f>
        <v/>
      </c>
      <c r="H208" s="142" t="str">
        <f>IF(VLOOKUP($A208,Sheet1!$A$3:$AW$699,19,FALSE)="","",VLOOKUP($A208,Sheet1!$A$3:$AW$699,19,FALSE))</f>
        <v/>
      </c>
      <c r="I208" s="9" t="str">
        <f>IF(VLOOKUP($A208,Sheet1!$A$3:$AW$699,5,FALSE)="","",VLOOKUP($A208,Sheet1!$A$3:$AW$699,5,FALSE))</f>
        <v>DINT</v>
      </c>
      <c r="J208" s="9" t="s">
        <v>741</v>
      </c>
      <c r="K208" s="9" t="s">
        <v>658</v>
      </c>
      <c r="L208" s="146" t="str">
        <f>IF(VLOOKUP($A208,Sheet1!$A$3:$AW$699,7,FALSE)="★","x","")</f>
        <v/>
      </c>
      <c r="M208" s="146" t="str">
        <f>IF(VLOOKUP($A208,Sheet1!$A$3:$AW$699,8,FALSE)="▲","x","")</f>
        <v/>
      </c>
      <c r="N208" s="146" t="str">
        <f>IF(VLOOKUP($A208,Sheet1!$A$3:$AW$699,9,FALSE)="●","x","")</f>
        <v/>
      </c>
      <c r="O208" s="146" t="str">
        <f>IF(VLOOKUP($A208,Sheet1!$A$3:$AW$699,10,FALSE)="■","x","")</f>
        <v/>
      </c>
      <c r="P208" s="9" t="str">
        <f>IF(VLOOKUP($A208,Sheet1!$A$3:$AW$699,2,FALSE)="","",VLOOKUP($A208,Sheet1!$A$3:$AW$699,2,FALSE))</f>
        <v>P6.085</v>
      </c>
    </row>
    <row r="209" spans="1:16" ht="20.399999999999999" x14ac:dyDescent="0.3">
      <c r="A209" s="9">
        <v>483</v>
      </c>
      <c r="B209" s="9" t="str">
        <f>IF(VLOOKUP($A209,Sheet1!$A$3:$AW$699,20,FALSE)="","",VLOOKUP($A209,Sheet1!$A$3:$AW$699,20,FALSE))</f>
        <v>PRCmd43Setting</v>
      </c>
      <c r="C209" s="9" t="str">
        <f>IF(VLOOKUP($A209,Sheet1!$A$3:$AW$699,25,FALSE)="","",VLOOKUP($A209,Sheet1!$A$3:$AW$699,25,FALSE))</f>
        <v>PR/IO</v>
      </c>
      <c r="D209" s="142" t="str">
        <f>IF(VLOOKUP($A209,Sheet1!$A$3:$AW$699,15,FALSE)="","",VLOOKUP($A209,Sheet1!$A$3:$AW$699,15,FALSE))</f>
        <v>0x00000000</v>
      </c>
      <c r="E209" s="142" t="str">
        <f>IF(VLOOKUP($A209,Sheet1!$A$3:$AW$699,16,FALSE)="","",VLOOKUP($A209,Sheet1!$A$3:$AW$699,16,FALSE))</f>
        <v>0xFFFFFFFF</v>
      </c>
      <c r="F209" s="142" t="str">
        <f>IF(VLOOKUP($A209,Sheet1!$A$3:$AW$699,17,FALSE)="","",VLOOKUP($A209,Sheet1!$A$3:$AW$699,17,FALSE))</f>
        <v>0x00000000</v>
      </c>
      <c r="G209" s="142" t="str">
        <f>IF(VLOOKUP($A209,Sheet1!$A$3:$AW$699,18,FALSE)="","",VLOOKUP($A209,Sheet1!$A$3:$AW$699,18,FALSE))</f>
        <v/>
      </c>
      <c r="H209" s="142" t="str">
        <f>IF(VLOOKUP($A209,Sheet1!$A$3:$AW$699,19,FALSE)="","",VLOOKUP($A209,Sheet1!$A$3:$AW$699,19,FALSE))</f>
        <v/>
      </c>
      <c r="I209" s="9" t="str">
        <f>IF(VLOOKUP($A209,Sheet1!$A$3:$AW$699,5,FALSE)="","",VLOOKUP($A209,Sheet1!$A$3:$AW$699,5,FALSE))</f>
        <v>UDINT</v>
      </c>
      <c r="J209" s="9" t="s">
        <v>742</v>
      </c>
      <c r="K209" s="9" t="s">
        <v>658</v>
      </c>
      <c r="L209" s="146" t="str">
        <f>IF(VLOOKUP($A209,Sheet1!$A$3:$AW$699,7,FALSE)="★","x","")</f>
        <v/>
      </c>
      <c r="M209" s="146" t="str">
        <f>IF(VLOOKUP($A209,Sheet1!$A$3:$AW$699,8,FALSE)="▲","x","")</f>
        <v/>
      </c>
      <c r="N209" s="146" t="str">
        <f>IF(VLOOKUP($A209,Sheet1!$A$3:$AW$699,9,FALSE)="●","x","")</f>
        <v/>
      </c>
      <c r="O209" s="146" t="str">
        <f>IF(VLOOKUP($A209,Sheet1!$A$3:$AW$699,10,FALSE)="■","x","")</f>
        <v/>
      </c>
      <c r="P209" s="9" t="str">
        <f>IF(VLOOKUP($A209,Sheet1!$A$3:$AW$699,2,FALSE)="","",VLOOKUP($A209,Sheet1!$A$3:$AW$699,2,FALSE))</f>
        <v>P6.086</v>
      </c>
    </row>
    <row r="210" spans="1:16" ht="20.399999999999999" x14ac:dyDescent="0.3">
      <c r="A210" s="9">
        <v>484</v>
      </c>
      <c r="B210" s="9" t="str">
        <f>IF(VLOOKUP($A210,Sheet1!$A$3:$AW$699,20,FALSE)="","",VLOOKUP($A210,Sheet1!$A$3:$AW$699,20,FALSE))</f>
        <v>PRCmd43Data</v>
      </c>
      <c r="C210" s="9" t="str">
        <f>IF(VLOOKUP($A210,Sheet1!$A$3:$AW$699,25,FALSE)="","",VLOOKUP($A210,Sheet1!$A$3:$AW$699,25,FALSE))</f>
        <v>PR/IO</v>
      </c>
      <c r="D210" s="142">
        <f>IF(VLOOKUP($A210,Sheet1!$A$3:$AW$699,15,FALSE)="","",VLOOKUP($A210,Sheet1!$A$3:$AW$699,15,FALSE))</f>
        <v>-2147483648</v>
      </c>
      <c r="E210" s="142">
        <f>IF(VLOOKUP($A210,Sheet1!$A$3:$AW$699,16,FALSE)="","",VLOOKUP($A210,Sheet1!$A$3:$AW$699,16,FALSE))</f>
        <v>2147483647</v>
      </c>
      <c r="F210" s="142">
        <f>IF(VLOOKUP($A210,Sheet1!$A$3:$AW$699,17,FALSE)="","",VLOOKUP($A210,Sheet1!$A$3:$AW$699,17,FALSE))</f>
        <v>0</v>
      </c>
      <c r="G210" s="142" t="str">
        <f>IF(VLOOKUP($A210,Sheet1!$A$3:$AW$699,18,FALSE)="","",VLOOKUP($A210,Sheet1!$A$3:$AW$699,18,FALSE))</f>
        <v/>
      </c>
      <c r="H210" s="142" t="str">
        <f>IF(VLOOKUP($A210,Sheet1!$A$3:$AW$699,19,FALSE)="","",VLOOKUP($A210,Sheet1!$A$3:$AW$699,19,FALSE))</f>
        <v/>
      </c>
      <c r="I210" s="9" t="str">
        <f>IF(VLOOKUP($A210,Sheet1!$A$3:$AW$699,5,FALSE)="","",VLOOKUP($A210,Sheet1!$A$3:$AW$699,5,FALSE))</f>
        <v>DINT</v>
      </c>
      <c r="J210" s="9" t="s">
        <v>743</v>
      </c>
      <c r="K210" s="9" t="s">
        <v>658</v>
      </c>
      <c r="L210" s="146" t="str">
        <f>IF(VLOOKUP($A210,Sheet1!$A$3:$AW$699,7,FALSE)="★","x","")</f>
        <v/>
      </c>
      <c r="M210" s="146" t="str">
        <f>IF(VLOOKUP($A210,Sheet1!$A$3:$AW$699,8,FALSE)="▲","x","")</f>
        <v/>
      </c>
      <c r="N210" s="146" t="str">
        <f>IF(VLOOKUP($A210,Sheet1!$A$3:$AW$699,9,FALSE)="●","x","")</f>
        <v/>
      </c>
      <c r="O210" s="146" t="str">
        <f>IF(VLOOKUP($A210,Sheet1!$A$3:$AW$699,10,FALSE)="■","x","")</f>
        <v/>
      </c>
      <c r="P210" s="9" t="str">
        <f>IF(VLOOKUP($A210,Sheet1!$A$3:$AW$699,2,FALSE)="","",VLOOKUP($A210,Sheet1!$A$3:$AW$699,2,FALSE))</f>
        <v>P6.087</v>
      </c>
    </row>
    <row r="211" spans="1:16" ht="20.399999999999999" x14ac:dyDescent="0.3">
      <c r="A211" s="9">
        <v>485</v>
      </c>
      <c r="B211" s="9" t="str">
        <f>IF(VLOOKUP($A211,Sheet1!$A$3:$AW$699,20,FALSE)="","",VLOOKUP($A211,Sheet1!$A$3:$AW$699,20,FALSE))</f>
        <v>PRCmd44Setting</v>
      </c>
      <c r="C211" s="9" t="str">
        <f>IF(VLOOKUP($A211,Sheet1!$A$3:$AW$699,25,FALSE)="","",VLOOKUP($A211,Sheet1!$A$3:$AW$699,25,FALSE))</f>
        <v>PR/IO</v>
      </c>
      <c r="D211" s="142" t="str">
        <f>IF(VLOOKUP($A211,Sheet1!$A$3:$AW$699,15,FALSE)="","",VLOOKUP($A211,Sheet1!$A$3:$AW$699,15,FALSE))</f>
        <v>0x00000000</v>
      </c>
      <c r="E211" s="142" t="str">
        <f>IF(VLOOKUP($A211,Sheet1!$A$3:$AW$699,16,FALSE)="","",VLOOKUP($A211,Sheet1!$A$3:$AW$699,16,FALSE))</f>
        <v>0xFFFFFFFF</v>
      </c>
      <c r="F211" s="142" t="str">
        <f>IF(VLOOKUP($A211,Sheet1!$A$3:$AW$699,17,FALSE)="","",VLOOKUP($A211,Sheet1!$A$3:$AW$699,17,FALSE))</f>
        <v>0x00000000</v>
      </c>
      <c r="G211" s="142" t="str">
        <f>IF(VLOOKUP($A211,Sheet1!$A$3:$AW$699,18,FALSE)="","",VLOOKUP($A211,Sheet1!$A$3:$AW$699,18,FALSE))</f>
        <v/>
      </c>
      <c r="H211" s="142" t="str">
        <f>IF(VLOOKUP($A211,Sheet1!$A$3:$AW$699,19,FALSE)="","",VLOOKUP($A211,Sheet1!$A$3:$AW$699,19,FALSE))</f>
        <v/>
      </c>
      <c r="I211" s="9" t="str">
        <f>IF(VLOOKUP($A211,Sheet1!$A$3:$AW$699,5,FALSE)="","",VLOOKUP($A211,Sheet1!$A$3:$AW$699,5,FALSE))</f>
        <v>UDINT</v>
      </c>
      <c r="J211" s="9" t="s">
        <v>744</v>
      </c>
      <c r="K211" s="9" t="s">
        <v>658</v>
      </c>
      <c r="L211" s="146" t="str">
        <f>IF(VLOOKUP($A211,Sheet1!$A$3:$AW$699,7,FALSE)="★","x","")</f>
        <v/>
      </c>
      <c r="M211" s="146" t="str">
        <f>IF(VLOOKUP($A211,Sheet1!$A$3:$AW$699,8,FALSE)="▲","x","")</f>
        <v/>
      </c>
      <c r="N211" s="146" t="str">
        <f>IF(VLOOKUP($A211,Sheet1!$A$3:$AW$699,9,FALSE)="●","x","")</f>
        <v/>
      </c>
      <c r="O211" s="146" t="str">
        <f>IF(VLOOKUP($A211,Sheet1!$A$3:$AW$699,10,FALSE)="■","x","")</f>
        <v/>
      </c>
      <c r="P211" s="9" t="str">
        <f>IF(VLOOKUP($A211,Sheet1!$A$3:$AW$699,2,FALSE)="","",VLOOKUP($A211,Sheet1!$A$3:$AW$699,2,FALSE))</f>
        <v>P6.088</v>
      </c>
    </row>
    <row r="212" spans="1:16" ht="20.399999999999999" x14ac:dyDescent="0.3">
      <c r="A212" s="9">
        <v>486</v>
      </c>
      <c r="B212" s="9" t="str">
        <f>IF(VLOOKUP($A212,Sheet1!$A$3:$AW$699,20,FALSE)="","",VLOOKUP($A212,Sheet1!$A$3:$AW$699,20,FALSE))</f>
        <v>PRCmd44Data</v>
      </c>
      <c r="C212" s="9" t="str">
        <f>IF(VLOOKUP($A212,Sheet1!$A$3:$AW$699,25,FALSE)="","",VLOOKUP($A212,Sheet1!$A$3:$AW$699,25,FALSE))</f>
        <v>PR/IO</v>
      </c>
      <c r="D212" s="142">
        <f>IF(VLOOKUP($A212,Sheet1!$A$3:$AW$699,15,FALSE)="","",VLOOKUP($A212,Sheet1!$A$3:$AW$699,15,FALSE))</f>
        <v>-2147483648</v>
      </c>
      <c r="E212" s="142">
        <f>IF(VLOOKUP($A212,Sheet1!$A$3:$AW$699,16,FALSE)="","",VLOOKUP($A212,Sheet1!$A$3:$AW$699,16,FALSE))</f>
        <v>2147483647</v>
      </c>
      <c r="F212" s="142">
        <f>IF(VLOOKUP($A212,Sheet1!$A$3:$AW$699,17,FALSE)="","",VLOOKUP($A212,Sheet1!$A$3:$AW$699,17,FALSE))</f>
        <v>0</v>
      </c>
      <c r="G212" s="142" t="str">
        <f>IF(VLOOKUP($A212,Sheet1!$A$3:$AW$699,18,FALSE)="","",VLOOKUP($A212,Sheet1!$A$3:$AW$699,18,FALSE))</f>
        <v/>
      </c>
      <c r="H212" s="142" t="str">
        <f>IF(VLOOKUP($A212,Sheet1!$A$3:$AW$699,19,FALSE)="","",VLOOKUP($A212,Sheet1!$A$3:$AW$699,19,FALSE))</f>
        <v/>
      </c>
      <c r="I212" s="9" t="str">
        <f>IF(VLOOKUP($A212,Sheet1!$A$3:$AW$699,5,FALSE)="","",VLOOKUP($A212,Sheet1!$A$3:$AW$699,5,FALSE))</f>
        <v>DINT</v>
      </c>
      <c r="J212" s="9" t="s">
        <v>745</v>
      </c>
      <c r="K212" s="9" t="s">
        <v>658</v>
      </c>
      <c r="L212" s="146" t="str">
        <f>IF(VLOOKUP($A212,Sheet1!$A$3:$AW$699,7,FALSE)="★","x","")</f>
        <v/>
      </c>
      <c r="M212" s="146" t="str">
        <f>IF(VLOOKUP($A212,Sheet1!$A$3:$AW$699,8,FALSE)="▲","x","")</f>
        <v/>
      </c>
      <c r="N212" s="146" t="str">
        <f>IF(VLOOKUP($A212,Sheet1!$A$3:$AW$699,9,FALSE)="●","x","")</f>
        <v/>
      </c>
      <c r="O212" s="146" t="str">
        <f>IF(VLOOKUP($A212,Sheet1!$A$3:$AW$699,10,FALSE)="■","x","")</f>
        <v/>
      </c>
      <c r="P212" s="9" t="str">
        <f>IF(VLOOKUP($A212,Sheet1!$A$3:$AW$699,2,FALSE)="","",VLOOKUP($A212,Sheet1!$A$3:$AW$699,2,FALSE))</f>
        <v>P6.089</v>
      </c>
    </row>
    <row r="213" spans="1:16" ht="20.399999999999999" x14ac:dyDescent="0.3">
      <c r="A213" s="9">
        <v>487</v>
      </c>
      <c r="B213" s="9" t="str">
        <f>IF(VLOOKUP($A213,Sheet1!$A$3:$AW$699,20,FALSE)="","",VLOOKUP($A213,Sheet1!$A$3:$AW$699,20,FALSE))</f>
        <v>PRCmd45Setting</v>
      </c>
      <c r="C213" s="9" t="str">
        <f>IF(VLOOKUP($A213,Sheet1!$A$3:$AW$699,25,FALSE)="","",VLOOKUP($A213,Sheet1!$A$3:$AW$699,25,FALSE))</f>
        <v>PR/IO</v>
      </c>
      <c r="D213" s="142" t="str">
        <f>IF(VLOOKUP($A213,Sheet1!$A$3:$AW$699,15,FALSE)="","",VLOOKUP($A213,Sheet1!$A$3:$AW$699,15,FALSE))</f>
        <v>0x00000000</v>
      </c>
      <c r="E213" s="142" t="str">
        <f>IF(VLOOKUP($A213,Sheet1!$A$3:$AW$699,16,FALSE)="","",VLOOKUP($A213,Sheet1!$A$3:$AW$699,16,FALSE))</f>
        <v>0xFFFFFFFF</v>
      </c>
      <c r="F213" s="142" t="str">
        <f>IF(VLOOKUP($A213,Sheet1!$A$3:$AW$699,17,FALSE)="","",VLOOKUP($A213,Sheet1!$A$3:$AW$699,17,FALSE))</f>
        <v>0x00000000</v>
      </c>
      <c r="G213" s="142" t="str">
        <f>IF(VLOOKUP($A213,Sheet1!$A$3:$AW$699,18,FALSE)="","",VLOOKUP($A213,Sheet1!$A$3:$AW$699,18,FALSE))</f>
        <v/>
      </c>
      <c r="H213" s="142" t="str">
        <f>IF(VLOOKUP($A213,Sheet1!$A$3:$AW$699,19,FALSE)="","",VLOOKUP($A213,Sheet1!$A$3:$AW$699,19,FALSE))</f>
        <v/>
      </c>
      <c r="I213" s="9" t="str">
        <f>IF(VLOOKUP($A213,Sheet1!$A$3:$AW$699,5,FALSE)="","",VLOOKUP($A213,Sheet1!$A$3:$AW$699,5,FALSE))</f>
        <v>UDINT</v>
      </c>
      <c r="J213" s="9" t="s">
        <v>746</v>
      </c>
      <c r="K213" s="9" t="s">
        <v>658</v>
      </c>
      <c r="L213" s="146" t="str">
        <f>IF(VLOOKUP($A213,Sheet1!$A$3:$AW$699,7,FALSE)="★","x","")</f>
        <v/>
      </c>
      <c r="M213" s="146" t="str">
        <f>IF(VLOOKUP($A213,Sheet1!$A$3:$AW$699,8,FALSE)="▲","x","")</f>
        <v/>
      </c>
      <c r="N213" s="146" t="str">
        <f>IF(VLOOKUP($A213,Sheet1!$A$3:$AW$699,9,FALSE)="●","x","")</f>
        <v/>
      </c>
      <c r="O213" s="146" t="str">
        <f>IF(VLOOKUP($A213,Sheet1!$A$3:$AW$699,10,FALSE)="■","x","")</f>
        <v/>
      </c>
      <c r="P213" s="9" t="str">
        <f>IF(VLOOKUP($A213,Sheet1!$A$3:$AW$699,2,FALSE)="","",VLOOKUP($A213,Sheet1!$A$3:$AW$699,2,FALSE))</f>
        <v>P6.090</v>
      </c>
    </row>
    <row r="214" spans="1:16" ht="20.399999999999999" x14ac:dyDescent="0.3">
      <c r="A214" s="9">
        <v>488</v>
      </c>
      <c r="B214" s="9" t="str">
        <f>IF(VLOOKUP($A214,Sheet1!$A$3:$AW$699,20,FALSE)="","",VLOOKUP($A214,Sheet1!$A$3:$AW$699,20,FALSE))</f>
        <v>PRCmd45Data</v>
      </c>
      <c r="C214" s="9" t="str">
        <f>IF(VLOOKUP($A214,Sheet1!$A$3:$AW$699,25,FALSE)="","",VLOOKUP($A214,Sheet1!$A$3:$AW$699,25,FALSE))</f>
        <v>PR/IO</v>
      </c>
      <c r="D214" s="142">
        <f>IF(VLOOKUP($A214,Sheet1!$A$3:$AW$699,15,FALSE)="","",VLOOKUP($A214,Sheet1!$A$3:$AW$699,15,FALSE))</f>
        <v>-2147483648</v>
      </c>
      <c r="E214" s="142">
        <f>IF(VLOOKUP($A214,Sheet1!$A$3:$AW$699,16,FALSE)="","",VLOOKUP($A214,Sheet1!$A$3:$AW$699,16,FALSE))</f>
        <v>2147483647</v>
      </c>
      <c r="F214" s="142">
        <f>IF(VLOOKUP($A214,Sheet1!$A$3:$AW$699,17,FALSE)="","",VLOOKUP($A214,Sheet1!$A$3:$AW$699,17,FALSE))</f>
        <v>0</v>
      </c>
      <c r="G214" s="142" t="str">
        <f>IF(VLOOKUP($A214,Sheet1!$A$3:$AW$699,18,FALSE)="","",VLOOKUP($A214,Sheet1!$A$3:$AW$699,18,FALSE))</f>
        <v/>
      </c>
      <c r="H214" s="142" t="str">
        <f>IF(VLOOKUP($A214,Sheet1!$A$3:$AW$699,19,FALSE)="","",VLOOKUP($A214,Sheet1!$A$3:$AW$699,19,FALSE))</f>
        <v/>
      </c>
      <c r="I214" s="9" t="str">
        <f>IF(VLOOKUP($A214,Sheet1!$A$3:$AW$699,5,FALSE)="","",VLOOKUP($A214,Sheet1!$A$3:$AW$699,5,FALSE))</f>
        <v>DINT</v>
      </c>
      <c r="J214" s="9" t="s">
        <v>747</v>
      </c>
      <c r="K214" s="9" t="s">
        <v>658</v>
      </c>
      <c r="L214" s="146" t="str">
        <f>IF(VLOOKUP($A214,Sheet1!$A$3:$AW$699,7,FALSE)="★","x","")</f>
        <v/>
      </c>
      <c r="M214" s="146" t="str">
        <f>IF(VLOOKUP($A214,Sheet1!$A$3:$AW$699,8,FALSE)="▲","x","")</f>
        <v/>
      </c>
      <c r="N214" s="146" t="str">
        <f>IF(VLOOKUP($A214,Sheet1!$A$3:$AW$699,9,FALSE)="●","x","")</f>
        <v/>
      </c>
      <c r="O214" s="146" t="str">
        <f>IF(VLOOKUP($A214,Sheet1!$A$3:$AW$699,10,FALSE)="■","x","")</f>
        <v/>
      </c>
      <c r="P214" s="9" t="str">
        <f>IF(VLOOKUP($A214,Sheet1!$A$3:$AW$699,2,FALSE)="","",VLOOKUP($A214,Sheet1!$A$3:$AW$699,2,FALSE))</f>
        <v>P6.091</v>
      </c>
    </row>
    <row r="215" spans="1:16" ht="20.399999999999999" x14ac:dyDescent="0.3">
      <c r="A215" s="9">
        <v>489</v>
      </c>
      <c r="B215" s="9" t="str">
        <f>IF(VLOOKUP($A215,Sheet1!$A$3:$AW$699,20,FALSE)="","",VLOOKUP($A215,Sheet1!$A$3:$AW$699,20,FALSE))</f>
        <v>PRCmd46Setting</v>
      </c>
      <c r="C215" s="9" t="str">
        <f>IF(VLOOKUP($A215,Sheet1!$A$3:$AW$699,25,FALSE)="","",VLOOKUP($A215,Sheet1!$A$3:$AW$699,25,FALSE))</f>
        <v>PR/IO</v>
      </c>
      <c r="D215" s="142" t="str">
        <f>IF(VLOOKUP($A215,Sheet1!$A$3:$AW$699,15,FALSE)="","",VLOOKUP($A215,Sheet1!$A$3:$AW$699,15,FALSE))</f>
        <v>0x00000000</v>
      </c>
      <c r="E215" s="142" t="str">
        <f>IF(VLOOKUP($A215,Sheet1!$A$3:$AW$699,16,FALSE)="","",VLOOKUP($A215,Sheet1!$A$3:$AW$699,16,FALSE))</f>
        <v>0xFFFFFFFF</v>
      </c>
      <c r="F215" s="142" t="str">
        <f>IF(VLOOKUP($A215,Sheet1!$A$3:$AW$699,17,FALSE)="","",VLOOKUP($A215,Sheet1!$A$3:$AW$699,17,FALSE))</f>
        <v>0x00000000</v>
      </c>
      <c r="G215" s="142" t="str">
        <f>IF(VLOOKUP($A215,Sheet1!$A$3:$AW$699,18,FALSE)="","",VLOOKUP($A215,Sheet1!$A$3:$AW$699,18,FALSE))</f>
        <v/>
      </c>
      <c r="H215" s="142" t="str">
        <f>IF(VLOOKUP($A215,Sheet1!$A$3:$AW$699,19,FALSE)="","",VLOOKUP($A215,Sheet1!$A$3:$AW$699,19,FALSE))</f>
        <v/>
      </c>
      <c r="I215" s="9" t="str">
        <f>IF(VLOOKUP($A215,Sheet1!$A$3:$AW$699,5,FALSE)="","",VLOOKUP($A215,Sheet1!$A$3:$AW$699,5,FALSE))</f>
        <v>UDINT</v>
      </c>
      <c r="J215" s="9" t="s">
        <v>748</v>
      </c>
      <c r="K215" s="9" t="s">
        <v>658</v>
      </c>
      <c r="L215" s="146" t="str">
        <f>IF(VLOOKUP($A215,Sheet1!$A$3:$AW$699,7,FALSE)="★","x","")</f>
        <v/>
      </c>
      <c r="M215" s="146" t="str">
        <f>IF(VLOOKUP($A215,Sheet1!$A$3:$AW$699,8,FALSE)="▲","x","")</f>
        <v/>
      </c>
      <c r="N215" s="146" t="str">
        <f>IF(VLOOKUP($A215,Sheet1!$A$3:$AW$699,9,FALSE)="●","x","")</f>
        <v/>
      </c>
      <c r="O215" s="146" t="str">
        <f>IF(VLOOKUP($A215,Sheet1!$A$3:$AW$699,10,FALSE)="■","x","")</f>
        <v/>
      </c>
      <c r="P215" s="9" t="str">
        <f>IF(VLOOKUP($A215,Sheet1!$A$3:$AW$699,2,FALSE)="","",VLOOKUP($A215,Sheet1!$A$3:$AW$699,2,FALSE))</f>
        <v>P6.092</v>
      </c>
    </row>
    <row r="216" spans="1:16" ht="20.399999999999999" x14ac:dyDescent="0.3">
      <c r="A216" s="9">
        <v>490</v>
      </c>
      <c r="B216" s="9" t="str">
        <f>IF(VLOOKUP($A216,Sheet1!$A$3:$AW$699,20,FALSE)="","",VLOOKUP($A216,Sheet1!$A$3:$AW$699,20,FALSE))</f>
        <v>PRCmd46Data</v>
      </c>
      <c r="C216" s="9" t="str">
        <f>IF(VLOOKUP($A216,Sheet1!$A$3:$AW$699,25,FALSE)="","",VLOOKUP($A216,Sheet1!$A$3:$AW$699,25,FALSE))</f>
        <v>PR/IO</v>
      </c>
      <c r="D216" s="142">
        <f>IF(VLOOKUP($A216,Sheet1!$A$3:$AW$699,15,FALSE)="","",VLOOKUP($A216,Sheet1!$A$3:$AW$699,15,FALSE))</f>
        <v>-2147483648</v>
      </c>
      <c r="E216" s="142">
        <f>IF(VLOOKUP($A216,Sheet1!$A$3:$AW$699,16,FALSE)="","",VLOOKUP($A216,Sheet1!$A$3:$AW$699,16,FALSE))</f>
        <v>2147483647</v>
      </c>
      <c r="F216" s="142">
        <f>IF(VLOOKUP($A216,Sheet1!$A$3:$AW$699,17,FALSE)="","",VLOOKUP($A216,Sheet1!$A$3:$AW$699,17,FALSE))</f>
        <v>0</v>
      </c>
      <c r="G216" s="142" t="str">
        <f>IF(VLOOKUP($A216,Sheet1!$A$3:$AW$699,18,FALSE)="","",VLOOKUP($A216,Sheet1!$A$3:$AW$699,18,FALSE))</f>
        <v/>
      </c>
      <c r="H216" s="142" t="str">
        <f>IF(VLOOKUP($A216,Sheet1!$A$3:$AW$699,19,FALSE)="","",VLOOKUP($A216,Sheet1!$A$3:$AW$699,19,FALSE))</f>
        <v/>
      </c>
      <c r="I216" s="9" t="str">
        <f>IF(VLOOKUP($A216,Sheet1!$A$3:$AW$699,5,FALSE)="","",VLOOKUP($A216,Sheet1!$A$3:$AW$699,5,FALSE))</f>
        <v>DINT</v>
      </c>
      <c r="J216" s="9" t="s">
        <v>749</v>
      </c>
      <c r="K216" s="9" t="s">
        <v>658</v>
      </c>
      <c r="L216" s="146" t="str">
        <f>IF(VLOOKUP($A216,Sheet1!$A$3:$AW$699,7,FALSE)="★","x","")</f>
        <v/>
      </c>
      <c r="M216" s="146" t="str">
        <f>IF(VLOOKUP($A216,Sheet1!$A$3:$AW$699,8,FALSE)="▲","x","")</f>
        <v/>
      </c>
      <c r="N216" s="146" t="str">
        <f>IF(VLOOKUP($A216,Sheet1!$A$3:$AW$699,9,FALSE)="●","x","")</f>
        <v/>
      </c>
      <c r="O216" s="146" t="str">
        <f>IF(VLOOKUP($A216,Sheet1!$A$3:$AW$699,10,FALSE)="■","x","")</f>
        <v/>
      </c>
      <c r="P216" s="9" t="str">
        <f>IF(VLOOKUP($A216,Sheet1!$A$3:$AW$699,2,FALSE)="","",VLOOKUP($A216,Sheet1!$A$3:$AW$699,2,FALSE))</f>
        <v>P6.093</v>
      </c>
    </row>
    <row r="217" spans="1:16" ht="20.399999999999999" x14ac:dyDescent="0.3">
      <c r="A217" s="9">
        <v>491</v>
      </c>
      <c r="B217" s="9" t="str">
        <f>IF(VLOOKUP($A217,Sheet1!$A$3:$AW$699,20,FALSE)="","",VLOOKUP($A217,Sheet1!$A$3:$AW$699,20,FALSE))</f>
        <v>PRCmd47Setting</v>
      </c>
      <c r="C217" s="9" t="str">
        <f>IF(VLOOKUP($A217,Sheet1!$A$3:$AW$699,25,FALSE)="","",VLOOKUP($A217,Sheet1!$A$3:$AW$699,25,FALSE))</f>
        <v>PR/IO</v>
      </c>
      <c r="D217" s="142" t="str">
        <f>IF(VLOOKUP($A217,Sheet1!$A$3:$AW$699,15,FALSE)="","",VLOOKUP($A217,Sheet1!$A$3:$AW$699,15,FALSE))</f>
        <v>0x00000000</v>
      </c>
      <c r="E217" s="142" t="str">
        <f>IF(VLOOKUP($A217,Sheet1!$A$3:$AW$699,16,FALSE)="","",VLOOKUP($A217,Sheet1!$A$3:$AW$699,16,FALSE))</f>
        <v>0xFFFFFFFF</v>
      </c>
      <c r="F217" s="142" t="str">
        <f>IF(VLOOKUP($A217,Sheet1!$A$3:$AW$699,17,FALSE)="","",VLOOKUP($A217,Sheet1!$A$3:$AW$699,17,FALSE))</f>
        <v>0x00000000</v>
      </c>
      <c r="G217" s="142" t="str">
        <f>IF(VLOOKUP($A217,Sheet1!$A$3:$AW$699,18,FALSE)="","",VLOOKUP($A217,Sheet1!$A$3:$AW$699,18,FALSE))</f>
        <v/>
      </c>
      <c r="H217" s="142" t="str">
        <f>IF(VLOOKUP($A217,Sheet1!$A$3:$AW$699,19,FALSE)="","",VLOOKUP($A217,Sheet1!$A$3:$AW$699,19,FALSE))</f>
        <v/>
      </c>
      <c r="I217" s="9" t="str">
        <f>IF(VLOOKUP($A217,Sheet1!$A$3:$AW$699,5,FALSE)="","",VLOOKUP($A217,Sheet1!$A$3:$AW$699,5,FALSE))</f>
        <v>UDINT</v>
      </c>
      <c r="J217" s="9" t="s">
        <v>750</v>
      </c>
      <c r="K217" s="9" t="s">
        <v>658</v>
      </c>
      <c r="L217" s="146" t="str">
        <f>IF(VLOOKUP($A217,Sheet1!$A$3:$AW$699,7,FALSE)="★","x","")</f>
        <v/>
      </c>
      <c r="M217" s="146" t="str">
        <f>IF(VLOOKUP($A217,Sheet1!$A$3:$AW$699,8,FALSE)="▲","x","")</f>
        <v/>
      </c>
      <c r="N217" s="146" t="str">
        <f>IF(VLOOKUP($A217,Sheet1!$A$3:$AW$699,9,FALSE)="●","x","")</f>
        <v/>
      </c>
      <c r="O217" s="146" t="str">
        <f>IF(VLOOKUP($A217,Sheet1!$A$3:$AW$699,10,FALSE)="■","x","")</f>
        <v/>
      </c>
      <c r="P217" s="9" t="str">
        <f>IF(VLOOKUP($A217,Sheet1!$A$3:$AW$699,2,FALSE)="","",VLOOKUP($A217,Sheet1!$A$3:$AW$699,2,FALSE))</f>
        <v>P6.094</v>
      </c>
    </row>
    <row r="218" spans="1:16" ht="20.399999999999999" x14ac:dyDescent="0.3">
      <c r="A218" s="9">
        <v>492</v>
      </c>
      <c r="B218" s="9" t="str">
        <f>IF(VLOOKUP($A218,Sheet1!$A$3:$AW$699,20,FALSE)="","",VLOOKUP($A218,Sheet1!$A$3:$AW$699,20,FALSE))</f>
        <v>PRCmd47Data</v>
      </c>
      <c r="C218" s="9" t="str">
        <f>IF(VLOOKUP($A218,Sheet1!$A$3:$AW$699,25,FALSE)="","",VLOOKUP($A218,Sheet1!$A$3:$AW$699,25,FALSE))</f>
        <v>PR/IO</v>
      </c>
      <c r="D218" s="142">
        <f>IF(VLOOKUP($A218,Sheet1!$A$3:$AW$699,15,FALSE)="","",VLOOKUP($A218,Sheet1!$A$3:$AW$699,15,FALSE))</f>
        <v>-2147483648</v>
      </c>
      <c r="E218" s="142">
        <f>IF(VLOOKUP($A218,Sheet1!$A$3:$AW$699,16,FALSE)="","",VLOOKUP($A218,Sheet1!$A$3:$AW$699,16,FALSE))</f>
        <v>2147483647</v>
      </c>
      <c r="F218" s="142">
        <f>IF(VLOOKUP($A218,Sheet1!$A$3:$AW$699,17,FALSE)="","",VLOOKUP($A218,Sheet1!$A$3:$AW$699,17,FALSE))</f>
        <v>0</v>
      </c>
      <c r="G218" s="142" t="str">
        <f>IF(VLOOKUP($A218,Sheet1!$A$3:$AW$699,18,FALSE)="","",VLOOKUP($A218,Sheet1!$A$3:$AW$699,18,FALSE))</f>
        <v/>
      </c>
      <c r="H218" s="142" t="str">
        <f>IF(VLOOKUP($A218,Sheet1!$A$3:$AW$699,19,FALSE)="","",VLOOKUP($A218,Sheet1!$A$3:$AW$699,19,FALSE))</f>
        <v/>
      </c>
      <c r="I218" s="9" t="str">
        <f>IF(VLOOKUP($A218,Sheet1!$A$3:$AW$699,5,FALSE)="","",VLOOKUP($A218,Sheet1!$A$3:$AW$699,5,FALSE))</f>
        <v>DINT</v>
      </c>
      <c r="J218" s="9" t="s">
        <v>751</v>
      </c>
      <c r="K218" s="9" t="s">
        <v>658</v>
      </c>
      <c r="L218" s="146" t="str">
        <f>IF(VLOOKUP($A218,Sheet1!$A$3:$AW$699,7,FALSE)="★","x","")</f>
        <v/>
      </c>
      <c r="M218" s="146" t="str">
        <f>IF(VLOOKUP($A218,Sheet1!$A$3:$AW$699,8,FALSE)="▲","x","")</f>
        <v/>
      </c>
      <c r="N218" s="146" t="str">
        <f>IF(VLOOKUP($A218,Sheet1!$A$3:$AW$699,9,FALSE)="●","x","")</f>
        <v/>
      </c>
      <c r="O218" s="146" t="str">
        <f>IF(VLOOKUP($A218,Sheet1!$A$3:$AW$699,10,FALSE)="■","x","")</f>
        <v/>
      </c>
      <c r="P218" s="9" t="str">
        <f>IF(VLOOKUP($A218,Sheet1!$A$3:$AW$699,2,FALSE)="","",VLOOKUP($A218,Sheet1!$A$3:$AW$699,2,FALSE))</f>
        <v>P6.095</v>
      </c>
    </row>
    <row r="219" spans="1:16" ht="20.399999999999999" x14ac:dyDescent="0.3">
      <c r="A219" s="9">
        <v>493</v>
      </c>
      <c r="B219" s="9" t="str">
        <f>IF(VLOOKUP($A219,Sheet1!$A$3:$AW$699,20,FALSE)="","",VLOOKUP($A219,Sheet1!$A$3:$AW$699,20,FALSE))</f>
        <v>PRCmd48Setting</v>
      </c>
      <c r="C219" s="9" t="str">
        <f>IF(VLOOKUP($A219,Sheet1!$A$3:$AW$699,25,FALSE)="","",VLOOKUP($A219,Sheet1!$A$3:$AW$699,25,FALSE))</f>
        <v>PR/IO</v>
      </c>
      <c r="D219" s="142" t="str">
        <f>IF(VLOOKUP($A219,Sheet1!$A$3:$AW$699,15,FALSE)="","",VLOOKUP($A219,Sheet1!$A$3:$AW$699,15,FALSE))</f>
        <v>0x00000000</v>
      </c>
      <c r="E219" s="142" t="str">
        <f>IF(VLOOKUP($A219,Sheet1!$A$3:$AW$699,16,FALSE)="","",VLOOKUP($A219,Sheet1!$A$3:$AW$699,16,FALSE))</f>
        <v>0xFFFFFFFF</v>
      </c>
      <c r="F219" s="142" t="str">
        <f>IF(VLOOKUP($A219,Sheet1!$A$3:$AW$699,17,FALSE)="","",VLOOKUP($A219,Sheet1!$A$3:$AW$699,17,FALSE))</f>
        <v>0x00000000</v>
      </c>
      <c r="G219" s="142" t="str">
        <f>IF(VLOOKUP($A219,Sheet1!$A$3:$AW$699,18,FALSE)="","",VLOOKUP($A219,Sheet1!$A$3:$AW$699,18,FALSE))</f>
        <v/>
      </c>
      <c r="H219" s="142" t="str">
        <f>IF(VLOOKUP($A219,Sheet1!$A$3:$AW$699,19,FALSE)="","",VLOOKUP($A219,Sheet1!$A$3:$AW$699,19,FALSE))</f>
        <v/>
      </c>
      <c r="I219" s="9" t="str">
        <f>IF(VLOOKUP($A219,Sheet1!$A$3:$AW$699,5,FALSE)="","",VLOOKUP($A219,Sheet1!$A$3:$AW$699,5,FALSE))</f>
        <v>UDINT</v>
      </c>
      <c r="J219" s="9" t="s">
        <v>752</v>
      </c>
      <c r="K219" s="9" t="s">
        <v>658</v>
      </c>
      <c r="L219" s="146" t="str">
        <f>IF(VLOOKUP($A219,Sheet1!$A$3:$AW$699,7,FALSE)="★","x","")</f>
        <v/>
      </c>
      <c r="M219" s="146" t="str">
        <f>IF(VLOOKUP($A219,Sheet1!$A$3:$AW$699,8,FALSE)="▲","x","")</f>
        <v/>
      </c>
      <c r="N219" s="146" t="str">
        <f>IF(VLOOKUP($A219,Sheet1!$A$3:$AW$699,9,FALSE)="●","x","")</f>
        <v/>
      </c>
      <c r="O219" s="146" t="str">
        <f>IF(VLOOKUP($A219,Sheet1!$A$3:$AW$699,10,FALSE)="■","x","")</f>
        <v/>
      </c>
      <c r="P219" s="9" t="str">
        <f>IF(VLOOKUP($A219,Sheet1!$A$3:$AW$699,2,FALSE)="","",VLOOKUP($A219,Sheet1!$A$3:$AW$699,2,FALSE))</f>
        <v>P6.096</v>
      </c>
    </row>
    <row r="220" spans="1:16" ht="20.399999999999999" x14ac:dyDescent="0.3">
      <c r="A220" s="9">
        <v>494</v>
      </c>
      <c r="B220" s="9" t="str">
        <f>IF(VLOOKUP($A220,Sheet1!$A$3:$AW$699,20,FALSE)="","",VLOOKUP($A220,Sheet1!$A$3:$AW$699,20,FALSE))</f>
        <v>PRCmd48Data</v>
      </c>
      <c r="C220" s="9" t="str">
        <f>IF(VLOOKUP($A220,Sheet1!$A$3:$AW$699,25,FALSE)="","",VLOOKUP($A220,Sheet1!$A$3:$AW$699,25,FALSE))</f>
        <v>PR/IO</v>
      </c>
      <c r="D220" s="142">
        <f>IF(VLOOKUP($A220,Sheet1!$A$3:$AW$699,15,FALSE)="","",VLOOKUP($A220,Sheet1!$A$3:$AW$699,15,FALSE))</f>
        <v>-2147483648</v>
      </c>
      <c r="E220" s="142">
        <f>IF(VLOOKUP($A220,Sheet1!$A$3:$AW$699,16,FALSE)="","",VLOOKUP($A220,Sheet1!$A$3:$AW$699,16,FALSE))</f>
        <v>2147483647</v>
      </c>
      <c r="F220" s="142">
        <f>IF(VLOOKUP($A220,Sheet1!$A$3:$AW$699,17,FALSE)="","",VLOOKUP($A220,Sheet1!$A$3:$AW$699,17,FALSE))</f>
        <v>0</v>
      </c>
      <c r="G220" s="142" t="str">
        <f>IF(VLOOKUP($A220,Sheet1!$A$3:$AW$699,18,FALSE)="","",VLOOKUP($A220,Sheet1!$A$3:$AW$699,18,FALSE))</f>
        <v/>
      </c>
      <c r="H220" s="142" t="str">
        <f>IF(VLOOKUP($A220,Sheet1!$A$3:$AW$699,19,FALSE)="","",VLOOKUP($A220,Sheet1!$A$3:$AW$699,19,FALSE))</f>
        <v/>
      </c>
      <c r="I220" s="9" t="str">
        <f>IF(VLOOKUP($A220,Sheet1!$A$3:$AW$699,5,FALSE)="","",VLOOKUP($A220,Sheet1!$A$3:$AW$699,5,FALSE))</f>
        <v>DINT</v>
      </c>
      <c r="J220" s="9" t="s">
        <v>753</v>
      </c>
      <c r="K220" s="9" t="s">
        <v>658</v>
      </c>
      <c r="L220" s="146" t="str">
        <f>IF(VLOOKUP($A220,Sheet1!$A$3:$AW$699,7,FALSE)="★","x","")</f>
        <v/>
      </c>
      <c r="M220" s="146" t="str">
        <f>IF(VLOOKUP($A220,Sheet1!$A$3:$AW$699,8,FALSE)="▲","x","")</f>
        <v/>
      </c>
      <c r="N220" s="146" t="str">
        <f>IF(VLOOKUP($A220,Sheet1!$A$3:$AW$699,9,FALSE)="●","x","")</f>
        <v/>
      </c>
      <c r="O220" s="146" t="str">
        <f>IF(VLOOKUP($A220,Sheet1!$A$3:$AW$699,10,FALSE)="■","x","")</f>
        <v/>
      </c>
      <c r="P220" s="9" t="str">
        <f>IF(VLOOKUP($A220,Sheet1!$A$3:$AW$699,2,FALSE)="","",VLOOKUP($A220,Sheet1!$A$3:$AW$699,2,FALSE))</f>
        <v>P6.097</v>
      </c>
    </row>
    <row r="221" spans="1:16" ht="20.399999999999999" x14ac:dyDescent="0.3">
      <c r="A221" s="9">
        <v>495</v>
      </c>
      <c r="B221" s="9" t="str">
        <f>IF(VLOOKUP($A221,Sheet1!$A$3:$AW$699,20,FALSE)="","",VLOOKUP($A221,Sheet1!$A$3:$AW$699,20,FALSE))</f>
        <v>PRCmd49Setting</v>
      </c>
      <c r="C221" s="9" t="str">
        <f>IF(VLOOKUP($A221,Sheet1!$A$3:$AW$699,25,FALSE)="","",VLOOKUP($A221,Sheet1!$A$3:$AW$699,25,FALSE))</f>
        <v>PR/IO</v>
      </c>
      <c r="D221" s="142" t="str">
        <f>IF(VLOOKUP($A221,Sheet1!$A$3:$AW$699,15,FALSE)="","",VLOOKUP($A221,Sheet1!$A$3:$AW$699,15,FALSE))</f>
        <v>0x00000000</v>
      </c>
      <c r="E221" s="142" t="str">
        <f>IF(VLOOKUP($A221,Sheet1!$A$3:$AW$699,16,FALSE)="","",VLOOKUP($A221,Sheet1!$A$3:$AW$699,16,FALSE))</f>
        <v>0xFFFFFFFF</v>
      </c>
      <c r="F221" s="142" t="str">
        <f>IF(VLOOKUP($A221,Sheet1!$A$3:$AW$699,17,FALSE)="","",VLOOKUP($A221,Sheet1!$A$3:$AW$699,17,FALSE))</f>
        <v>0x00000000</v>
      </c>
      <c r="G221" s="142" t="str">
        <f>IF(VLOOKUP($A221,Sheet1!$A$3:$AW$699,18,FALSE)="","",VLOOKUP($A221,Sheet1!$A$3:$AW$699,18,FALSE))</f>
        <v/>
      </c>
      <c r="H221" s="142" t="str">
        <f>IF(VLOOKUP($A221,Sheet1!$A$3:$AW$699,19,FALSE)="","",VLOOKUP($A221,Sheet1!$A$3:$AW$699,19,FALSE))</f>
        <v/>
      </c>
      <c r="I221" s="9" t="str">
        <f>IF(VLOOKUP($A221,Sheet1!$A$3:$AW$699,5,FALSE)="","",VLOOKUP($A221,Sheet1!$A$3:$AW$699,5,FALSE))</f>
        <v>UDINT</v>
      </c>
      <c r="J221" s="9" t="s">
        <v>754</v>
      </c>
      <c r="K221" s="9" t="s">
        <v>658</v>
      </c>
      <c r="L221" s="146" t="str">
        <f>IF(VLOOKUP($A221,Sheet1!$A$3:$AW$699,7,FALSE)="★","x","")</f>
        <v/>
      </c>
      <c r="M221" s="146" t="str">
        <f>IF(VLOOKUP($A221,Sheet1!$A$3:$AW$699,8,FALSE)="▲","x","")</f>
        <v/>
      </c>
      <c r="N221" s="146" t="str">
        <f>IF(VLOOKUP($A221,Sheet1!$A$3:$AW$699,9,FALSE)="●","x","")</f>
        <v/>
      </c>
      <c r="O221" s="146" t="str">
        <f>IF(VLOOKUP($A221,Sheet1!$A$3:$AW$699,10,FALSE)="■","x","")</f>
        <v/>
      </c>
      <c r="P221" s="9" t="str">
        <f>IF(VLOOKUP($A221,Sheet1!$A$3:$AW$699,2,FALSE)="","",VLOOKUP($A221,Sheet1!$A$3:$AW$699,2,FALSE))</f>
        <v>P6.098</v>
      </c>
    </row>
    <row r="222" spans="1:16" ht="20.399999999999999" x14ac:dyDescent="0.3">
      <c r="A222" s="9">
        <v>496</v>
      </c>
      <c r="B222" s="9" t="str">
        <f>IF(VLOOKUP($A222,Sheet1!$A$3:$AW$699,20,FALSE)="","",VLOOKUP($A222,Sheet1!$A$3:$AW$699,20,FALSE))</f>
        <v>PRCmd49Data</v>
      </c>
      <c r="C222" s="9" t="str">
        <f>IF(VLOOKUP($A222,Sheet1!$A$3:$AW$699,25,FALSE)="","",VLOOKUP($A222,Sheet1!$A$3:$AW$699,25,FALSE))</f>
        <v>PR/IO</v>
      </c>
      <c r="D222" s="142">
        <f>IF(VLOOKUP($A222,Sheet1!$A$3:$AW$699,15,FALSE)="","",VLOOKUP($A222,Sheet1!$A$3:$AW$699,15,FALSE))</f>
        <v>-2147483648</v>
      </c>
      <c r="E222" s="142">
        <f>IF(VLOOKUP($A222,Sheet1!$A$3:$AW$699,16,FALSE)="","",VLOOKUP($A222,Sheet1!$A$3:$AW$699,16,FALSE))</f>
        <v>2147483647</v>
      </c>
      <c r="F222" s="142">
        <f>IF(VLOOKUP($A222,Sheet1!$A$3:$AW$699,17,FALSE)="","",VLOOKUP($A222,Sheet1!$A$3:$AW$699,17,FALSE))</f>
        <v>0</v>
      </c>
      <c r="G222" s="142" t="str">
        <f>IF(VLOOKUP($A222,Sheet1!$A$3:$AW$699,18,FALSE)="","",VLOOKUP($A222,Sheet1!$A$3:$AW$699,18,FALSE))</f>
        <v/>
      </c>
      <c r="H222" s="142" t="str">
        <f>IF(VLOOKUP($A222,Sheet1!$A$3:$AW$699,19,FALSE)="","",VLOOKUP($A222,Sheet1!$A$3:$AW$699,19,FALSE))</f>
        <v/>
      </c>
      <c r="I222" s="9" t="str">
        <f>IF(VLOOKUP($A222,Sheet1!$A$3:$AW$699,5,FALSE)="","",VLOOKUP($A222,Sheet1!$A$3:$AW$699,5,FALSE))</f>
        <v>DINT</v>
      </c>
      <c r="J222" s="9" t="s">
        <v>755</v>
      </c>
      <c r="K222" s="9" t="s">
        <v>658</v>
      </c>
      <c r="L222" s="146" t="str">
        <f>IF(VLOOKUP($A222,Sheet1!$A$3:$AW$699,7,FALSE)="★","x","")</f>
        <v/>
      </c>
      <c r="M222" s="146" t="str">
        <f>IF(VLOOKUP($A222,Sheet1!$A$3:$AW$699,8,FALSE)="▲","x","")</f>
        <v/>
      </c>
      <c r="N222" s="146" t="str">
        <f>IF(VLOOKUP($A222,Sheet1!$A$3:$AW$699,9,FALSE)="●","x","")</f>
        <v/>
      </c>
      <c r="O222" s="146" t="str">
        <f>IF(VLOOKUP($A222,Sheet1!$A$3:$AW$699,10,FALSE)="■","x","")</f>
        <v/>
      </c>
      <c r="P222" s="9" t="str">
        <f>IF(VLOOKUP($A222,Sheet1!$A$3:$AW$699,2,FALSE)="","",VLOOKUP($A222,Sheet1!$A$3:$AW$699,2,FALSE))</f>
        <v>P6.099</v>
      </c>
    </row>
    <row r="223" spans="1:16" ht="20.399999999999999" x14ac:dyDescent="0.3">
      <c r="A223" s="9">
        <v>497</v>
      </c>
      <c r="B223" s="9" t="str">
        <f>IF(VLOOKUP($A223,Sheet1!$A$3:$AW$699,20,FALSE)="","",VLOOKUP($A223,Sheet1!$A$3:$AW$699,20,FALSE))</f>
        <v>PRCmd50Setting</v>
      </c>
      <c r="C223" s="9" t="str">
        <f>IF(VLOOKUP($A223,Sheet1!$A$3:$AW$699,25,FALSE)="","",VLOOKUP($A223,Sheet1!$A$3:$AW$699,25,FALSE))</f>
        <v>PR/IO</v>
      </c>
      <c r="D223" s="142" t="str">
        <f>IF(VLOOKUP($A223,Sheet1!$A$3:$AW$699,15,FALSE)="","",VLOOKUP($A223,Sheet1!$A$3:$AW$699,15,FALSE))</f>
        <v>0x00000000</v>
      </c>
      <c r="E223" s="142" t="str">
        <f>IF(VLOOKUP($A223,Sheet1!$A$3:$AW$699,16,FALSE)="","",VLOOKUP($A223,Sheet1!$A$3:$AW$699,16,FALSE))</f>
        <v>0xFFFFFFFF</v>
      </c>
      <c r="F223" s="142" t="str">
        <f>IF(VLOOKUP($A223,Sheet1!$A$3:$AW$699,17,FALSE)="","",VLOOKUP($A223,Sheet1!$A$3:$AW$699,17,FALSE))</f>
        <v>0x00000000</v>
      </c>
      <c r="G223" s="142" t="str">
        <f>IF(VLOOKUP($A223,Sheet1!$A$3:$AW$699,18,FALSE)="","",VLOOKUP($A223,Sheet1!$A$3:$AW$699,18,FALSE))</f>
        <v/>
      </c>
      <c r="H223" s="142" t="str">
        <f>IF(VLOOKUP($A223,Sheet1!$A$3:$AW$699,19,FALSE)="","",VLOOKUP($A223,Sheet1!$A$3:$AW$699,19,FALSE))</f>
        <v/>
      </c>
      <c r="I223" s="9" t="str">
        <f>IF(VLOOKUP($A223,Sheet1!$A$3:$AW$699,5,FALSE)="","",VLOOKUP($A223,Sheet1!$A$3:$AW$699,5,FALSE))</f>
        <v>UDINT</v>
      </c>
      <c r="J223" s="9" t="s">
        <v>756</v>
      </c>
      <c r="K223" s="9" t="s">
        <v>658</v>
      </c>
      <c r="L223" s="146" t="str">
        <f>IF(VLOOKUP($A223,Sheet1!$A$3:$AW$699,7,FALSE)="★","x","")</f>
        <v/>
      </c>
      <c r="M223" s="146" t="str">
        <f>IF(VLOOKUP($A223,Sheet1!$A$3:$AW$699,8,FALSE)="▲","x","")</f>
        <v/>
      </c>
      <c r="N223" s="146" t="str">
        <f>IF(VLOOKUP($A223,Sheet1!$A$3:$AW$699,9,FALSE)="●","x","")</f>
        <v/>
      </c>
      <c r="O223" s="146" t="str">
        <f>IF(VLOOKUP($A223,Sheet1!$A$3:$AW$699,10,FALSE)="■","x","")</f>
        <v/>
      </c>
      <c r="P223" s="9" t="str">
        <f>IF(VLOOKUP($A223,Sheet1!$A$3:$AW$699,2,FALSE)="","",VLOOKUP($A223,Sheet1!$A$3:$AW$699,2,FALSE))</f>
        <v>P7.000</v>
      </c>
    </row>
    <row r="224" spans="1:16" ht="20.399999999999999" x14ac:dyDescent="0.3">
      <c r="A224" s="9">
        <v>498</v>
      </c>
      <c r="B224" s="9" t="str">
        <f>IF(VLOOKUP($A224,Sheet1!$A$3:$AW$699,20,FALSE)="","",VLOOKUP($A224,Sheet1!$A$3:$AW$699,20,FALSE))</f>
        <v>PRCmd50Data</v>
      </c>
      <c r="C224" s="9" t="str">
        <f>IF(VLOOKUP($A224,Sheet1!$A$3:$AW$699,25,FALSE)="","",VLOOKUP($A224,Sheet1!$A$3:$AW$699,25,FALSE))</f>
        <v>PR/IO</v>
      </c>
      <c r="D224" s="142">
        <f>IF(VLOOKUP($A224,Sheet1!$A$3:$AW$699,15,FALSE)="","",VLOOKUP($A224,Sheet1!$A$3:$AW$699,15,FALSE))</f>
        <v>-2147483648</v>
      </c>
      <c r="E224" s="142">
        <f>IF(VLOOKUP($A224,Sheet1!$A$3:$AW$699,16,FALSE)="","",VLOOKUP($A224,Sheet1!$A$3:$AW$699,16,FALSE))</f>
        <v>2147483647</v>
      </c>
      <c r="F224" s="142">
        <f>IF(VLOOKUP($A224,Sheet1!$A$3:$AW$699,17,FALSE)="","",VLOOKUP($A224,Sheet1!$A$3:$AW$699,17,FALSE))</f>
        <v>0</v>
      </c>
      <c r="G224" s="142" t="str">
        <f>IF(VLOOKUP($A224,Sheet1!$A$3:$AW$699,18,FALSE)="","",VLOOKUP($A224,Sheet1!$A$3:$AW$699,18,FALSE))</f>
        <v/>
      </c>
      <c r="H224" s="142" t="str">
        <f>IF(VLOOKUP($A224,Sheet1!$A$3:$AW$699,19,FALSE)="","",VLOOKUP($A224,Sheet1!$A$3:$AW$699,19,FALSE))</f>
        <v/>
      </c>
      <c r="I224" s="9" t="str">
        <f>IF(VLOOKUP($A224,Sheet1!$A$3:$AW$699,5,FALSE)="","",VLOOKUP($A224,Sheet1!$A$3:$AW$699,5,FALSE))</f>
        <v>DINT</v>
      </c>
      <c r="J224" s="9" t="s">
        <v>757</v>
      </c>
      <c r="K224" s="9" t="s">
        <v>658</v>
      </c>
      <c r="L224" s="146" t="str">
        <f>IF(VLOOKUP($A224,Sheet1!$A$3:$AW$699,7,FALSE)="★","x","")</f>
        <v/>
      </c>
      <c r="M224" s="146" t="str">
        <f>IF(VLOOKUP($A224,Sheet1!$A$3:$AW$699,8,FALSE)="▲","x","")</f>
        <v/>
      </c>
      <c r="N224" s="146" t="str">
        <f>IF(VLOOKUP($A224,Sheet1!$A$3:$AW$699,9,FALSE)="●","x","")</f>
        <v/>
      </c>
      <c r="O224" s="146" t="str">
        <f>IF(VLOOKUP($A224,Sheet1!$A$3:$AW$699,10,FALSE)="■","x","")</f>
        <v/>
      </c>
      <c r="P224" s="9" t="str">
        <f>IF(VLOOKUP($A224,Sheet1!$A$3:$AW$699,2,FALSE)="","",VLOOKUP($A224,Sheet1!$A$3:$AW$699,2,FALSE))</f>
        <v>P7.001</v>
      </c>
    </row>
    <row r="225" spans="1:16" ht="20.399999999999999" x14ac:dyDescent="0.3">
      <c r="A225" s="9">
        <v>499</v>
      </c>
      <c r="B225" s="9" t="str">
        <f>IF(VLOOKUP($A225,Sheet1!$A$3:$AW$699,20,FALSE)="","",VLOOKUP($A225,Sheet1!$A$3:$AW$699,20,FALSE))</f>
        <v>PRCmd51Setting</v>
      </c>
      <c r="C225" s="9" t="str">
        <f>IF(VLOOKUP($A225,Sheet1!$A$3:$AW$699,25,FALSE)="","",VLOOKUP($A225,Sheet1!$A$3:$AW$699,25,FALSE))</f>
        <v>PR/IO</v>
      </c>
      <c r="D225" s="142" t="str">
        <f>IF(VLOOKUP($A225,Sheet1!$A$3:$AW$699,15,FALSE)="","",VLOOKUP($A225,Sheet1!$A$3:$AW$699,15,FALSE))</f>
        <v>0x00000000</v>
      </c>
      <c r="E225" s="142" t="str">
        <f>IF(VLOOKUP($A225,Sheet1!$A$3:$AW$699,16,FALSE)="","",VLOOKUP($A225,Sheet1!$A$3:$AW$699,16,FALSE))</f>
        <v>0xFFFFFFFF</v>
      </c>
      <c r="F225" s="142" t="str">
        <f>IF(VLOOKUP($A225,Sheet1!$A$3:$AW$699,17,FALSE)="","",VLOOKUP($A225,Sheet1!$A$3:$AW$699,17,FALSE))</f>
        <v>0x00000000</v>
      </c>
      <c r="G225" s="142" t="str">
        <f>IF(VLOOKUP($A225,Sheet1!$A$3:$AW$699,18,FALSE)="","",VLOOKUP($A225,Sheet1!$A$3:$AW$699,18,FALSE))</f>
        <v/>
      </c>
      <c r="H225" s="142" t="str">
        <f>IF(VLOOKUP($A225,Sheet1!$A$3:$AW$699,19,FALSE)="","",VLOOKUP($A225,Sheet1!$A$3:$AW$699,19,FALSE))</f>
        <v/>
      </c>
      <c r="I225" s="9" t="str">
        <f>IF(VLOOKUP($A225,Sheet1!$A$3:$AW$699,5,FALSE)="","",VLOOKUP($A225,Sheet1!$A$3:$AW$699,5,FALSE))</f>
        <v>UDINT</v>
      </c>
      <c r="J225" s="9" t="s">
        <v>758</v>
      </c>
      <c r="K225" s="9" t="s">
        <v>759</v>
      </c>
      <c r="L225" s="146" t="str">
        <f>IF(VLOOKUP($A225,Sheet1!$A$3:$AW$699,7,FALSE)="★","x","")</f>
        <v/>
      </c>
      <c r="M225" s="146" t="str">
        <f>IF(VLOOKUP($A225,Sheet1!$A$3:$AW$699,8,FALSE)="▲","x","")</f>
        <v/>
      </c>
      <c r="N225" s="146" t="str">
        <f>IF(VLOOKUP($A225,Sheet1!$A$3:$AW$699,9,FALSE)="●","x","")</f>
        <v/>
      </c>
      <c r="O225" s="146" t="str">
        <f>IF(VLOOKUP($A225,Sheet1!$A$3:$AW$699,10,FALSE)="■","x","")</f>
        <v/>
      </c>
      <c r="P225" s="9" t="str">
        <f>IF(VLOOKUP($A225,Sheet1!$A$3:$AW$699,2,FALSE)="","",VLOOKUP($A225,Sheet1!$A$3:$AW$699,2,FALSE))</f>
        <v>P7.002</v>
      </c>
    </row>
    <row r="226" spans="1:16" ht="20.399999999999999" x14ac:dyDescent="0.3">
      <c r="A226" s="9">
        <v>500</v>
      </c>
      <c r="B226" s="9" t="str">
        <f>IF(VLOOKUP($A226,Sheet1!$A$3:$AW$699,20,FALSE)="","",VLOOKUP($A226,Sheet1!$A$3:$AW$699,20,FALSE))</f>
        <v>PRCmd51Data</v>
      </c>
      <c r="C226" s="9" t="str">
        <f>IF(VLOOKUP($A226,Sheet1!$A$3:$AW$699,25,FALSE)="","",VLOOKUP($A226,Sheet1!$A$3:$AW$699,25,FALSE))</f>
        <v>PR/IO</v>
      </c>
      <c r="D226" s="142">
        <f>IF(VLOOKUP($A226,Sheet1!$A$3:$AW$699,15,FALSE)="","",VLOOKUP($A226,Sheet1!$A$3:$AW$699,15,FALSE))</f>
        <v>-2147483648</v>
      </c>
      <c r="E226" s="142">
        <f>IF(VLOOKUP($A226,Sheet1!$A$3:$AW$699,16,FALSE)="","",VLOOKUP($A226,Sheet1!$A$3:$AW$699,16,FALSE))</f>
        <v>2147483647</v>
      </c>
      <c r="F226" s="142">
        <f>IF(VLOOKUP($A226,Sheet1!$A$3:$AW$699,17,FALSE)="","",VLOOKUP($A226,Sheet1!$A$3:$AW$699,17,FALSE))</f>
        <v>0</v>
      </c>
      <c r="G226" s="142" t="str">
        <f>IF(VLOOKUP($A226,Sheet1!$A$3:$AW$699,18,FALSE)="","",VLOOKUP($A226,Sheet1!$A$3:$AW$699,18,FALSE))</f>
        <v/>
      </c>
      <c r="H226" s="142" t="str">
        <f>IF(VLOOKUP($A226,Sheet1!$A$3:$AW$699,19,FALSE)="","",VLOOKUP($A226,Sheet1!$A$3:$AW$699,19,FALSE))</f>
        <v/>
      </c>
      <c r="I226" s="9" t="str">
        <f>IF(VLOOKUP($A226,Sheet1!$A$3:$AW$699,5,FALSE)="","",VLOOKUP($A226,Sheet1!$A$3:$AW$699,5,FALSE))</f>
        <v>DINT</v>
      </c>
      <c r="J226" s="9" t="s">
        <v>760</v>
      </c>
      <c r="K226" s="9" t="s">
        <v>759</v>
      </c>
      <c r="L226" s="146" t="str">
        <f>IF(VLOOKUP($A226,Sheet1!$A$3:$AW$699,7,FALSE)="★","x","")</f>
        <v/>
      </c>
      <c r="M226" s="146" t="str">
        <f>IF(VLOOKUP($A226,Sheet1!$A$3:$AW$699,8,FALSE)="▲","x","")</f>
        <v/>
      </c>
      <c r="N226" s="146" t="str">
        <f>IF(VLOOKUP($A226,Sheet1!$A$3:$AW$699,9,FALSE)="●","x","")</f>
        <v/>
      </c>
      <c r="O226" s="146" t="str">
        <f>IF(VLOOKUP($A226,Sheet1!$A$3:$AW$699,10,FALSE)="■","x","")</f>
        <v/>
      </c>
      <c r="P226" s="9" t="str">
        <f>IF(VLOOKUP($A226,Sheet1!$A$3:$AW$699,2,FALSE)="","",VLOOKUP($A226,Sheet1!$A$3:$AW$699,2,FALSE))</f>
        <v>P7.003</v>
      </c>
    </row>
    <row r="227" spans="1:16" ht="20.399999999999999" x14ac:dyDescent="0.3">
      <c r="A227" s="9">
        <v>501</v>
      </c>
      <c r="B227" s="9" t="str">
        <f>IF(VLOOKUP($A227,Sheet1!$A$3:$AW$699,20,FALSE)="","",VLOOKUP($A227,Sheet1!$A$3:$AW$699,20,FALSE))</f>
        <v>PRCmd52Setting</v>
      </c>
      <c r="C227" s="9" t="str">
        <f>IF(VLOOKUP($A227,Sheet1!$A$3:$AW$699,25,FALSE)="","",VLOOKUP($A227,Sheet1!$A$3:$AW$699,25,FALSE))</f>
        <v>PR/IO</v>
      </c>
      <c r="D227" s="142" t="str">
        <f>IF(VLOOKUP($A227,Sheet1!$A$3:$AW$699,15,FALSE)="","",VLOOKUP($A227,Sheet1!$A$3:$AW$699,15,FALSE))</f>
        <v>0x00000000</v>
      </c>
      <c r="E227" s="142" t="str">
        <f>IF(VLOOKUP($A227,Sheet1!$A$3:$AW$699,16,FALSE)="","",VLOOKUP($A227,Sheet1!$A$3:$AW$699,16,FALSE))</f>
        <v>0xFFFFFFFF</v>
      </c>
      <c r="F227" s="142" t="str">
        <f>IF(VLOOKUP($A227,Sheet1!$A$3:$AW$699,17,FALSE)="","",VLOOKUP($A227,Sheet1!$A$3:$AW$699,17,FALSE))</f>
        <v>0x00000000</v>
      </c>
      <c r="G227" s="142" t="str">
        <f>IF(VLOOKUP($A227,Sheet1!$A$3:$AW$699,18,FALSE)="","",VLOOKUP($A227,Sheet1!$A$3:$AW$699,18,FALSE))</f>
        <v/>
      </c>
      <c r="H227" s="142" t="str">
        <f>IF(VLOOKUP($A227,Sheet1!$A$3:$AW$699,19,FALSE)="","",VLOOKUP($A227,Sheet1!$A$3:$AW$699,19,FALSE))</f>
        <v/>
      </c>
      <c r="I227" s="9" t="str">
        <f>IF(VLOOKUP($A227,Sheet1!$A$3:$AW$699,5,FALSE)="","",VLOOKUP($A227,Sheet1!$A$3:$AW$699,5,FALSE))</f>
        <v>UDINT</v>
      </c>
      <c r="J227" s="9" t="s">
        <v>761</v>
      </c>
      <c r="K227" s="9" t="s">
        <v>759</v>
      </c>
      <c r="L227" s="146" t="str">
        <f>IF(VLOOKUP($A227,Sheet1!$A$3:$AW$699,7,FALSE)="★","x","")</f>
        <v/>
      </c>
      <c r="M227" s="146" t="str">
        <f>IF(VLOOKUP($A227,Sheet1!$A$3:$AW$699,8,FALSE)="▲","x","")</f>
        <v/>
      </c>
      <c r="N227" s="146" t="str">
        <f>IF(VLOOKUP($A227,Sheet1!$A$3:$AW$699,9,FALSE)="●","x","")</f>
        <v/>
      </c>
      <c r="O227" s="146" t="str">
        <f>IF(VLOOKUP($A227,Sheet1!$A$3:$AW$699,10,FALSE)="■","x","")</f>
        <v/>
      </c>
      <c r="P227" s="9" t="str">
        <f>IF(VLOOKUP($A227,Sheet1!$A$3:$AW$699,2,FALSE)="","",VLOOKUP($A227,Sheet1!$A$3:$AW$699,2,FALSE))</f>
        <v>P7.004</v>
      </c>
    </row>
    <row r="228" spans="1:16" ht="20.399999999999999" x14ac:dyDescent="0.3">
      <c r="A228" s="9">
        <v>502</v>
      </c>
      <c r="B228" s="9" t="str">
        <f>IF(VLOOKUP($A228,Sheet1!$A$3:$AW$699,20,FALSE)="","",VLOOKUP($A228,Sheet1!$A$3:$AW$699,20,FALSE))</f>
        <v>PRCmd52Data</v>
      </c>
      <c r="C228" s="9" t="str">
        <f>IF(VLOOKUP($A228,Sheet1!$A$3:$AW$699,25,FALSE)="","",VLOOKUP($A228,Sheet1!$A$3:$AW$699,25,FALSE))</f>
        <v>PR/IO</v>
      </c>
      <c r="D228" s="142">
        <f>IF(VLOOKUP($A228,Sheet1!$A$3:$AW$699,15,FALSE)="","",VLOOKUP($A228,Sheet1!$A$3:$AW$699,15,FALSE))</f>
        <v>-2147483648</v>
      </c>
      <c r="E228" s="142">
        <f>IF(VLOOKUP($A228,Sheet1!$A$3:$AW$699,16,FALSE)="","",VLOOKUP($A228,Sheet1!$A$3:$AW$699,16,FALSE))</f>
        <v>2147483647</v>
      </c>
      <c r="F228" s="142">
        <f>IF(VLOOKUP($A228,Sheet1!$A$3:$AW$699,17,FALSE)="","",VLOOKUP($A228,Sheet1!$A$3:$AW$699,17,FALSE))</f>
        <v>0</v>
      </c>
      <c r="G228" s="142" t="str">
        <f>IF(VLOOKUP($A228,Sheet1!$A$3:$AW$699,18,FALSE)="","",VLOOKUP($A228,Sheet1!$A$3:$AW$699,18,FALSE))</f>
        <v/>
      </c>
      <c r="H228" s="142" t="str">
        <f>IF(VLOOKUP($A228,Sheet1!$A$3:$AW$699,19,FALSE)="","",VLOOKUP($A228,Sheet1!$A$3:$AW$699,19,FALSE))</f>
        <v/>
      </c>
      <c r="I228" s="9" t="str">
        <f>IF(VLOOKUP($A228,Sheet1!$A$3:$AW$699,5,FALSE)="","",VLOOKUP($A228,Sheet1!$A$3:$AW$699,5,FALSE))</f>
        <v>DINT</v>
      </c>
      <c r="J228" s="9" t="s">
        <v>762</v>
      </c>
      <c r="K228" s="9" t="s">
        <v>759</v>
      </c>
      <c r="L228" s="146" t="str">
        <f>IF(VLOOKUP($A228,Sheet1!$A$3:$AW$699,7,FALSE)="★","x","")</f>
        <v/>
      </c>
      <c r="M228" s="146" t="str">
        <f>IF(VLOOKUP($A228,Sheet1!$A$3:$AW$699,8,FALSE)="▲","x","")</f>
        <v/>
      </c>
      <c r="N228" s="146" t="str">
        <f>IF(VLOOKUP($A228,Sheet1!$A$3:$AW$699,9,FALSE)="●","x","")</f>
        <v/>
      </c>
      <c r="O228" s="146" t="str">
        <f>IF(VLOOKUP($A228,Sheet1!$A$3:$AW$699,10,FALSE)="■","x","")</f>
        <v/>
      </c>
      <c r="P228" s="9" t="str">
        <f>IF(VLOOKUP($A228,Sheet1!$A$3:$AW$699,2,FALSE)="","",VLOOKUP($A228,Sheet1!$A$3:$AW$699,2,FALSE))</f>
        <v>P7.005</v>
      </c>
    </row>
    <row r="229" spans="1:16" ht="20.399999999999999" x14ac:dyDescent="0.3">
      <c r="A229" s="9">
        <v>503</v>
      </c>
      <c r="B229" s="9" t="str">
        <f>IF(VLOOKUP($A229,Sheet1!$A$3:$AW$699,20,FALSE)="","",VLOOKUP($A229,Sheet1!$A$3:$AW$699,20,FALSE))</f>
        <v>PRCmd53Setting</v>
      </c>
      <c r="C229" s="9" t="str">
        <f>IF(VLOOKUP($A229,Sheet1!$A$3:$AW$699,25,FALSE)="","",VLOOKUP($A229,Sheet1!$A$3:$AW$699,25,FALSE))</f>
        <v>PR/IO</v>
      </c>
      <c r="D229" s="142" t="str">
        <f>IF(VLOOKUP($A229,Sheet1!$A$3:$AW$699,15,FALSE)="","",VLOOKUP($A229,Sheet1!$A$3:$AW$699,15,FALSE))</f>
        <v>0x00000000</v>
      </c>
      <c r="E229" s="142" t="str">
        <f>IF(VLOOKUP($A229,Sheet1!$A$3:$AW$699,16,FALSE)="","",VLOOKUP($A229,Sheet1!$A$3:$AW$699,16,FALSE))</f>
        <v>0xFFFFFFFF</v>
      </c>
      <c r="F229" s="142" t="str">
        <f>IF(VLOOKUP($A229,Sheet1!$A$3:$AW$699,17,FALSE)="","",VLOOKUP($A229,Sheet1!$A$3:$AW$699,17,FALSE))</f>
        <v>0x00000000</v>
      </c>
      <c r="G229" s="142" t="str">
        <f>IF(VLOOKUP($A229,Sheet1!$A$3:$AW$699,18,FALSE)="","",VLOOKUP($A229,Sheet1!$A$3:$AW$699,18,FALSE))</f>
        <v/>
      </c>
      <c r="H229" s="142" t="str">
        <f>IF(VLOOKUP($A229,Sheet1!$A$3:$AW$699,19,FALSE)="","",VLOOKUP($A229,Sheet1!$A$3:$AW$699,19,FALSE))</f>
        <v/>
      </c>
      <c r="I229" s="9" t="str">
        <f>IF(VLOOKUP($A229,Sheet1!$A$3:$AW$699,5,FALSE)="","",VLOOKUP($A229,Sheet1!$A$3:$AW$699,5,FALSE))</f>
        <v>UDINT</v>
      </c>
      <c r="J229" s="9" t="s">
        <v>763</v>
      </c>
      <c r="K229" s="9" t="s">
        <v>759</v>
      </c>
      <c r="L229" s="146" t="str">
        <f>IF(VLOOKUP($A229,Sheet1!$A$3:$AW$699,7,FALSE)="★","x","")</f>
        <v/>
      </c>
      <c r="M229" s="146" t="str">
        <f>IF(VLOOKUP($A229,Sheet1!$A$3:$AW$699,8,FALSE)="▲","x","")</f>
        <v/>
      </c>
      <c r="N229" s="146" t="str">
        <f>IF(VLOOKUP($A229,Sheet1!$A$3:$AW$699,9,FALSE)="●","x","")</f>
        <v/>
      </c>
      <c r="O229" s="146" t="str">
        <f>IF(VLOOKUP($A229,Sheet1!$A$3:$AW$699,10,FALSE)="■","x","")</f>
        <v/>
      </c>
      <c r="P229" s="9" t="str">
        <f>IF(VLOOKUP($A229,Sheet1!$A$3:$AW$699,2,FALSE)="","",VLOOKUP($A229,Sheet1!$A$3:$AW$699,2,FALSE))</f>
        <v>P7.006</v>
      </c>
    </row>
    <row r="230" spans="1:16" ht="20.399999999999999" x14ac:dyDescent="0.3">
      <c r="A230" s="9">
        <v>504</v>
      </c>
      <c r="B230" s="9" t="str">
        <f>IF(VLOOKUP($A230,Sheet1!$A$3:$AW$699,20,FALSE)="","",VLOOKUP($A230,Sheet1!$A$3:$AW$699,20,FALSE))</f>
        <v>PRCmd53Data</v>
      </c>
      <c r="C230" s="9" t="str">
        <f>IF(VLOOKUP($A230,Sheet1!$A$3:$AW$699,25,FALSE)="","",VLOOKUP($A230,Sheet1!$A$3:$AW$699,25,FALSE))</f>
        <v>PR/IO</v>
      </c>
      <c r="D230" s="142">
        <f>IF(VLOOKUP($A230,Sheet1!$A$3:$AW$699,15,FALSE)="","",VLOOKUP($A230,Sheet1!$A$3:$AW$699,15,FALSE))</f>
        <v>-2147483648</v>
      </c>
      <c r="E230" s="142">
        <f>IF(VLOOKUP($A230,Sheet1!$A$3:$AW$699,16,FALSE)="","",VLOOKUP($A230,Sheet1!$A$3:$AW$699,16,FALSE))</f>
        <v>2147483647</v>
      </c>
      <c r="F230" s="142">
        <f>IF(VLOOKUP($A230,Sheet1!$A$3:$AW$699,17,FALSE)="","",VLOOKUP($A230,Sheet1!$A$3:$AW$699,17,FALSE))</f>
        <v>0</v>
      </c>
      <c r="G230" s="142" t="str">
        <f>IF(VLOOKUP($A230,Sheet1!$A$3:$AW$699,18,FALSE)="","",VLOOKUP($A230,Sheet1!$A$3:$AW$699,18,FALSE))</f>
        <v/>
      </c>
      <c r="H230" s="142" t="str">
        <f>IF(VLOOKUP($A230,Sheet1!$A$3:$AW$699,19,FALSE)="","",VLOOKUP($A230,Sheet1!$A$3:$AW$699,19,FALSE))</f>
        <v/>
      </c>
      <c r="I230" s="9" t="str">
        <f>IF(VLOOKUP($A230,Sheet1!$A$3:$AW$699,5,FALSE)="","",VLOOKUP($A230,Sheet1!$A$3:$AW$699,5,FALSE))</f>
        <v>DINT</v>
      </c>
      <c r="J230" s="9" t="s">
        <v>764</v>
      </c>
      <c r="K230" s="9" t="s">
        <v>759</v>
      </c>
      <c r="L230" s="146" t="str">
        <f>IF(VLOOKUP($A230,Sheet1!$A$3:$AW$699,7,FALSE)="★","x","")</f>
        <v/>
      </c>
      <c r="M230" s="146" t="str">
        <f>IF(VLOOKUP($A230,Sheet1!$A$3:$AW$699,8,FALSE)="▲","x","")</f>
        <v/>
      </c>
      <c r="N230" s="146" t="str">
        <f>IF(VLOOKUP($A230,Sheet1!$A$3:$AW$699,9,FALSE)="●","x","")</f>
        <v/>
      </c>
      <c r="O230" s="146" t="str">
        <f>IF(VLOOKUP($A230,Sheet1!$A$3:$AW$699,10,FALSE)="■","x","")</f>
        <v/>
      </c>
      <c r="P230" s="9" t="str">
        <f>IF(VLOOKUP($A230,Sheet1!$A$3:$AW$699,2,FALSE)="","",VLOOKUP($A230,Sheet1!$A$3:$AW$699,2,FALSE))</f>
        <v>P7.007</v>
      </c>
    </row>
    <row r="231" spans="1:16" ht="20.399999999999999" x14ac:dyDescent="0.3">
      <c r="A231" s="9">
        <v>505</v>
      </c>
      <c r="B231" s="9" t="str">
        <f>IF(VLOOKUP($A231,Sheet1!$A$3:$AW$699,20,FALSE)="","",VLOOKUP($A231,Sheet1!$A$3:$AW$699,20,FALSE))</f>
        <v>PRCmd54Setting</v>
      </c>
      <c r="C231" s="9" t="str">
        <f>IF(VLOOKUP($A231,Sheet1!$A$3:$AW$699,25,FALSE)="","",VLOOKUP($A231,Sheet1!$A$3:$AW$699,25,FALSE))</f>
        <v>PR/IO</v>
      </c>
      <c r="D231" s="142" t="str">
        <f>IF(VLOOKUP($A231,Sheet1!$A$3:$AW$699,15,FALSE)="","",VLOOKUP($A231,Sheet1!$A$3:$AW$699,15,FALSE))</f>
        <v>0x00000000</v>
      </c>
      <c r="E231" s="142" t="str">
        <f>IF(VLOOKUP($A231,Sheet1!$A$3:$AW$699,16,FALSE)="","",VLOOKUP($A231,Sheet1!$A$3:$AW$699,16,FALSE))</f>
        <v>0xFFFFFFFF</v>
      </c>
      <c r="F231" s="142" t="str">
        <f>IF(VLOOKUP($A231,Sheet1!$A$3:$AW$699,17,FALSE)="","",VLOOKUP($A231,Sheet1!$A$3:$AW$699,17,FALSE))</f>
        <v>0x00000000</v>
      </c>
      <c r="G231" s="142" t="str">
        <f>IF(VLOOKUP($A231,Sheet1!$A$3:$AW$699,18,FALSE)="","",VLOOKUP($A231,Sheet1!$A$3:$AW$699,18,FALSE))</f>
        <v/>
      </c>
      <c r="H231" s="142" t="str">
        <f>IF(VLOOKUP($A231,Sheet1!$A$3:$AW$699,19,FALSE)="","",VLOOKUP($A231,Sheet1!$A$3:$AW$699,19,FALSE))</f>
        <v/>
      </c>
      <c r="I231" s="9" t="str">
        <f>IF(VLOOKUP($A231,Sheet1!$A$3:$AW$699,5,FALSE)="","",VLOOKUP($A231,Sheet1!$A$3:$AW$699,5,FALSE))</f>
        <v>UDINT</v>
      </c>
      <c r="J231" s="9" t="s">
        <v>765</v>
      </c>
      <c r="K231" s="9" t="s">
        <v>759</v>
      </c>
      <c r="L231" s="146" t="str">
        <f>IF(VLOOKUP($A231,Sheet1!$A$3:$AW$699,7,FALSE)="★","x","")</f>
        <v/>
      </c>
      <c r="M231" s="146" t="str">
        <f>IF(VLOOKUP($A231,Sheet1!$A$3:$AW$699,8,FALSE)="▲","x","")</f>
        <v/>
      </c>
      <c r="N231" s="146" t="str">
        <f>IF(VLOOKUP($A231,Sheet1!$A$3:$AW$699,9,FALSE)="●","x","")</f>
        <v/>
      </c>
      <c r="O231" s="146" t="str">
        <f>IF(VLOOKUP($A231,Sheet1!$A$3:$AW$699,10,FALSE)="■","x","")</f>
        <v/>
      </c>
      <c r="P231" s="9" t="str">
        <f>IF(VLOOKUP($A231,Sheet1!$A$3:$AW$699,2,FALSE)="","",VLOOKUP($A231,Sheet1!$A$3:$AW$699,2,FALSE))</f>
        <v>P7.008</v>
      </c>
    </row>
    <row r="232" spans="1:16" ht="20.399999999999999" x14ac:dyDescent="0.3">
      <c r="A232" s="9">
        <v>506</v>
      </c>
      <c r="B232" s="9" t="str">
        <f>IF(VLOOKUP($A232,Sheet1!$A$3:$AW$699,20,FALSE)="","",VLOOKUP($A232,Sheet1!$A$3:$AW$699,20,FALSE))</f>
        <v>PRCmd54Data</v>
      </c>
      <c r="C232" s="9" t="str">
        <f>IF(VLOOKUP($A232,Sheet1!$A$3:$AW$699,25,FALSE)="","",VLOOKUP($A232,Sheet1!$A$3:$AW$699,25,FALSE))</f>
        <v>PR/IO</v>
      </c>
      <c r="D232" s="142">
        <f>IF(VLOOKUP($A232,Sheet1!$A$3:$AW$699,15,FALSE)="","",VLOOKUP($A232,Sheet1!$A$3:$AW$699,15,FALSE))</f>
        <v>-2147483648</v>
      </c>
      <c r="E232" s="142">
        <f>IF(VLOOKUP($A232,Sheet1!$A$3:$AW$699,16,FALSE)="","",VLOOKUP($A232,Sheet1!$A$3:$AW$699,16,FALSE))</f>
        <v>2147483647</v>
      </c>
      <c r="F232" s="142">
        <f>IF(VLOOKUP($A232,Sheet1!$A$3:$AW$699,17,FALSE)="","",VLOOKUP($A232,Sheet1!$A$3:$AW$699,17,FALSE))</f>
        <v>0</v>
      </c>
      <c r="G232" s="142" t="str">
        <f>IF(VLOOKUP($A232,Sheet1!$A$3:$AW$699,18,FALSE)="","",VLOOKUP($A232,Sheet1!$A$3:$AW$699,18,FALSE))</f>
        <v/>
      </c>
      <c r="H232" s="142" t="str">
        <f>IF(VLOOKUP($A232,Sheet1!$A$3:$AW$699,19,FALSE)="","",VLOOKUP($A232,Sheet1!$A$3:$AW$699,19,FALSE))</f>
        <v/>
      </c>
      <c r="I232" s="9" t="str">
        <f>IF(VLOOKUP($A232,Sheet1!$A$3:$AW$699,5,FALSE)="","",VLOOKUP($A232,Sheet1!$A$3:$AW$699,5,FALSE))</f>
        <v>DINT</v>
      </c>
      <c r="J232" s="9" t="s">
        <v>766</v>
      </c>
      <c r="K232" s="9" t="s">
        <v>759</v>
      </c>
      <c r="L232" s="146" t="str">
        <f>IF(VLOOKUP($A232,Sheet1!$A$3:$AW$699,7,FALSE)="★","x","")</f>
        <v/>
      </c>
      <c r="M232" s="146" t="str">
        <f>IF(VLOOKUP($A232,Sheet1!$A$3:$AW$699,8,FALSE)="▲","x","")</f>
        <v/>
      </c>
      <c r="N232" s="146" t="str">
        <f>IF(VLOOKUP($A232,Sheet1!$A$3:$AW$699,9,FALSE)="●","x","")</f>
        <v/>
      </c>
      <c r="O232" s="146" t="str">
        <f>IF(VLOOKUP($A232,Sheet1!$A$3:$AW$699,10,FALSE)="■","x","")</f>
        <v/>
      </c>
      <c r="P232" s="9" t="str">
        <f>IF(VLOOKUP($A232,Sheet1!$A$3:$AW$699,2,FALSE)="","",VLOOKUP($A232,Sheet1!$A$3:$AW$699,2,FALSE))</f>
        <v>P7.009</v>
      </c>
    </row>
    <row r="233" spans="1:16" ht="20.399999999999999" x14ac:dyDescent="0.3">
      <c r="A233" s="9">
        <v>507</v>
      </c>
      <c r="B233" s="9" t="str">
        <f>IF(VLOOKUP($A233,Sheet1!$A$3:$AW$699,20,FALSE)="","",VLOOKUP($A233,Sheet1!$A$3:$AW$699,20,FALSE))</f>
        <v>PRCmd55Setting</v>
      </c>
      <c r="C233" s="9" t="str">
        <f>IF(VLOOKUP($A233,Sheet1!$A$3:$AW$699,25,FALSE)="","",VLOOKUP($A233,Sheet1!$A$3:$AW$699,25,FALSE))</f>
        <v>PR/IO</v>
      </c>
      <c r="D233" s="142" t="str">
        <f>IF(VLOOKUP($A233,Sheet1!$A$3:$AW$699,15,FALSE)="","",VLOOKUP($A233,Sheet1!$A$3:$AW$699,15,FALSE))</f>
        <v>0x00000000</v>
      </c>
      <c r="E233" s="142" t="str">
        <f>IF(VLOOKUP($A233,Sheet1!$A$3:$AW$699,16,FALSE)="","",VLOOKUP($A233,Sheet1!$A$3:$AW$699,16,FALSE))</f>
        <v>0xFFFFFFFF</v>
      </c>
      <c r="F233" s="142" t="str">
        <f>IF(VLOOKUP($A233,Sheet1!$A$3:$AW$699,17,FALSE)="","",VLOOKUP($A233,Sheet1!$A$3:$AW$699,17,FALSE))</f>
        <v>0x00000000</v>
      </c>
      <c r="G233" s="142" t="str">
        <f>IF(VLOOKUP($A233,Sheet1!$A$3:$AW$699,18,FALSE)="","",VLOOKUP($A233,Sheet1!$A$3:$AW$699,18,FALSE))</f>
        <v/>
      </c>
      <c r="H233" s="142" t="str">
        <f>IF(VLOOKUP($A233,Sheet1!$A$3:$AW$699,19,FALSE)="","",VLOOKUP($A233,Sheet1!$A$3:$AW$699,19,FALSE))</f>
        <v/>
      </c>
      <c r="I233" s="9" t="str">
        <f>IF(VLOOKUP($A233,Sheet1!$A$3:$AW$699,5,FALSE)="","",VLOOKUP($A233,Sheet1!$A$3:$AW$699,5,FALSE))</f>
        <v>UDINT</v>
      </c>
      <c r="J233" s="9" t="s">
        <v>767</v>
      </c>
      <c r="K233" s="9" t="s">
        <v>759</v>
      </c>
      <c r="L233" s="146" t="str">
        <f>IF(VLOOKUP($A233,Sheet1!$A$3:$AW$699,7,FALSE)="★","x","")</f>
        <v/>
      </c>
      <c r="M233" s="146" t="str">
        <f>IF(VLOOKUP($A233,Sheet1!$A$3:$AW$699,8,FALSE)="▲","x","")</f>
        <v/>
      </c>
      <c r="N233" s="146" t="str">
        <f>IF(VLOOKUP($A233,Sheet1!$A$3:$AW$699,9,FALSE)="●","x","")</f>
        <v/>
      </c>
      <c r="O233" s="146" t="str">
        <f>IF(VLOOKUP($A233,Sheet1!$A$3:$AW$699,10,FALSE)="■","x","")</f>
        <v/>
      </c>
      <c r="P233" s="9" t="str">
        <f>IF(VLOOKUP($A233,Sheet1!$A$3:$AW$699,2,FALSE)="","",VLOOKUP($A233,Sheet1!$A$3:$AW$699,2,FALSE))</f>
        <v>P7.010</v>
      </c>
    </row>
    <row r="234" spans="1:16" ht="20.399999999999999" x14ac:dyDescent="0.3">
      <c r="A234" s="9">
        <v>508</v>
      </c>
      <c r="B234" s="9" t="str">
        <f>IF(VLOOKUP($A234,Sheet1!$A$3:$AW$699,20,FALSE)="","",VLOOKUP($A234,Sheet1!$A$3:$AW$699,20,FALSE))</f>
        <v>PRCmd55Data</v>
      </c>
      <c r="C234" s="9" t="str">
        <f>IF(VLOOKUP($A234,Sheet1!$A$3:$AW$699,25,FALSE)="","",VLOOKUP($A234,Sheet1!$A$3:$AW$699,25,FALSE))</f>
        <v>PR/IO</v>
      </c>
      <c r="D234" s="142">
        <f>IF(VLOOKUP($A234,Sheet1!$A$3:$AW$699,15,FALSE)="","",VLOOKUP($A234,Sheet1!$A$3:$AW$699,15,FALSE))</f>
        <v>-2147483648</v>
      </c>
      <c r="E234" s="142">
        <f>IF(VLOOKUP($A234,Sheet1!$A$3:$AW$699,16,FALSE)="","",VLOOKUP($A234,Sheet1!$A$3:$AW$699,16,FALSE))</f>
        <v>2147483647</v>
      </c>
      <c r="F234" s="142">
        <f>IF(VLOOKUP($A234,Sheet1!$A$3:$AW$699,17,FALSE)="","",VLOOKUP($A234,Sheet1!$A$3:$AW$699,17,FALSE))</f>
        <v>0</v>
      </c>
      <c r="G234" s="142" t="str">
        <f>IF(VLOOKUP($A234,Sheet1!$A$3:$AW$699,18,FALSE)="","",VLOOKUP($A234,Sheet1!$A$3:$AW$699,18,FALSE))</f>
        <v/>
      </c>
      <c r="H234" s="142" t="str">
        <f>IF(VLOOKUP($A234,Sheet1!$A$3:$AW$699,19,FALSE)="","",VLOOKUP($A234,Sheet1!$A$3:$AW$699,19,FALSE))</f>
        <v/>
      </c>
      <c r="I234" s="9" t="str">
        <f>IF(VLOOKUP($A234,Sheet1!$A$3:$AW$699,5,FALSE)="","",VLOOKUP($A234,Sheet1!$A$3:$AW$699,5,FALSE))</f>
        <v>DINT</v>
      </c>
      <c r="J234" s="9" t="s">
        <v>768</v>
      </c>
      <c r="K234" s="9" t="s">
        <v>759</v>
      </c>
      <c r="L234" s="146" t="str">
        <f>IF(VLOOKUP($A234,Sheet1!$A$3:$AW$699,7,FALSE)="★","x","")</f>
        <v/>
      </c>
      <c r="M234" s="146" t="str">
        <f>IF(VLOOKUP($A234,Sheet1!$A$3:$AW$699,8,FALSE)="▲","x","")</f>
        <v/>
      </c>
      <c r="N234" s="146" t="str">
        <f>IF(VLOOKUP($A234,Sheet1!$A$3:$AW$699,9,FALSE)="●","x","")</f>
        <v/>
      </c>
      <c r="O234" s="146" t="str">
        <f>IF(VLOOKUP($A234,Sheet1!$A$3:$AW$699,10,FALSE)="■","x","")</f>
        <v/>
      </c>
      <c r="P234" s="9" t="str">
        <f>IF(VLOOKUP($A234,Sheet1!$A$3:$AW$699,2,FALSE)="","",VLOOKUP($A234,Sheet1!$A$3:$AW$699,2,FALSE))</f>
        <v>P7.011</v>
      </c>
    </row>
    <row r="235" spans="1:16" ht="20.399999999999999" x14ac:dyDescent="0.3">
      <c r="A235" s="9">
        <v>509</v>
      </c>
      <c r="B235" s="9" t="str">
        <f>IF(VLOOKUP($A235,Sheet1!$A$3:$AW$699,20,FALSE)="","",VLOOKUP($A235,Sheet1!$A$3:$AW$699,20,FALSE))</f>
        <v>PRCmd56Setting</v>
      </c>
      <c r="C235" s="9" t="str">
        <f>IF(VLOOKUP($A235,Sheet1!$A$3:$AW$699,25,FALSE)="","",VLOOKUP($A235,Sheet1!$A$3:$AW$699,25,FALSE))</f>
        <v>PR/IO</v>
      </c>
      <c r="D235" s="142" t="str">
        <f>IF(VLOOKUP($A235,Sheet1!$A$3:$AW$699,15,FALSE)="","",VLOOKUP($A235,Sheet1!$A$3:$AW$699,15,FALSE))</f>
        <v>0x00000000</v>
      </c>
      <c r="E235" s="142" t="str">
        <f>IF(VLOOKUP($A235,Sheet1!$A$3:$AW$699,16,FALSE)="","",VLOOKUP($A235,Sheet1!$A$3:$AW$699,16,FALSE))</f>
        <v>0xFFFFFFFF</v>
      </c>
      <c r="F235" s="142" t="str">
        <f>IF(VLOOKUP($A235,Sheet1!$A$3:$AW$699,17,FALSE)="","",VLOOKUP($A235,Sheet1!$A$3:$AW$699,17,FALSE))</f>
        <v>0x00000000</v>
      </c>
      <c r="G235" s="142" t="str">
        <f>IF(VLOOKUP($A235,Sheet1!$A$3:$AW$699,18,FALSE)="","",VLOOKUP($A235,Sheet1!$A$3:$AW$699,18,FALSE))</f>
        <v/>
      </c>
      <c r="H235" s="142" t="str">
        <f>IF(VLOOKUP($A235,Sheet1!$A$3:$AW$699,19,FALSE)="","",VLOOKUP($A235,Sheet1!$A$3:$AW$699,19,FALSE))</f>
        <v/>
      </c>
      <c r="I235" s="9" t="str">
        <f>IF(VLOOKUP($A235,Sheet1!$A$3:$AW$699,5,FALSE)="","",VLOOKUP($A235,Sheet1!$A$3:$AW$699,5,FALSE))</f>
        <v>UDINT</v>
      </c>
      <c r="J235" s="9" t="s">
        <v>769</v>
      </c>
      <c r="K235" s="9" t="s">
        <v>759</v>
      </c>
      <c r="L235" s="146" t="str">
        <f>IF(VLOOKUP($A235,Sheet1!$A$3:$AW$699,7,FALSE)="★","x","")</f>
        <v/>
      </c>
      <c r="M235" s="146" t="str">
        <f>IF(VLOOKUP($A235,Sheet1!$A$3:$AW$699,8,FALSE)="▲","x","")</f>
        <v/>
      </c>
      <c r="N235" s="146" t="str">
        <f>IF(VLOOKUP($A235,Sheet1!$A$3:$AW$699,9,FALSE)="●","x","")</f>
        <v/>
      </c>
      <c r="O235" s="146" t="str">
        <f>IF(VLOOKUP($A235,Sheet1!$A$3:$AW$699,10,FALSE)="■","x","")</f>
        <v/>
      </c>
      <c r="P235" s="9" t="str">
        <f>IF(VLOOKUP($A235,Sheet1!$A$3:$AW$699,2,FALSE)="","",VLOOKUP($A235,Sheet1!$A$3:$AW$699,2,FALSE))</f>
        <v>P7.012</v>
      </c>
    </row>
    <row r="236" spans="1:16" ht="20.399999999999999" x14ac:dyDescent="0.3">
      <c r="A236" s="9">
        <v>510</v>
      </c>
      <c r="B236" s="9" t="str">
        <f>IF(VLOOKUP($A236,Sheet1!$A$3:$AW$699,20,FALSE)="","",VLOOKUP($A236,Sheet1!$A$3:$AW$699,20,FALSE))</f>
        <v>PRCmd56Data</v>
      </c>
      <c r="C236" s="9" t="str">
        <f>IF(VLOOKUP($A236,Sheet1!$A$3:$AW$699,25,FALSE)="","",VLOOKUP($A236,Sheet1!$A$3:$AW$699,25,FALSE))</f>
        <v>PR/IO</v>
      </c>
      <c r="D236" s="142">
        <f>IF(VLOOKUP($A236,Sheet1!$A$3:$AW$699,15,FALSE)="","",VLOOKUP($A236,Sheet1!$A$3:$AW$699,15,FALSE))</f>
        <v>-2147483648</v>
      </c>
      <c r="E236" s="142">
        <f>IF(VLOOKUP($A236,Sheet1!$A$3:$AW$699,16,FALSE)="","",VLOOKUP($A236,Sheet1!$A$3:$AW$699,16,FALSE))</f>
        <v>2147483647</v>
      </c>
      <c r="F236" s="142">
        <f>IF(VLOOKUP($A236,Sheet1!$A$3:$AW$699,17,FALSE)="","",VLOOKUP($A236,Sheet1!$A$3:$AW$699,17,FALSE))</f>
        <v>0</v>
      </c>
      <c r="G236" s="142" t="str">
        <f>IF(VLOOKUP($A236,Sheet1!$A$3:$AW$699,18,FALSE)="","",VLOOKUP($A236,Sheet1!$A$3:$AW$699,18,FALSE))</f>
        <v/>
      </c>
      <c r="H236" s="142" t="str">
        <f>IF(VLOOKUP($A236,Sheet1!$A$3:$AW$699,19,FALSE)="","",VLOOKUP($A236,Sheet1!$A$3:$AW$699,19,FALSE))</f>
        <v/>
      </c>
      <c r="I236" s="9" t="str">
        <f>IF(VLOOKUP($A236,Sheet1!$A$3:$AW$699,5,FALSE)="","",VLOOKUP($A236,Sheet1!$A$3:$AW$699,5,FALSE))</f>
        <v>DINT</v>
      </c>
      <c r="J236" s="9" t="s">
        <v>770</v>
      </c>
      <c r="K236" s="9" t="s">
        <v>759</v>
      </c>
      <c r="L236" s="146" t="str">
        <f>IF(VLOOKUP($A236,Sheet1!$A$3:$AW$699,7,FALSE)="★","x","")</f>
        <v/>
      </c>
      <c r="M236" s="146" t="str">
        <f>IF(VLOOKUP($A236,Sheet1!$A$3:$AW$699,8,FALSE)="▲","x","")</f>
        <v/>
      </c>
      <c r="N236" s="146" t="str">
        <f>IF(VLOOKUP($A236,Sheet1!$A$3:$AW$699,9,FALSE)="●","x","")</f>
        <v/>
      </c>
      <c r="O236" s="146" t="str">
        <f>IF(VLOOKUP($A236,Sheet1!$A$3:$AW$699,10,FALSE)="■","x","")</f>
        <v/>
      </c>
      <c r="P236" s="9" t="str">
        <f>IF(VLOOKUP($A236,Sheet1!$A$3:$AW$699,2,FALSE)="","",VLOOKUP($A236,Sheet1!$A$3:$AW$699,2,FALSE))</f>
        <v>P7.013</v>
      </c>
    </row>
    <row r="237" spans="1:16" ht="20.399999999999999" x14ac:dyDescent="0.3">
      <c r="A237" s="9">
        <v>511</v>
      </c>
      <c r="B237" s="9" t="str">
        <f>IF(VLOOKUP($A237,Sheet1!$A$3:$AW$699,20,FALSE)="","",VLOOKUP($A237,Sheet1!$A$3:$AW$699,20,FALSE))</f>
        <v>PRCmd57Setting</v>
      </c>
      <c r="C237" s="9" t="str">
        <f>IF(VLOOKUP($A237,Sheet1!$A$3:$AW$699,25,FALSE)="","",VLOOKUP($A237,Sheet1!$A$3:$AW$699,25,FALSE))</f>
        <v>PR/IO</v>
      </c>
      <c r="D237" s="142" t="str">
        <f>IF(VLOOKUP($A237,Sheet1!$A$3:$AW$699,15,FALSE)="","",VLOOKUP($A237,Sheet1!$A$3:$AW$699,15,FALSE))</f>
        <v>0x00000000</v>
      </c>
      <c r="E237" s="142" t="str">
        <f>IF(VLOOKUP($A237,Sheet1!$A$3:$AW$699,16,FALSE)="","",VLOOKUP($A237,Sheet1!$A$3:$AW$699,16,FALSE))</f>
        <v>0xFFFFFFFF</v>
      </c>
      <c r="F237" s="142" t="str">
        <f>IF(VLOOKUP($A237,Sheet1!$A$3:$AW$699,17,FALSE)="","",VLOOKUP($A237,Sheet1!$A$3:$AW$699,17,FALSE))</f>
        <v>0x00000000</v>
      </c>
      <c r="G237" s="142" t="str">
        <f>IF(VLOOKUP($A237,Sheet1!$A$3:$AW$699,18,FALSE)="","",VLOOKUP($A237,Sheet1!$A$3:$AW$699,18,FALSE))</f>
        <v/>
      </c>
      <c r="H237" s="142" t="str">
        <f>IF(VLOOKUP($A237,Sheet1!$A$3:$AW$699,19,FALSE)="","",VLOOKUP($A237,Sheet1!$A$3:$AW$699,19,FALSE))</f>
        <v/>
      </c>
      <c r="I237" s="9" t="str">
        <f>IF(VLOOKUP($A237,Sheet1!$A$3:$AW$699,5,FALSE)="","",VLOOKUP($A237,Sheet1!$A$3:$AW$699,5,FALSE))</f>
        <v>UDINT</v>
      </c>
      <c r="J237" s="9" t="s">
        <v>771</v>
      </c>
      <c r="K237" s="9" t="s">
        <v>759</v>
      </c>
      <c r="L237" s="146" t="str">
        <f>IF(VLOOKUP($A237,Sheet1!$A$3:$AW$699,7,FALSE)="★","x","")</f>
        <v/>
      </c>
      <c r="M237" s="146" t="str">
        <f>IF(VLOOKUP($A237,Sheet1!$A$3:$AW$699,8,FALSE)="▲","x","")</f>
        <v/>
      </c>
      <c r="N237" s="146" t="str">
        <f>IF(VLOOKUP($A237,Sheet1!$A$3:$AW$699,9,FALSE)="●","x","")</f>
        <v/>
      </c>
      <c r="O237" s="146" t="str">
        <f>IF(VLOOKUP($A237,Sheet1!$A$3:$AW$699,10,FALSE)="■","x","")</f>
        <v/>
      </c>
      <c r="P237" s="9" t="str">
        <f>IF(VLOOKUP($A237,Sheet1!$A$3:$AW$699,2,FALSE)="","",VLOOKUP($A237,Sheet1!$A$3:$AW$699,2,FALSE))</f>
        <v>P7.014</v>
      </c>
    </row>
    <row r="238" spans="1:16" ht="20.399999999999999" x14ac:dyDescent="0.3">
      <c r="A238" s="9">
        <v>512</v>
      </c>
      <c r="B238" s="9" t="str">
        <f>IF(VLOOKUP($A238,Sheet1!$A$3:$AW$699,20,FALSE)="","",VLOOKUP($A238,Sheet1!$A$3:$AW$699,20,FALSE))</f>
        <v>PRCmd57Data</v>
      </c>
      <c r="C238" s="9" t="str">
        <f>IF(VLOOKUP($A238,Sheet1!$A$3:$AW$699,25,FALSE)="","",VLOOKUP($A238,Sheet1!$A$3:$AW$699,25,FALSE))</f>
        <v>PR/IO</v>
      </c>
      <c r="D238" s="142">
        <f>IF(VLOOKUP($A238,Sheet1!$A$3:$AW$699,15,FALSE)="","",VLOOKUP($A238,Sheet1!$A$3:$AW$699,15,FALSE))</f>
        <v>-2147483648</v>
      </c>
      <c r="E238" s="142">
        <f>IF(VLOOKUP($A238,Sheet1!$A$3:$AW$699,16,FALSE)="","",VLOOKUP($A238,Sheet1!$A$3:$AW$699,16,FALSE))</f>
        <v>2147483647</v>
      </c>
      <c r="F238" s="142">
        <f>IF(VLOOKUP($A238,Sheet1!$A$3:$AW$699,17,FALSE)="","",VLOOKUP($A238,Sheet1!$A$3:$AW$699,17,FALSE))</f>
        <v>0</v>
      </c>
      <c r="G238" s="142" t="str">
        <f>IF(VLOOKUP($A238,Sheet1!$A$3:$AW$699,18,FALSE)="","",VLOOKUP($A238,Sheet1!$A$3:$AW$699,18,FALSE))</f>
        <v/>
      </c>
      <c r="H238" s="142" t="str">
        <f>IF(VLOOKUP($A238,Sheet1!$A$3:$AW$699,19,FALSE)="","",VLOOKUP($A238,Sheet1!$A$3:$AW$699,19,FALSE))</f>
        <v/>
      </c>
      <c r="I238" s="9" t="str">
        <f>IF(VLOOKUP($A238,Sheet1!$A$3:$AW$699,5,FALSE)="","",VLOOKUP($A238,Sheet1!$A$3:$AW$699,5,FALSE))</f>
        <v>DINT</v>
      </c>
      <c r="J238" s="9" t="s">
        <v>772</v>
      </c>
      <c r="K238" s="9" t="s">
        <v>759</v>
      </c>
      <c r="L238" s="146" t="str">
        <f>IF(VLOOKUP($A238,Sheet1!$A$3:$AW$699,7,FALSE)="★","x","")</f>
        <v/>
      </c>
      <c r="M238" s="146" t="str">
        <f>IF(VLOOKUP($A238,Sheet1!$A$3:$AW$699,8,FALSE)="▲","x","")</f>
        <v/>
      </c>
      <c r="N238" s="146" t="str">
        <f>IF(VLOOKUP($A238,Sheet1!$A$3:$AW$699,9,FALSE)="●","x","")</f>
        <v/>
      </c>
      <c r="O238" s="146" t="str">
        <f>IF(VLOOKUP($A238,Sheet1!$A$3:$AW$699,10,FALSE)="■","x","")</f>
        <v/>
      </c>
      <c r="P238" s="9" t="str">
        <f>IF(VLOOKUP($A238,Sheet1!$A$3:$AW$699,2,FALSE)="","",VLOOKUP($A238,Sheet1!$A$3:$AW$699,2,FALSE))</f>
        <v>P7.015</v>
      </c>
    </row>
    <row r="239" spans="1:16" ht="20.399999999999999" x14ac:dyDescent="0.3">
      <c r="A239" s="9">
        <v>513</v>
      </c>
      <c r="B239" s="9" t="str">
        <f>IF(VLOOKUP($A239,Sheet1!$A$3:$AW$699,20,FALSE)="","",VLOOKUP($A239,Sheet1!$A$3:$AW$699,20,FALSE))</f>
        <v>PRCmd58Setting</v>
      </c>
      <c r="C239" s="9" t="str">
        <f>IF(VLOOKUP($A239,Sheet1!$A$3:$AW$699,25,FALSE)="","",VLOOKUP($A239,Sheet1!$A$3:$AW$699,25,FALSE))</f>
        <v>PR/IO</v>
      </c>
      <c r="D239" s="142" t="str">
        <f>IF(VLOOKUP($A239,Sheet1!$A$3:$AW$699,15,FALSE)="","",VLOOKUP($A239,Sheet1!$A$3:$AW$699,15,FALSE))</f>
        <v>0x00000000</v>
      </c>
      <c r="E239" s="142" t="str">
        <f>IF(VLOOKUP($A239,Sheet1!$A$3:$AW$699,16,FALSE)="","",VLOOKUP($A239,Sheet1!$A$3:$AW$699,16,FALSE))</f>
        <v>0xFFFFFFFF</v>
      </c>
      <c r="F239" s="142" t="str">
        <f>IF(VLOOKUP($A239,Sheet1!$A$3:$AW$699,17,FALSE)="","",VLOOKUP($A239,Sheet1!$A$3:$AW$699,17,FALSE))</f>
        <v>0x00000000</v>
      </c>
      <c r="G239" s="142" t="str">
        <f>IF(VLOOKUP($A239,Sheet1!$A$3:$AW$699,18,FALSE)="","",VLOOKUP($A239,Sheet1!$A$3:$AW$699,18,FALSE))</f>
        <v/>
      </c>
      <c r="H239" s="142" t="str">
        <f>IF(VLOOKUP($A239,Sheet1!$A$3:$AW$699,19,FALSE)="","",VLOOKUP($A239,Sheet1!$A$3:$AW$699,19,FALSE))</f>
        <v/>
      </c>
      <c r="I239" s="9" t="str">
        <f>IF(VLOOKUP($A239,Sheet1!$A$3:$AW$699,5,FALSE)="","",VLOOKUP($A239,Sheet1!$A$3:$AW$699,5,FALSE))</f>
        <v>UDINT</v>
      </c>
      <c r="J239" s="9" t="s">
        <v>773</v>
      </c>
      <c r="K239" s="9" t="s">
        <v>759</v>
      </c>
      <c r="L239" s="146" t="str">
        <f>IF(VLOOKUP($A239,Sheet1!$A$3:$AW$699,7,FALSE)="★","x","")</f>
        <v/>
      </c>
      <c r="M239" s="146" t="str">
        <f>IF(VLOOKUP($A239,Sheet1!$A$3:$AW$699,8,FALSE)="▲","x","")</f>
        <v/>
      </c>
      <c r="N239" s="146" t="str">
        <f>IF(VLOOKUP($A239,Sheet1!$A$3:$AW$699,9,FALSE)="●","x","")</f>
        <v/>
      </c>
      <c r="O239" s="146" t="str">
        <f>IF(VLOOKUP($A239,Sheet1!$A$3:$AW$699,10,FALSE)="■","x","")</f>
        <v/>
      </c>
      <c r="P239" s="9" t="str">
        <f>IF(VLOOKUP($A239,Sheet1!$A$3:$AW$699,2,FALSE)="","",VLOOKUP($A239,Sheet1!$A$3:$AW$699,2,FALSE))</f>
        <v>P7.016</v>
      </c>
    </row>
    <row r="240" spans="1:16" ht="20.399999999999999" x14ac:dyDescent="0.3">
      <c r="A240" s="9">
        <v>514</v>
      </c>
      <c r="B240" s="9" t="str">
        <f>IF(VLOOKUP($A240,Sheet1!$A$3:$AW$699,20,FALSE)="","",VLOOKUP($A240,Sheet1!$A$3:$AW$699,20,FALSE))</f>
        <v>PRCmd58Data</v>
      </c>
      <c r="C240" s="9" t="str">
        <f>IF(VLOOKUP($A240,Sheet1!$A$3:$AW$699,25,FALSE)="","",VLOOKUP($A240,Sheet1!$A$3:$AW$699,25,FALSE))</f>
        <v>PR/IO</v>
      </c>
      <c r="D240" s="142">
        <f>IF(VLOOKUP($A240,Sheet1!$A$3:$AW$699,15,FALSE)="","",VLOOKUP($A240,Sheet1!$A$3:$AW$699,15,FALSE))</f>
        <v>-2147483648</v>
      </c>
      <c r="E240" s="142">
        <f>IF(VLOOKUP($A240,Sheet1!$A$3:$AW$699,16,FALSE)="","",VLOOKUP($A240,Sheet1!$A$3:$AW$699,16,FALSE))</f>
        <v>2147483647</v>
      </c>
      <c r="F240" s="142">
        <f>IF(VLOOKUP($A240,Sheet1!$A$3:$AW$699,17,FALSE)="","",VLOOKUP($A240,Sheet1!$A$3:$AW$699,17,FALSE))</f>
        <v>0</v>
      </c>
      <c r="G240" s="142" t="str">
        <f>IF(VLOOKUP($A240,Sheet1!$A$3:$AW$699,18,FALSE)="","",VLOOKUP($A240,Sheet1!$A$3:$AW$699,18,FALSE))</f>
        <v/>
      </c>
      <c r="H240" s="142" t="str">
        <f>IF(VLOOKUP($A240,Sheet1!$A$3:$AW$699,19,FALSE)="","",VLOOKUP($A240,Sheet1!$A$3:$AW$699,19,FALSE))</f>
        <v/>
      </c>
      <c r="I240" s="9" t="str">
        <f>IF(VLOOKUP($A240,Sheet1!$A$3:$AW$699,5,FALSE)="","",VLOOKUP($A240,Sheet1!$A$3:$AW$699,5,FALSE))</f>
        <v>DINT</v>
      </c>
      <c r="J240" s="9" t="s">
        <v>774</v>
      </c>
      <c r="K240" s="9" t="s">
        <v>759</v>
      </c>
      <c r="L240" s="146" t="str">
        <f>IF(VLOOKUP($A240,Sheet1!$A$3:$AW$699,7,FALSE)="★","x","")</f>
        <v/>
      </c>
      <c r="M240" s="146" t="str">
        <f>IF(VLOOKUP($A240,Sheet1!$A$3:$AW$699,8,FALSE)="▲","x","")</f>
        <v/>
      </c>
      <c r="N240" s="146" t="str">
        <f>IF(VLOOKUP($A240,Sheet1!$A$3:$AW$699,9,FALSE)="●","x","")</f>
        <v/>
      </c>
      <c r="O240" s="146" t="str">
        <f>IF(VLOOKUP($A240,Sheet1!$A$3:$AW$699,10,FALSE)="■","x","")</f>
        <v/>
      </c>
      <c r="P240" s="9" t="str">
        <f>IF(VLOOKUP($A240,Sheet1!$A$3:$AW$699,2,FALSE)="","",VLOOKUP($A240,Sheet1!$A$3:$AW$699,2,FALSE))</f>
        <v>P7.017</v>
      </c>
    </row>
    <row r="241" spans="1:16" ht="20.399999999999999" x14ac:dyDescent="0.3">
      <c r="A241" s="9">
        <v>515</v>
      </c>
      <c r="B241" s="9" t="str">
        <f>IF(VLOOKUP($A241,Sheet1!$A$3:$AW$699,20,FALSE)="","",VLOOKUP($A241,Sheet1!$A$3:$AW$699,20,FALSE))</f>
        <v>PRCmd59Setting</v>
      </c>
      <c r="C241" s="9" t="str">
        <f>IF(VLOOKUP($A241,Sheet1!$A$3:$AW$699,25,FALSE)="","",VLOOKUP($A241,Sheet1!$A$3:$AW$699,25,FALSE))</f>
        <v>PR/IO</v>
      </c>
      <c r="D241" s="142" t="str">
        <f>IF(VLOOKUP($A241,Sheet1!$A$3:$AW$699,15,FALSE)="","",VLOOKUP($A241,Sheet1!$A$3:$AW$699,15,FALSE))</f>
        <v>0x00000000</v>
      </c>
      <c r="E241" s="142" t="str">
        <f>IF(VLOOKUP($A241,Sheet1!$A$3:$AW$699,16,FALSE)="","",VLOOKUP($A241,Sheet1!$A$3:$AW$699,16,FALSE))</f>
        <v>0xFFFFFFFF</v>
      </c>
      <c r="F241" s="142" t="str">
        <f>IF(VLOOKUP($A241,Sheet1!$A$3:$AW$699,17,FALSE)="","",VLOOKUP($A241,Sheet1!$A$3:$AW$699,17,FALSE))</f>
        <v>0x00000000</v>
      </c>
      <c r="G241" s="142" t="str">
        <f>IF(VLOOKUP($A241,Sheet1!$A$3:$AW$699,18,FALSE)="","",VLOOKUP($A241,Sheet1!$A$3:$AW$699,18,FALSE))</f>
        <v/>
      </c>
      <c r="H241" s="142" t="str">
        <f>IF(VLOOKUP($A241,Sheet1!$A$3:$AW$699,19,FALSE)="","",VLOOKUP($A241,Sheet1!$A$3:$AW$699,19,FALSE))</f>
        <v/>
      </c>
      <c r="I241" s="9" t="str">
        <f>IF(VLOOKUP($A241,Sheet1!$A$3:$AW$699,5,FALSE)="","",VLOOKUP($A241,Sheet1!$A$3:$AW$699,5,FALSE))</f>
        <v>UDINT</v>
      </c>
      <c r="J241" s="9" t="s">
        <v>775</v>
      </c>
      <c r="K241" s="9" t="s">
        <v>759</v>
      </c>
      <c r="L241" s="146" t="str">
        <f>IF(VLOOKUP($A241,Sheet1!$A$3:$AW$699,7,FALSE)="★","x","")</f>
        <v/>
      </c>
      <c r="M241" s="146" t="str">
        <f>IF(VLOOKUP($A241,Sheet1!$A$3:$AW$699,8,FALSE)="▲","x","")</f>
        <v/>
      </c>
      <c r="N241" s="146" t="str">
        <f>IF(VLOOKUP($A241,Sheet1!$A$3:$AW$699,9,FALSE)="●","x","")</f>
        <v/>
      </c>
      <c r="O241" s="146" t="str">
        <f>IF(VLOOKUP($A241,Sheet1!$A$3:$AW$699,10,FALSE)="■","x","")</f>
        <v/>
      </c>
      <c r="P241" s="9" t="str">
        <f>IF(VLOOKUP($A241,Sheet1!$A$3:$AW$699,2,FALSE)="","",VLOOKUP($A241,Sheet1!$A$3:$AW$699,2,FALSE))</f>
        <v>P7.018</v>
      </c>
    </row>
    <row r="242" spans="1:16" ht="20.399999999999999" x14ac:dyDescent="0.3">
      <c r="A242" s="9">
        <v>516</v>
      </c>
      <c r="B242" s="9" t="str">
        <f>IF(VLOOKUP($A242,Sheet1!$A$3:$AW$699,20,FALSE)="","",VLOOKUP($A242,Sheet1!$A$3:$AW$699,20,FALSE))</f>
        <v>PRCmd59Data</v>
      </c>
      <c r="C242" s="9" t="str">
        <f>IF(VLOOKUP($A242,Sheet1!$A$3:$AW$699,25,FALSE)="","",VLOOKUP($A242,Sheet1!$A$3:$AW$699,25,FALSE))</f>
        <v>PR/IO</v>
      </c>
      <c r="D242" s="142">
        <f>IF(VLOOKUP($A242,Sheet1!$A$3:$AW$699,15,FALSE)="","",VLOOKUP($A242,Sheet1!$A$3:$AW$699,15,FALSE))</f>
        <v>-2147483648</v>
      </c>
      <c r="E242" s="142">
        <f>IF(VLOOKUP($A242,Sheet1!$A$3:$AW$699,16,FALSE)="","",VLOOKUP($A242,Sheet1!$A$3:$AW$699,16,FALSE))</f>
        <v>2147483647</v>
      </c>
      <c r="F242" s="142">
        <f>IF(VLOOKUP($A242,Sheet1!$A$3:$AW$699,17,FALSE)="","",VLOOKUP($A242,Sheet1!$A$3:$AW$699,17,FALSE))</f>
        <v>0</v>
      </c>
      <c r="G242" s="142" t="str">
        <f>IF(VLOOKUP($A242,Sheet1!$A$3:$AW$699,18,FALSE)="","",VLOOKUP($A242,Sheet1!$A$3:$AW$699,18,FALSE))</f>
        <v/>
      </c>
      <c r="H242" s="142" t="str">
        <f>IF(VLOOKUP($A242,Sheet1!$A$3:$AW$699,19,FALSE)="","",VLOOKUP($A242,Sheet1!$A$3:$AW$699,19,FALSE))</f>
        <v/>
      </c>
      <c r="I242" s="9" t="str">
        <f>IF(VLOOKUP($A242,Sheet1!$A$3:$AW$699,5,FALSE)="","",VLOOKUP($A242,Sheet1!$A$3:$AW$699,5,FALSE))</f>
        <v>DINT</v>
      </c>
      <c r="J242" s="9" t="s">
        <v>776</v>
      </c>
      <c r="K242" s="9" t="s">
        <v>759</v>
      </c>
      <c r="L242" s="146" t="str">
        <f>IF(VLOOKUP($A242,Sheet1!$A$3:$AW$699,7,FALSE)="★","x","")</f>
        <v/>
      </c>
      <c r="M242" s="146" t="str">
        <f>IF(VLOOKUP($A242,Sheet1!$A$3:$AW$699,8,FALSE)="▲","x","")</f>
        <v/>
      </c>
      <c r="N242" s="146" t="str">
        <f>IF(VLOOKUP($A242,Sheet1!$A$3:$AW$699,9,FALSE)="●","x","")</f>
        <v/>
      </c>
      <c r="O242" s="146" t="str">
        <f>IF(VLOOKUP($A242,Sheet1!$A$3:$AW$699,10,FALSE)="■","x","")</f>
        <v/>
      </c>
      <c r="P242" s="9" t="str">
        <f>IF(VLOOKUP($A242,Sheet1!$A$3:$AW$699,2,FALSE)="","",VLOOKUP($A242,Sheet1!$A$3:$AW$699,2,FALSE))</f>
        <v>P7.019</v>
      </c>
    </row>
    <row r="243" spans="1:16" ht="20.399999999999999" x14ac:dyDescent="0.3">
      <c r="A243" s="9">
        <v>517</v>
      </c>
      <c r="B243" s="9" t="str">
        <f>IF(VLOOKUP($A243,Sheet1!$A$3:$AW$699,20,FALSE)="","",VLOOKUP($A243,Sheet1!$A$3:$AW$699,20,FALSE))</f>
        <v>PRCmd60Setting</v>
      </c>
      <c r="C243" s="9" t="str">
        <f>IF(VLOOKUP($A243,Sheet1!$A$3:$AW$699,25,FALSE)="","",VLOOKUP($A243,Sheet1!$A$3:$AW$699,25,FALSE))</f>
        <v>PR/IO</v>
      </c>
      <c r="D243" s="142" t="str">
        <f>IF(VLOOKUP($A243,Sheet1!$A$3:$AW$699,15,FALSE)="","",VLOOKUP($A243,Sheet1!$A$3:$AW$699,15,FALSE))</f>
        <v>0x00000000</v>
      </c>
      <c r="E243" s="142" t="str">
        <f>IF(VLOOKUP($A243,Sheet1!$A$3:$AW$699,16,FALSE)="","",VLOOKUP($A243,Sheet1!$A$3:$AW$699,16,FALSE))</f>
        <v>0xFFFFFFFF</v>
      </c>
      <c r="F243" s="142" t="str">
        <f>IF(VLOOKUP($A243,Sheet1!$A$3:$AW$699,17,FALSE)="","",VLOOKUP($A243,Sheet1!$A$3:$AW$699,17,FALSE))</f>
        <v>0x00000000</v>
      </c>
      <c r="G243" s="142" t="str">
        <f>IF(VLOOKUP($A243,Sheet1!$A$3:$AW$699,18,FALSE)="","",VLOOKUP($A243,Sheet1!$A$3:$AW$699,18,FALSE))</f>
        <v/>
      </c>
      <c r="H243" s="142" t="str">
        <f>IF(VLOOKUP($A243,Sheet1!$A$3:$AW$699,19,FALSE)="","",VLOOKUP($A243,Sheet1!$A$3:$AW$699,19,FALSE))</f>
        <v/>
      </c>
      <c r="I243" s="9" t="str">
        <f>IF(VLOOKUP($A243,Sheet1!$A$3:$AW$699,5,FALSE)="","",VLOOKUP($A243,Sheet1!$A$3:$AW$699,5,FALSE))</f>
        <v>UDINT</v>
      </c>
      <c r="J243" s="9" t="s">
        <v>777</v>
      </c>
      <c r="K243" s="9" t="s">
        <v>759</v>
      </c>
      <c r="L243" s="146" t="str">
        <f>IF(VLOOKUP($A243,Sheet1!$A$3:$AW$699,7,FALSE)="★","x","")</f>
        <v/>
      </c>
      <c r="M243" s="146" t="str">
        <f>IF(VLOOKUP($A243,Sheet1!$A$3:$AW$699,8,FALSE)="▲","x","")</f>
        <v/>
      </c>
      <c r="N243" s="146" t="str">
        <f>IF(VLOOKUP($A243,Sheet1!$A$3:$AW$699,9,FALSE)="●","x","")</f>
        <v/>
      </c>
      <c r="O243" s="146" t="str">
        <f>IF(VLOOKUP($A243,Sheet1!$A$3:$AW$699,10,FALSE)="■","x","")</f>
        <v/>
      </c>
      <c r="P243" s="9" t="str">
        <f>IF(VLOOKUP($A243,Sheet1!$A$3:$AW$699,2,FALSE)="","",VLOOKUP($A243,Sheet1!$A$3:$AW$699,2,FALSE))</f>
        <v>P7.020</v>
      </c>
    </row>
    <row r="244" spans="1:16" ht="20.399999999999999" x14ac:dyDescent="0.3">
      <c r="A244" s="9">
        <v>518</v>
      </c>
      <c r="B244" s="9" t="str">
        <f>IF(VLOOKUP($A244,Sheet1!$A$3:$AW$699,20,FALSE)="","",VLOOKUP($A244,Sheet1!$A$3:$AW$699,20,FALSE))</f>
        <v>PRCmd60Data</v>
      </c>
      <c r="C244" s="9" t="str">
        <f>IF(VLOOKUP($A244,Sheet1!$A$3:$AW$699,25,FALSE)="","",VLOOKUP($A244,Sheet1!$A$3:$AW$699,25,FALSE))</f>
        <v>PR/IO</v>
      </c>
      <c r="D244" s="142">
        <f>IF(VLOOKUP($A244,Sheet1!$A$3:$AW$699,15,FALSE)="","",VLOOKUP($A244,Sheet1!$A$3:$AW$699,15,FALSE))</f>
        <v>-2147483648</v>
      </c>
      <c r="E244" s="142">
        <f>IF(VLOOKUP($A244,Sheet1!$A$3:$AW$699,16,FALSE)="","",VLOOKUP($A244,Sheet1!$A$3:$AW$699,16,FALSE))</f>
        <v>2147483647</v>
      </c>
      <c r="F244" s="142">
        <f>IF(VLOOKUP($A244,Sheet1!$A$3:$AW$699,17,FALSE)="","",VLOOKUP($A244,Sheet1!$A$3:$AW$699,17,FALSE))</f>
        <v>0</v>
      </c>
      <c r="G244" s="142" t="str">
        <f>IF(VLOOKUP($A244,Sheet1!$A$3:$AW$699,18,FALSE)="","",VLOOKUP($A244,Sheet1!$A$3:$AW$699,18,FALSE))</f>
        <v/>
      </c>
      <c r="H244" s="142" t="str">
        <f>IF(VLOOKUP($A244,Sheet1!$A$3:$AW$699,19,FALSE)="","",VLOOKUP($A244,Sheet1!$A$3:$AW$699,19,FALSE))</f>
        <v/>
      </c>
      <c r="I244" s="9" t="str">
        <f>IF(VLOOKUP($A244,Sheet1!$A$3:$AW$699,5,FALSE)="","",VLOOKUP($A244,Sheet1!$A$3:$AW$699,5,FALSE))</f>
        <v>DINT</v>
      </c>
      <c r="J244" s="9" t="s">
        <v>778</v>
      </c>
      <c r="K244" s="9" t="s">
        <v>759</v>
      </c>
      <c r="L244" s="146" t="str">
        <f>IF(VLOOKUP($A244,Sheet1!$A$3:$AW$699,7,FALSE)="★","x","")</f>
        <v/>
      </c>
      <c r="M244" s="146" t="str">
        <f>IF(VLOOKUP($A244,Sheet1!$A$3:$AW$699,8,FALSE)="▲","x","")</f>
        <v/>
      </c>
      <c r="N244" s="146" t="str">
        <f>IF(VLOOKUP($A244,Sheet1!$A$3:$AW$699,9,FALSE)="●","x","")</f>
        <v/>
      </c>
      <c r="O244" s="146" t="str">
        <f>IF(VLOOKUP($A244,Sheet1!$A$3:$AW$699,10,FALSE)="■","x","")</f>
        <v/>
      </c>
      <c r="P244" s="9" t="str">
        <f>IF(VLOOKUP($A244,Sheet1!$A$3:$AW$699,2,FALSE)="","",VLOOKUP($A244,Sheet1!$A$3:$AW$699,2,FALSE))</f>
        <v>P7.021</v>
      </c>
    </row>
    <row r="245" spans="1:16" ht="20.399999999999999" x14ac:dyDescent="0.3">
      <c r="A245" s="9">
        <v>519</v>
      </c>
      <c r="B245" s="9" t="str">
        <f>IF(VLOOKUP($A245,Sheet1!$A$3:$AW$699,20,FALSE)="","",VLOOKUP($A245,Sheet1!$A$3:$AW$699,20,FALSE))</f>
        <v>PRCmd61Setting</v>
      </c>
      <c r="C245" s="9" t="str">
        <f>IF(VLOOKUP($A245,Sheet1!$A$3:$AW$699,25,FALSE)="","",VLOOKUP($A245,Sheet1!$A$3:$AW$699,25,FALSE))</f>
        <v>PR/IO</v>
      </c>
      <c r="D245" s="142" t="str">
        <f>IF(VLOOKUP($A245,Sheet1!$A$3:$AW$699,15,FALSE)="","",VLOOKUP($A245,Sheet1!$A$3:$AW$699,15,FALSE))</f>
        <v>0x00000000</v>
      </c>
      <c r="E245" s="142" t="str">
        <f>IF(VLOOKUP($A245,Sheet1!$A$3:$AW$699,16,FALSE)="","",VLOOKUP($A245,Sheet1!$A$3:$AW$699,16,FALSE))</f>
        <v>0xFFFFFFFF</v>
      </c>
      <c r="F245" s="142" t="str">
        <f>IF(VLOOKUP($A245,Sheet1!$A$3:$AW$699,17,FALSE)="","",VLOOKUP($A245,Sheet1!$A$3:$AW$699,17,FALSE))</f>
        <v>0x00000000</v>
      </c>
      <c r="G245" s="142" t="str">
        <f>IF(VLOOKUP($A245,Sheet1!$A$3:$AW$699,18,FALSE)="","",VLOOKUP($A245,Sheet1!$A$3:$AW$699,18,FALSE))</f>
        <v/>
      </c>
      <c r="H245" s="142" t="str">
        <f>IF(VLOOKUP($A245,Sheet1!$A$3:$AW$699,19,FALSE)="","",VLOOKUP($A245,Sheet1!$A$3:$AW$699,19,FALSE))</f>
        <v/>
      </c>
      <c r="I245" s="9" t="str">
        <f>IF(VLOOKUP($A245,Sheet1!$A$3:$AW$699,5,FALSE)="","",VLOOKUP($A245,Sheet1!$A$3:$AW$699,5,FALSE))</f>
        <v>UDINT</v>
      </c>
      <c r="J245" s="9" t="s">
        <v>779</v>
      </c>
      <c r="K245" s="9" t="s">
        <v>759</v>
      </c>
      <c r="L245" s="146" t="str">
        <f>IF(VLOOKUP($A245,Sheet1!$A$3:$AW$699,7,FALSE)="★","x","")</f>
        <v/>
      </c>
      <c r="M245" s="146" t="str">
        <f>IF(VLOOKUP($A245,Sheet1!$A$3:$AW$699,8,FALSE)="▲","x","")</f>
        <v/>
      </c>
      <c r="N245" s="146" t="str">
        <f>IF(VLOOKUP($A245,Sheet1!$A$3:$AW$699,9,FALSE)="●","x","")</f>
        <v/>
      </c>
      <c r="O245" s="146" t="str">
        <f>IF(VLOOKUP($A245,Sheet1!$A$3:$AW$699,10,FALSE)="■","x","")</f>
        <v/>
      </c>
      <c r="P245" s="9" t="str">
        <f>IF(VLOOKUP($A245,Sheet1!$A$3:$AW$699,2,FALSE)="","",VLOOKUP($A245,Sheet1!$A$3:$AW$699,2,FALSE))</f>
        <v>P7.022</v>
      </c>
    </row>
    <row r="246" spans="1:16" ht="20.399999999999999" x14ac:dyDescent="0.3">
      <c r="A246" s="9">
        <v>520</v>
      </c>
      <c r="B246" s="9" t="str">
        <f>IF(VLOOKUP($A246,Sheet1!$A$3:$AW$699,20,FALSE)="","",VLOOKUP($A246,Sheet1!$A$3:$AW$699,20,FALSE))</f>
        <v>PRCmd61Data</v>
      </c>
      <c r="C246" s="9" t="str">
        <f>IF(VLOOKUP($A246,Sheet1!$A$3:$AW$699,25,FALSE)="","",VLOOKUP($A246,Sheet1!$A$3:$AW$699,25,FALSE))</f>
        <v>PR/IO</v>
      </c>
      <c r="D246" s="142">
        <f>IF(VLOOKUP($A246,Sheet1!$A$3:$AW$699,15,FALSE)="","",VLOOKUP($A246,Sheet1!$A$3:$AW$699,15,FALSE))</f>
        <v>-2147483648</v>
      </c>
      <c r="E246" s="142">
        <f>IF(VLOOKUP($A246,Sheet1!$A$3:$AW$699,16,FALSE)="","",VLOOKUP($A246,Sheet1!$A$3:$AW$699,16,FALSE))</f>
        <v>2147483647</v>
      </c>
      <c r="F246" s="142">
        <f>IF(VLOOKUP($A246,Sheet1!$A$3:$AW$699,17,FALSE)="","",VLOOKUP($A246,Sheet1!$A$3:$AW$699,17,FALSE))</f>
        <v>0</v>
      </c>
      <c r="G246" s="142" t="str">
        <f>IF(VLOOKUP($A246,Sheet1!$A$3:$AW$699,18,FALSE)="","",VLOOKUP($A246,Sheet1!$A$3:$AW$699,18,FALSE))</f>
        <v/>
      </c>
      <c r="H246" s="142" t="str">
        <f>IF(VLOOKUP($A246,Sheet1!$A$3:$AW$699,19,FALSE)="","",VLOOKUP($A246,Sheet1!$A$3:$AW$699,19,FALSE))</f>
        <v/>
      </c>
      <c r="I246" s="9" t="str">
        <f>IF(VLOOKUP($A246,Sheet1!$A$3:$AW$699,5,FALSE)="","",VLOOKUP($A246,Sheet1!$A$3:$AW$699,5,FALSE))</f>
        <v>DINT</v>
      </c>
      <c r="J246" s="9" t="s">
        <v>780</v>
      </c>
      <c r="K246" s="9" t="s">
        <v>759</v>
      </c>
      <c r="L246" s="146" t="str">
        <f>IF(VLOOKUP($A246,Sheet1!$A$3:$AW$699,7,FALSE)="★","x","")</f>
        <v/>
      </c>
      <c r="M246" s="146" t="str">
        <f>IF(VLOOKUP($A246,Sheet1!$A$3:$AW$699,8,FALSE)="▲","x","")</f>
        <v/>
      </c>
      <c r="N246" s="146" t="str">
        <f>IF(VLOOKUP($A246,Sheet1!$A$3:$AW$699,9,FALSE)="●","x","")</f>
        <v/>
      </c>
      <c r="O246" s="146" t="str">
        <f>IF(VLOOKUP($A246,Sheet1!$A$3:$AW$699,10,FALSE)="■","x","")</f>
        <v/>
      </c>
      <c r="P246" s="9" t="str">
        <f>IF(VLOOKUP($A246,Sheet1!$A$3:$AW$699,2,FALSE)="","",VLOOKUP($A246,Sheet1!$A$3:$AW$699,2,FALSE))</f>
        <v>P7.023</v>
      </c>
    </row>
    <row r="247" spans="1:16" ht="20.399999999999999" x14ac:dyDescent="0.3">
      <c r="A247" s="9">
        <v>521</v>
      </c>
      <c r="B247" s="9" t="str">
        <f>IF(VLOOKUP($A247,Sheet1!$A$3:$AW$699,20,FALSE)="","",VLOOKUP($A247,Sheet1!$A$3:$AW$699,20,FALSE))</f>
        <v>PRCmd62Setting</v>
      </c>
      <c r="C247" s="9" t="str">
        <f>IF(VLOOKUP($A247,Sheet1!$A$3:$AW$699,25,FALSE)="","",VLOOKUP($A247,Sheet1!$A$3:$AW$699,25,FALSE))</f>
        <v>PR/IO</v>
      </c>
      <c r="D247" s="142" t="str">
        <f>IF(VLOOKUP($A247,Sheet1!$A$3:$AW$699,15,FALSE)="","",VLOOKUP($A247,Sheet1!$A$3:$AW$699,15,FALSE))</f>
        <v>0x00000000</v>
      </c>
      <c r="E247" s="142" t="str">
        <f>IF(VLOOKUP($A247,Sheet1!$A$3:$AW$699,16,FALSE)="","",VLOOKUP($A247,Sheet1!$A$3:$AW$699,16,FALSE))</f>
        <v>0xFFFFFFFF</v>
      </c>
      <c r="F247" s="142" t="str">
        <f>IF(VLOOKUP($A247,Sheet1!$A$3:$AW$699,17,FALSE)="","",VLOOKUP($A247,Sheet1!$A$3:$AW$699,17,FALSE))</f>
        <v>0x00000000</v>
      </c>
      <c r="G247" s="142" t="str">
        <f>IF(VLOOKUP($A247,Sheet1!$A$3:$AW$699,18,FALSE)="","",VLOOKUP($A247,Sheet1!$A$3:$AW$699,18,FALSE))</f>
        <v/>
      </c>
      <c r="H247" s="142" t="str">
        <f>IF(VLOOKUP($A247,Sheet1!$A$3:$AW$699,19,FALSE)="","",VLOOKUP($A247,Sheet1!$A$3:$AW$699,19,FALSE))</f>
        <v/>
      </c>
      <c r="I247" s="9" t="str">
        <f>IF(VLOOKUP($A247,Sheet1!$A$3:$AW$699,5,FALSE)="","",VLOOKUP($A247,Sheet1!$A$3:$AW$699,5,FALSE))</f>
        <v>UDINT</v>
      </c>
      <c r="J247" s="9" t="s">
        <v>781</v>
      </c>
      <c r="K247" s="9" t="s">
        <v>759</v>
      </c>
      <c r="L247" s="146" t="str">
        <f>IF(VLOOKUP($A247,Sheet1!$A$3:$AW$699,7,FALSE)="★","x","")</f>
        <v/>
      </c>
      <c r="M247" s="146" t="str">
        <f>IF(VLOOKUP($A247,Sheet1!$A$3:$AW$699,8,FALSE)="▲","x","")</f>
        <v/>
      </c>
      <c r="N247" s="146" t="str">
        <f>IF(VLOOKUP($A247,Sheet1!$A$3:$AW$699,9,FALSE)="●","x","")</f>
        <v/>
      </c>
      <c r="O247" s="146" t="str">
        <f>IF(VLOOKUP($A247,Sheet1!$A$3:$AW$699,10,FALSE)="■","x","")</f>
        <v/>
      </c>
      <c r="P247" s="9" t="str">
        <f>IF(VLOOKUP($A247,Sheet1!$A$3:$AW$699,2,FALSE)="","",VLOOKUP($A247,Sheet1!$A$3:$AW$699,2,FALSE))</f>
        <v>P7.024</v>
      </c>
    </row>
    <row r="248" spans="1:16" ht="20.399999999999999" x14ac:dyDescent="0.3">
      <c r="A248" s="9">
        <v>522</v>
      </c>
      <c r="B248" s="9" t="str">
        <f>IF(VLOOKUP($A248,Sheet1!$A$3:$AW$699,20,FALSE)="","",VLOOKUP($A248,Sheet1!$A$3:$AW$699,20,FALSE))</f>
        <v>PRCmd62Data</v>
      </c>
      <c r="C248" s="9" t="str">
        <f>IF(VLOOKUP($A248,Sheet1!$A$3:$AW$699,25,FALSE)="","",VLOOKUP($A248,Sheet1!$A$3:$AW$699,25,FALSE))</f>
        <v>PR/IO</v>
      </c>
      <c r="D248" s="142">
        <f>IF(VLOOKUP($A248,Sheet1!$A$3:$AW$699,15,FALSE)="","",VLOOKUP($A248,Sheet1!$A$3:$AW$699,15,FALSE))</f>
        <v>-2147483648</v>
      </c>
      <c r="E248" s="142">
        <f>IF(VLOOKUP($A248,Sheet1!$A$3:$AW$699,16,FALSE)="","",VLOOKUP($A248,Sheet1!$A$3:$AW$699,16,FALSE))</f>
        <v>2147483647</v>
      </c>
      <c r="F248" s="142">
        <f>IF(VLOOKUP($A248,Sheet1!$A$3:$AW$699,17,FALSE)="","",VLOOKUP($A248,Sheet1!$A$3:$AW$699,17,FALSE))</f>
        <v>0</v>
      </c>
      <c r="G248" s="142" t="str">
        <f>IF(VLOOKUP($A248,Sheet1!$A$3:$AW$699,18,FALSE)="","",VLOOKUP($A248,Sheet1!$A$3:$AW$699,18,FALSE))</f>
        <v/>
      </c>
      <c r="H248" s="142" t="str">
        <f>IF(VLOOKUP($A248,Sheet1!$A$3:$AW$699,19,FALSE)="","",VLOOKUP($A248,Sheet1!$A$3:$AW$699,19,FALSE))</f>
        <v/>
      </c>
      <c r="I248" s="9" t="str">
        <f>IF(VLOOKUP($A248,Sheet1!$A$3:$AW$699,5,FALSE)="","",VLOOKUP($A248,Sheet1!$A$3:$AW$699,5,FALSE))</f>
        <v>DINT</v>
      </c>
      <c r="J248" s="9" t="s">
        <v>782</v>
      </c>
      <c r="K248" s="9" t="s">
        <v>759</v>
      </c>
      <c r="L248" s="146" t="str">
        <f>IF(VLOOKUP($A248,Sheet1!$A$3:$AW$699,7,FALSE)="★","x","")</f>
        <v/>
      </c>
      <c r="M248" s="146" t="str">
        <f>IF(VLOOKUP($A248,Sheet1!$A$3:$AW$699,8,FALSE)="▲","x","")</f>
        <v/>
      </c>
      <c r="N248" s="146" t="str">
        <f>IF(VLOOKUP($A248,Sheet1!$A$3:$AW$699,9,FALSE)="●","x","")</f>
        <v/>
      </c>
      <c r="O248" s="146" t="str">
        <f>IF(VLOOKUP($A248,Sheet1!$A$3:$AW$699,10,FALSE)="■","x","")</f>
        <v/>
      </c>
      <c r="P248" s="9" t="str">
        <f>IF(VLOOKUP($A248,Sheet1!$A$3:$AW$699,2,FALSE)="","",VLOOKUP($A248,Sheet1!$A$3:$AW$699,2,FALSE))</f>
        <v>P7.025</v>
      </c>
    </row>
    <row r="249" spans="1:16" ht="20.399999999999999" x14ac:dyDescent="0.3">
      <c r="A249" s="9">
        <v>523</v>
      </c>
      <c r="B249" s="9" t="str">
        <f>IF(VLOOKUP($A249,Sheet1!$A$3:$AW$699,20,FALSE)="","",VLOOKUP($A249,Sheet1!$A$3:$AW$699,20,FALSE))</f>
        <v>PRCmd63Setting</v>
      </c>
      <c r="C249" s="9" t="str">
        <f>IF(VLOOKUP($A249,Sheet1!$A$3:$AW$699,25,FALSE)="","",VLOOKUP($A249,Sheet1!$A$3:$AW$699,25,FALSE))</f>
        <v>PR/IO</v>
      </c>
      <c r="D249" s="142" t="str">
        <f>IF(VLOOKUP($A249,Sheet1!$A$3:$AW$699,15,FALSE)="","",VLOOKUP($A249,Sheet1!$A$3:$AW$699,15,FALSE))</f>
        <v>0x00000000</v>
      </c>
      <c r="E249" s="142" t="str">
        <f>IF(VLOOKUP($A249,Sheet1!$A$3:$AW$699,16,FALSE)="","",VLOOKUP($A249,Sheet1!$A$3:$AW$699,16,FALSE))</f>
        <v>0xFFFFFFFF</v>
      </c>
      <c r="F249" s="142" t="str">
        <f>IF(VLOOKUP($A249,Sheet1!$A$3:$AW$699,17,FALSE)="","",VLOOKUP($A249,Sheet1!$A$3:$AW$699,17,FALSE))</f>
        <v>0x00000000</v>
      </c>
      <c r="G249" s="142" t="str">
        <f>IF(VLOOKUP($A249,Sheet1!$A$3:$AW$699,18,FALSE)="","",VLOOKUP($A249,Sheet1!$A$3:$AW$699,18,FALSE))</f>
        <v/>
      </c>
      <c r="H249" s="142" t="str">
        <f>IF(VLOOKUP($A249,Sheet1!$A$3:$AW$699,19,FALSE)="","",VLOOKUP($A249,Sheet1!$A$3:$AW$699,19,FALSE))</f>
        <v/>
      </c>
      <c r="I249" s="9" t="str">
        <f>IF(VLOOKUP($A249,Sheet1!$A$3:$AW$699,5,FALSE)="","",VLOOKUP($A249,Sheet1!$A$3:$AW$699,5,FALSE))</f>
        <v>UDINT</v>
      </c>
      <c r="J249" s="9" t="s">
        <v>783</v>
      </c>
      <c r="K249" s="9" t="s">
        <v>759</v>
      </c>
      <c r="L249" s="146" t="str">
        <f>IF(VLOOKUP($A249,Sheet1!$A$3:$AW$699,7,FALSE)="★","x","")</f>
        <v/>
      </c>
      <c r="M249" s="146" t="str">
        <f>IF(VLOOKUP($A249,Sheet1!$A$3:$AW$699,8,FALSE)="▲","x","")</f>
        <v/>
      </c>
      <c r="N249" s="146" t="str">
        <f>IF(VLOOKUP($A249,Sheet1!$A$3:$AW$699,9,FALSE)="●","x","")</f>
        <v/>
      </c>
      <c r="O249" s="146" t="str">
        <f>IF(VLOOKUP($A249,Sheet1!$A$3:$AW$699,10,FALSE)="■","x","")</f>
        <v/>
      </c>
      <c r="P249" s="9" t="str">
        <f>IF(VLOOKUP($A249,Sheet1!$A$3:$AW$699,2,FALSE)="","",VLOOKUP($A249,Sheet1!$A$3:$AW$699,2,FALSE))</f>
        <v>P7.026</v>
      </c>
    </row>
    <row r="250" spans="1:16" ht="20.399999999999999" x14ac:dyDescent="0.3">
      <c r="A250" s="9">
        <v>524</v>
      </c>
      <c r="B250" s="9" t="str">
        <f>IF(VLOOKUP($A250,Sheet1!$A$3:$AW$699,20,FALSE)="","",VLOOKUP($A250,Sheet1!$A$3:$AW$699,20,FALSE))</f>
        <v>PRCmd63Data</v>
      </c>
      <c r="C250" s="9" t="str">
        <f>IF(VLOOKUP($A250,Sheet1!$A$3:$AW$699,25,FALSE)="","",VLOOKUP($A250,Sheet1!$A$3:$AW$699,25,FALSE))</f>
        <v>PR/IO</v>
      </c>
      <c r="D250" s="142">
        <f>IF(VLOOKUP($A250,Sheet1!$A$3:$AW$699,15,FALSE)="","",VLOOKUP($A250,Sheet1!$A$3:$AW$699,15,FALSE))</f>
        <v>-2147483648</v>
      </c>
      <c r="E250" s="142">
        <f>IF(VLOOKUP($A250,Sheet1!$A$3:$AW$699,16,FALSE)="","",VLOOKUP($A250,Sheet1!$A$3:$AW$699,16,FALSE))</f>
        <v>2147483647</v>
      </c>
      <c r="F250" s="142">
        <f>IF(VLOOKUP($A250,Sheet1!$A$3:$AW$699,17,FALSE)="","",VLOOKUP($A250,Sheet1!$A$3:$AW$699,17,FALSE))</f>
        <v>0</v>
      </c>
      <c r="G250" s="142" t="str">
        <f>IF(VLOOKUP($A250,Sheet1!$A$3:$AW$699,18,FALSE)="","",VLOOKUP($A250,Sheet1!$A$3:$AW$699,18,FALSE))</f>
        <v/>
      </c>
      <c r="H250" s="142" t="str">
        <f>IF(VLOOKUP($A250,Sheet1!$A$3:$AW$699,19,FALSE)="","",VLOOKUP($A250,Sheet1!$A$3:$AW$699,19,FALSE))</f>
        <v/>
      </c>
      <c r="I250" s="9" t="str">
        <f>IF(VLOOKUP($A250,Sheet1!$A$3:$AW$699,5,FALSE)="","",VLOOKUP($A250,Sheet1!$A$3:$AW$699,5,FALSE))</f>
        <v>DINT</v>
      </c>
      <c r="J250" s="9" t="s">
        <v>784</v>
      </c>
      <c r="K250" s="9" t="s">
        <v>759</v>
      </c>
      <c r="L250" s="146" t="str">
        <f>IF(VLOOKUP($A250,Sheet1!$A$3:$AW$699,7,FALSE)="★","x","")</f>
        <v/>
      </c>
      <c r="M250" s="146" t="str">
        <f>IF(VLOOKUP($A250,Sheet1!$A$3:$AW$699,8,FALSE)="▲","x","")</f>
        <v/>
      </c>
      <c r="N250" s="146" t="str">
        <f>IF(VLOOKUP($A250,Sheet1!$A$3:$AW$699,9,FALSE)="●","x","")</f>
        <v/>
      </c>
      <c r="O250" s="146" t="str">
        <f>IF(VLOOKUP($A250,Sheet1!$A$3:$AW$699,10,FALSE)="■","x","")</f>
        <v/>
      </c>
      <c r="P250" s="9" t="str">
        <f>IF(VLOOKUP($A250,Sheet1!$A$3:$AW$699,2,FALSE)="","",VLOOKUP($A250,Sheet1!$A$3:$AW$699,2,FALSE))</f>
        <v>P7.027</v>
      </c>
    </row>
    <row r="251" spans="1:16" ht="20.399999999999999" x14ac:dyDescent="0.3">
      <c r="A251" s="9">
        <v>525</v>
      </c>
      <c r="B251" s="9" t="str">
        <f>IF(VLOOKUP($A251,Sheet1!$A$3:$AW$699,20,FALSE)="","",VLOOKUP($A251,Sheet1!$A$3:$AW$699,20,FALSE))</f>
        <v>PRCmd64Setting</v>
      </c>
      <c r="C251" s="9" t="str">
        <f>IF(VLOOKUP($A251,Sheet1!$A$3:$AW$699,25,FALSE)="","",VLOOKUP($A251,Sheet1!$A$3:$AW$699,25,FALSE))</f>
        <v>PR/IO</v>
      </c>
      <c r="D251" s="142" t="str">
        <f>IF(VLOOKUP($A251,Sheet1!$A$3:$AW$699,15,FALSE)="","",VLOOKUP($A251,Sheet1!$A$3:$AW$699,15,FALSE))</f>
        <v>0x00000000</v>
      </c>
      <c r="E251" s="142" t="str">
        <f>IF(VLOOKUP($A251,Sheet1!$A$3:$AW$699,16,FALSE)="","",VLOOKUP($A251,Sheet1!$A$3:$AW$699,16,FALSE))</f>
        <v>0xFFFFFFFF</v>
      </c>
      <c r="F251" s="142" t="str">
        <f>IF(VLOOKUP($A251,Sheet1!$A$3:$AW$699,17,FALSE)="","",VLOOKUP($A251,Sheet1!$A$3:$AW$699,17,FALSE))</f>
        <v>0x00000000</v>
      </c>
      <c r="G251" s="142" t="str">
        <f>IF(VLOOKUP($A251,Sheet1!$A$3:$AW$699,18,FALSE)="","",VLOOKUP($A251,Sheet1!$A$3:$AW$699,18,FALSE))</f>
        <v/>
      </c>
      <c r="H251" s="142" t="str">
        <f>IF(VLOOKUP($A251,Sheet1!$A$3:$AW$699,19,FALSE)="","",VLOOKUP($A251,Sheet1!$A$3:$AW$699,19,FALSE))</f>
        <v/>
      </c>
      <c r="I251" s="9" t="str">
        <f>IF(VLOOKUP($A251,Sheet1!$A$3:$AW$699,5,FALSE)="","",VLOOKUP($A251,Sheet1!$A$3:$AW$699,5,FALSE))</f>
        <v>UDINT</v>
      </c>
      <c r="J251" s="9" t="s">
        <v>785</v>
      </c>
      <c r="K251" s="9" t="s">
        <v>658</v>
      </c>
      <c r="L251" s="146" t="str">
        <f>IF(VLOOKUP($A251,Sheet1!$A$3:$AW$699,7,FALSE)="★","x","")</f>
        <v/>
      </c>
      <c r="M251" s="146" t="str">
        <f>IF(VLOOKUP($A251,Sheet1!$A$3:$AW$699,8,FALSE)="▲","x","")</f>
        <v/>
      </c>
      <c r="N251" s="146" t="str">
        <f>IF(VLOOKUP($A251,Sheet1!$A$3:$AW$699,9,FALSE)="●","x","")</f>
        <v/>
      </c>
      <c r="O251" s="146" t="str">
        <f>IF(VLOOKUP($A251,Sheet1!$A$3:$AW$699,10,FALSE)="■","x","")</f>
        <v/>
      </c>
      <c r="P251" s="9" t="str">
        <f>IF(VLOOKUP($A251,Sheet1!$A$3:$AW$699,2,FALSE)="","",VLOOKUP($A251,Sheet1!$A$3:$AW$699,2,FALSE))</f>
        <v>P7.028</v>
      </c>
    </row>
    <row r="252" spans="1:16" ht="20.399999999999999" x14ac:dyDescent="0.3">
      <c r="A252" s="9">
        <v>526</v>
      </c>
      <c r="B252" s="9" t="str">
        <f>IF(VLOOKUP($A252,Sheet1!$A$3:$AW$699,20,FALSE)="","",VLOOKUP($A252,Sheet1!$A$3:$AW$699,20,FALSE))</f>
        <v>PRCmd64Data</v>
      </c>
      <c r="C252" s="9" t="str">
        <f>IF(VLOOKUP($A252,Sheet1!$A$3:$AW$699,25,FALSE)="","",VLOOKUP($A252,Sheet1!$A$3:$AW$699,25,FALSE))</f>
        <v>PR/IO</v>
      </c>
      <c r="D252" s="142">
        <f>IF(VLOOKUP($A252,Sheet1!$A$3:$AW$699,15,FALSE)="","",VLOOKUP($A252,Sheet1!$A$3:$AW$699,15,FALSE))</f>
        <v>-2147483648</v>
      </c>
      <c r="E252" s="142">
        <f>IF(VLOOKUP($A252,Sheet1!$A$3:$AW$699,16,FALSE)="","",VLOOKUP($A252,Sheet1!$A$3:$AW$699,16,FALSE))</f>
        <v>2147483647</v>
      </c>
      <c r="F252" s="142">
        <f>IF(VLOOKUP($A252,Sheet1!$A$3:$AW$699,17,FALSE)="","",VLOOKUP($A252,Sheet1!$A$3:$AW$699,17,FALSE))</f>
        <v>0</v>
      </c>
      <c r="G252" s="142" t="str">
        <f>IF(VLOOKUP($A252,Sheet1!$A$3:$AW$699,18,FALSE)="","",VLOOKUP($A252,Sheet1!$A$3:$AW$699,18,FALSE))</f>
        <v/>
      </c>
      <c r="H252" s="142" t="str">
        <f>IF(VLOOKUP($A252,Sheet1!$A$3:$AW$699,19,FALSE)="","",VLOOKUP($A252,Sheet1!$A$3:$AW$699,19,FALSE))</f>
        <v/>
      </c>
      <c r="I252" s="9" t="str">
        <f>IF(VLOOKUP($A252,Sheet1!$A$3:$AW$699,5,FALSE)="","",VLOOKUP($A252,Sheet1!$A$3:$AW$699,5,FALSE))</f>
        <v>DINT</v>
      </c>
      <c r="J252" s="9" t="s">
        <v>786</v>
      </c>
      <c r="K252" s="9" t="s">
        <v>658</v>
      </c>
      <c r="L252" s="146" t="str">
        <f>IF(VLOOKUP($A252,Sheet1!$A$3:$AW$699,7,FALSE)="★","x","")</f>
        <v/>
      </c>
      <c r="M252" s="146" t="str">
        <f>IF(VLOOKUP($A252,Sheet1!$A$3:$AW$699,8,FALSE)="▲","x","")</f>
        <v/>
      </c>
      <c r="N252" s="146" t="str">
        <f>IF(VLOOKUP($A252,Sheet1!$A$3:$AW$699,9,FALSE)="●","x","")</f>
        <v/>
      </c>
      <c r="O252" s="146" t="str">
        <f>IF(VLOOKUP($A252,Sheet1!$A$3:$AW$699,10,FALSE)="■","x","")</f>
        <v/>
      </c>
      <c r="P252" s="9" t="str">
        <f>IF(VLOOKUP($A252,Sheet1!$A$3:$AW$699,2,FALSE)="","",VLOOKUP($A252,Sheet1!$A$3:$AW$699,2,FALSE))</f>
        <v>P7.029</v>
      </c>
    </row>
    <row r="253" spans="1:16" ht="20.399999999999999" x14ac:dyDescent="0.3">
      <c r="A253" s="9">
        <v>527</v>
      </c>
      <c r="B253" s="9" t="str">
        <f>IF(VLOOKUP($A253,Sheet1!$A$3:$AW$699,20,FALSE)="","",VLOOKUP($A253,Sheet1!$A$3:$AW$699,20,FALSE))</f>
        <v>PRCmd65Setting</v>
      </c>
      <c r="C253" s="9" t="str">
        <f>IF(VLOOKUP($A253,Sheet1!$A$3:$AW$699,25,FALSE)="","",VLOOKUP($A253,Sheet1!$A$3:$AW$699,25,FALSE))</f>
        <v>PR/IO</v>
      </c>
      <c r="D253" s="142" t="str">
        <f>IF(VLOOKUP($A253,Sheet1!$A$3:$AW$699,15,FALSE)="","",VLOOKUP($A253,Sheet1!$A$3:$AW$699,15,FALSE))</f>
        <v>0x00000000</v>
      </c>
      <c r="E253" s="142" t="str">
        <f>IF(VLOOKUP($A253,Sheet1!$A$3:$AW$699,16,FALSE)="","",VLOOKUP($A253,Sheet1!$A$3:$AW$699,16,FALSE))</f>
        <v>0xFFFFFFFF</v>
      </c>
      <c r="F253" s="142" t="str">
        <f>IF(VLOOKUP($A253,Sheet1!$A$3:$AW$699,17,FALSE)="","",VLOOKUP($A253,Sheet1!$A$3:$AW$699,17,FALSE))</f>
        <v>0x00000000</v>
      </c>
      <c r="G253" s="142" t="str">
        <f>IF(VLOOKUP($A253,Sheet1!$A$3:$AW$699,18,FALSE)="","",VLOOKUP($A253,Sheet1!$A$3:$AW$699,18,FALSE))</f>
        <v/>
      </c>
      <c r="H253" s="142" t="str">
        <f>IF(VLOOKUP($A253,Sheet1!$A$3:$AW$699,19,FALSE)="","",VLOOKUP($A253,Sheet1!$A$3:$AW$699,19,FALSE))</f>
        <v/>
      </c>
      <c r="I253" s="9" t="str">
        <f>IF(VLOOKUP($A253,Sheet1!$A$3:$AW$699,5,FALSE)="","",VLOOKUP($A253,Sheet1!$A$3:$AW$699,5,FALSE))</f>
        <v>UDINT</v>
      </c>
      <c r="J253" s="9" t="s">
        <v>787</v>
      </c>
      <c r="K253" s="9" t="s">
        <v>658</v>
      </c>
      <c r="L253" s="146" t="str">
        <f>IF(VLOOKUP($A253,Sheet1!$A$3:$AW$699,7,FALSE)="★","x","")</f>
        <v/>
      </c>
      <c r="M253" s="146" t="str">
        <f>IF(VLOOKUP($A253,Sheet1!$A$3:$AW$699,8,FALSE)="▲","x","")</f>
        <v/>
      </c>
      <c r="N253" s="146" t="str">
        <f>IF(VLOOKUP($A253,Sheet1!$A$3:$AW$699,9,FALSE)="●","x","")</f>
        <v/>
      </c>
      <c r="O253" s="146" t="str">
        <f>IF(VLOOKUP($A253,Sheet1!$A$3:$AW$699,10,FALSE)="■","x","")</f>
        <v/>
      </c>
      <c r="P253" s="9" t="str">
        <f>IF(VLOOKUP($A253,Sheet1!$A$3:$AW$699,2,FALSE)="","",VLOOKUP($A253,Sheet1!$A$3:$AW$699,2,FALSE))</f>
        <v>P7.030</v>
      </c>
    </row>
    <row r="254" spans="1:16" ht="20.399999999999999" x14ac:dyDescent="0.3">
      <c r="A254" s="9">
        <v>528</v>
      </c>
      <c r="B254" s="9" t="str">
        <f>IF(VLOOKUP($A254,Sheet1!$A$3:$AW$699,20,FALSE)="","",VLOOKUP($A254,Sheet1!$A$3:$AW$699,20,FALSE))</f>
        <v>PRCmd65Data</v>
      </c>
      <c r="C254" s="9" t="str">
        <f>IF(VLOOKUP($A254,Sheet1!$A$3:$AW$699,25,FALSE)="","",VLOOKUP($A254,Sheet1!$A$3:$AW$699,25,FALSE))</f>
        <v>PR/IO</v>
      </c>
      <c r="D254" s="142">
        <f>IF(VLOOKUP($A254,Sheet1!$A$3:$AW$699,15,FALSE)="","",VLOOKUP($A254,Sheet1!$A$3:$AW$699,15,FALSE))</f>
        <v>-2147483648</v>
      </c>
      <c r="E254" s="142">
        <f>IF(VLOOKUP($A254,Sheet1!$A$3:$AW$699,16,FALSE)="","",VLOOKUP($A254,Sheet1!$A$3:$AW$699,16,FALSE))</f>
        <v>2147483647</v>
      </c>
      <c r="F254" s="142">
        <f>IF(VLOOKUP($A254,Sheet1!$A$3:$AW$699,17,FALSE)="","",VLOOKUP($A254,Sheet1!$A$3:$AW$699,17,FALSE))</f>
        <v>0</v>
      </c>
      <c r="G254" s="142" t="str">
        <f>IF(VLOOKUP($A254,Sheet1!$A$3:$AW$699,18,FALSE)="","",VLOOKUP($A254,Sheet1!$A$3:$AW$699,18,FALSE))</f>
        <v/>
      </c>
      <c r="H254" s="142" t="str">
        <f>IF(VLOOKUP($A254,Sheet1!$A$3:$AW$699,19,FALSE)="","",VLOOKUP($A254,Sheet1!$A$3:$AW$699,19,FALSE))</f>
        <v/>
      </c>
      <c r="I254" s="9" t="str">
        <f>IF(VLOOKUP($A254,Sheet1!$A$3:$AW$699,5,FALSE)="","",VLOOKUP($A254,Sheet1!$A$3:$AW$699,5,FALSE))</f>
        <v>DINT</v>
      </c>
      <c r="J254" s="9" t="s">
        <v>788</v>
      </c>
      <c r="K254" s="9" t="s">
        <v>658</v>
      </c>
      <c r="L254" s="146" t="str">
        <f>IF(VLOOKUP($A254,Sheet1!$A$3:$AW$699,7,FALSE)="★","x","")</f>
        <v/>
      </c>
      <c r="M254" s="146" t="str">
        <f>IF(VLOOKUP($A254,Sheet1!$A$3:$AW$699,8,FALSE)="▲","x","")</f>
        <v/>
      </c>
      <c r="N254" s="146" t="str">
        <f>IF(VLOOKUP($A254,Sheet1!$A$3:$AW$699,9,FALSE)="●","x","")</f>
        <v/>
      </c>
      <c r="O254" s="146" t="str">
        <f>IF(VLOOKUP($A254,Sheet1!$A$3:$AW$699,10,FALSE)="■","x","")</f>
        <v/>
      </c>
      <c r="P254" s="9" t="str">
        <f>IF(VLOOKUP($A254,Sheet1!$A$3:$AW$699,2,FALSE)="","",VLOOKUP($A254,Sheet1!$A$3:$AW$699,2,FALSE))</f>
        <v>P7.031</v>
      </c>
    </row>
    <row r="255" spans="1:16" ht="20.399999999999999" x14ac:dyDescent="0.3">
      <c r="A255" s="9">
        <v>529</v>
      </c>
      <c r="B255" s="9" t="str">
        <f>IF(VLOOKUP($A255,Sheet1!$A$3:$AW$699,20,FALSE)="","",VLOOKUP($A255,Sheet1!$A$3:$AW$699,20,FALSE))</f>
        <v>PRCmd66Setting</v>
      </c>
      <c r="C255" s="9" t="str">
        <f>IF(VLOOKUP($A255,Sheet1!$A$3:$AW$699,25,FALSE)="","",VLOOKUP($A255,Sheet1!$A$3:$AW$699,25,FALSE))</f>
        <v>PR/IO</v>
      </c>
      <c r="D255" s="142" t="str">
        <f>IF(VLOOKUP($A255,Sheet1!$A$3:$AW$699,15,FALSE)="","",VLOOKUP($A255,Sheet1!$A$3:$AW$699,15,FALSE))</f>
        <v>0x00000000</v>
      </c>
      <c r="E255" s="142" t="str">
        <f>IF(VLOOKUP($A255,Sheet1!$A$3:$AW$699,16,FALSE)="","",VLOOKUP($A255,Sheet1!$A$3:$AW$699,16,FALSE))</f>
        <v>0xFFFFFFFF</v>
      </c>
      <c r="F255" s="142" t="str">
        <f>IF(VLOOKUP($A255,Sheet1!$A$3:$AW$699,17,FALSE)="","",VLOOKUP($A255,Sheet1!$A$3:$AW$699,17,FALSE))</f>
        <v>0x00000000</v>
      </c>
      <c r="G255" s="142" t="str">
        <f>IF(VLOOKUP($A255,Sheet1!$A$3:$AW$699,18,FALSE)="","",VLOOKUP($A255,Sheet1!$A$3:$AW$699,18,FALSE))</f>
        <v/>
      </c>
      <c r="H255" s="142" t="str">
        <f>IF(VLOOKUP($A255,Sheet1!$A$3:$AW$699,19,FALSE)="","",VLOOKUP($A255,Sheet1!$A$3:$AW$699,19,FALSE))</f>
        <v/>
      </c>
      <c r="I255" s="9" t="str">
        <f>IF(VLOOKUP($A255,Sheet1!$A$3:$AW$699,5,FALSE)="","",VLOOKUP($A255,Sheet1!$A$3:$AW$699,5,FALSE))</f>
        <v>UDINT</v>
      </c>
      <c r="J255" s="9" t="s">
        <v>789</v>
      </c>
      <c r="K255" s="9" t="s">
        <v>658</v>
      </c>
      <c r="L255" s="146" t="str">
        <f>IF(VLOOKUP($A255,Sheet1!$A$3:$AW$699,7,FALSE)="★","x","")</f>
        <v/>
      </c>
      <c r="M255" s="146" t="str">
        <f>IF(VLOOKUP($A255,Sheet1!$A$3:$AW$699,8,FALSE)="▲","x","")</f>
        <v/>
      </c>
      <c r="N255" s="146" t="str">
        <f>IF(VLOOKUP($A255,Sheet1!$A$3:$AW$699,9,FALSE)="●","x","")</f>
        <v/>
      </c>
      <c r="O255" s="146" t="str">
        <f>IF(VLOOKUP($A255,Sheet1!$A$3:$AW$699,10,FALSE)="■","x","")</f>
        <v/>
      </c>
      <c r="P255" s="9" t="str">
        <f>IF(VLOOKUP($A255,Sheet1!$A$3:$AW$699,2,FALSE)="","",VLOOKUP($A255,Sheet1!$A$3:$AW$699,2,FALSE))</f>
        <v>P7.032</v>
      </c>
    </row>
    <row r="256" spans="1:16" ht="20.399999999999999" x14ac:dyDescent="0.3">
      <c r="A256" s="9">
        <v>530</v>
      </c>
      <c r="B256" s="9" t="str">
        <f>IF(VLOOKUP($A256,Sheet1!$A$3:$AW$699,20,FALSE)="","",VLOOKUP($A256,Sheet1!$A$3:$AW$699,20,FALSE))</f>
        <v>PRCmd66Data</v>
      </c>
      <c r="C256" s="9" t="str">
        <f>IF(VLOOKUP($A256,Sheet1!$A$3:$AW$699,25,FALSE)="","",VLOOKUP($A256,Sheet1!$A$3:$AW$699,25,FALSE))</f>
        <v>PR/IO</v>
      </c>
      <c r="D256" s="142">
        <f>IF(VLOOKUP($A256,Sheet1!$A$3:$AW$699,15,FALSE)="","",VLOOKUP($A256,Sheet1!$A$3:$AW$699,15,FALSE))</f>
        <v>-2147483648</v>
      </c>
      <c r="E256" s="142">
        <f>IF(VLOOKUP($A256,Sheet1!$A$3:$AW$699,16,FALSE)="","",VLOOKUP($A256,Sheet1!$A$3:$AW$699,16,FALSE))</f>
        <v>2147483647</v>
      </c>
      <c r="F256" s="142">
        <f>IF(VLOOKUP($A256,Sheet1!$A$3:$AW$699,17,FALSE)="","",VLOOKUP($A256,Sheet1!$A$3:$AW$699,17,FALSE))</f>
        <v>0</v>
      </c>
      <c r="G256" s="142" t="str">
        <f>IF(VLOOKUP($A256,Sheet1!$A$3:$AW$699,18,FALSE)="","",VLOOKUP($A256,Sheet1!$A$3:$AW$699,18,FALSE))</f>
        <v/>
      </c>
      <c r="H256" s="142" t="str">
        <f>IF(VLOOKUP($A256,Sheet1!$A$3:$AW$699,19,FALSE)="","",VLOOKUP($A256,Sheet1!$A$3:$AW$699,19,FALSE))</f>
        <v/>
      </c>
      <c r="I256" s="9" t="str">
        <f>IF(VLOOKUP($A256,Sheet1!$A$3:$AW$699,5,FALSE)="","",VLOOKUP($A256,Sheet1!$A$3:$AW$699,5,FALSE))</f>
        <v>DINT</v>
      </c>
      <c r="J256" s="9" t="s">
        <v>790</v>
      </c>
      <c r="K256" s="9" t="s">
        <v>658</v>
      </c>
      <c r="L256" s="146" t="str">
        <f>IF(VLOOKUP($A256,Sheet1!$A$3:$AW$699,7,FALSE)="★","x","")</f>
        <v/>
      </c>
      <c r="M256" s="146" t="str">
        <f>IF(VLOOKUP($A256,Sheet1!$A$3:$AW$699,8,FALSE)="▲","x","")</f>
        <v/>
      </c>
      <c r="N256" s="146" t="str">
        <f>IF(VLOOKUP($A256,Sheet1!$A$3:$AW$699,9,FALSE)="●","x","")</f>
        <v/>
      </c>
      <c r="O256" s="146" t="str">
        <f>IF(VLOOKUP($A256,Sheet1!$A$3:$AW$699,10,FALSE)="■","x","")</f>
        <v/>
      </c>
      <c r="P256" s="9" t="str">
        <f>IF(VLOOKUP($A256,Sheet1!$A$3:$AW$699,2,FALSE)="","",VLOOKUP($A256,Sheet1!$A$3:$AW$699,2,FALSE))</f>
        <v>P7.033</v>
      </c>
    </row>
    <row r="257" spans="1:16" ht="20.399999999999999" x14ac:dyDescent="0.3">
      <c r="A257" s="9">
        <v>531</v>
      </c>
      <c r="B257" s="9" t="str">
        <f>IF(VLOOKUP($A257,Sheet1!$A$3:$AW$699,20,FALSE)="","",VLOOKUP($A257,Sheet1!$A$3:$AW$699,20,FALSE))</f>
        <v>PRCmd67Setting</v>
      </c>
      <c r="C257" s="9" t="str">
        <f>IF(VLOOKUP($A257,Sheet1!$A$3:$AW$699,25,FALSE)="","",VLOOKUP($A257,Sheet1!$A$3:$AW$699,25,FALSE))</f>
        <v>PR/IO</v>
      </c>
      <c r="D257" s="142" t="str">
        <f>IF(VLOOKUP($A257,Sheet1!$A$3:$AW$699,15,FALSE)="","",VLOOKUP($A257,Sheet1!$A$3:$AW$699,15,FALSE))</f>
        <v>0x00000000</v>
      </c>
      <c r="E257" s="142" t="str">
        <f>IF(VLOOKUP($A257,Sheet1!$A$3:$AW$699,16,FALSE)="","",VLOOKUP($A257,Sheet1!$A$3:$AW$699,16,FALSE))</f>
        <v>0xFFFFFFFF</v>
      </c>
      <c r="F257" s="142" t="str">
        <f>IF(VLOOKUP($A257,Sheet1!$A$3:$AW$699,17,FALSE)="","",VLOOKUP($A257,Sheet1!$A$3:$AW$699,17,FALSE))</f>
        <v>0x00000000</v>
      </c>
      <c r="G257" s="142" t="str">
        <f>IF(VLOOKUP($A257,Sheet1!$A$3:$AW$699,18,FALSE)="","",VLOOKUP($A257,Sheet1!$A$3:$AW$699,18,FALSE))</f>
        <v/>
      </c>
      <c r="H257" s="142" t="str">
        <f>IF(VLOOKUP($A257,Sheet1!$A$3:$AW$699,19,FALSE)="","",VLOOKUP($A257,Sheet1!$A$3:$AW$699,19,FALSE))</f>
        <v/>
      </c>
      <c r="I257" s="9" t="str">
        <f>IF(VLOOKUP($A257,Sheet1!$A$3:$AW$699,5,FALSE)="","",VLOOKUP($A257,Sheet1!$A$3:$AW$699,5,FALSE))</f>
        <v>UDINT</v>
      </c>
      <c r="J257" s="9" t="s">
        <v>791</v>
      </c>
      <c r="K257" s="9" t="s">
        <v>658</v>
      </c>
      <c r="L257" s="146" t="str">
        <f>IF(VLOOKUP($A257,Sheet1!$A$3:$AW$699,7,FALSE)="★","x","")</f>
        <v/>
      </c>
      <c r="M257" s="146" t="str">
        <f>IF(VLOOKUP($A257,Sheet1!$A$3:$AW$699,8,FALSE)="▲","x","")</f>
        <v/>
      </c>
      <c r="N257" s="146" t="str">
        <f>IF(VLOOKUP($A257,Sheet1!$A$3:$AW$699,9,FALSE)="●","x","")</f>
        <v/>
      </c>
      <c r="O257" s="146" t="str">
        <f>IF(VLOOKUP($A257,Sheet1!$A$3:$AW$699,10,FALSE)="■","x","")</f>
        <v/>
      </c>
      <c r="P257" s="9" t="str">
        <f>IF(VLOOKUP($A257,Sheet1!$A$3:$AW$699,2,FALSE)="","",VLOOKUP($A257,Sheet1!$A$3:$AW$699,2,FALSE))</f>
        <v>P7.034</v>
      </c>
    </row>
    <row r="258" spans="1:16" ht="20.399999999999999" x14ac:dyDescent="0.3">
      <c r="A258" s="9">
        <v>532</v>
      </c>
      <c r="B258" s="9" t="str">
        <f>IF(VLOOKUP($A258,Sheet1!$A$3:$AW$699,20,FALSE)="","",VLOOKUP($A258,Sheet1!$A$3:$AW$699,20,FALSE))</f>
        <v>PRCmd67Data</v>
      </c>
      <c r="C258" s="9" t="str">
        <f>IF(VLOOKUP($A258,Sheet1!$A$3:$AW$699,25,FALSE)="","",VLOOKUP($A258,Sheet1!$A$3:$AW$699,25,FALSE))</f>
        <v>PR/IO</v>
      </c>
      <c r="D258" s="142">
        <f>IF(VLOOKUP($A258,Sheet1!$A$3:$AW$699,15,FALSE)="","",VLOOKUP($A258,Sheet1!$A$3:$AW$699,15,FALSE))</f>
        <v>-2147483648</v>
      </c>
      <c r="E258" s="142">
        <f>IF(VLOOKUP($A258,Sheet1!$A$3:$AW$699,16,FALSE)="","",VLOOKUP($A258,Sheet1!$A$3:$AW$699,16,FALSE))</f>
        <v>2147483647</v>
      </c>
      <c r="F258" s="142">
        <f>IF(VLOOKUP($A258,Sheet1!$A$3:$AW$699,17,FALSE)="","",VLOOKUP($A258,Sheet1!$A$3:$AW$699,17,FALSE))</f>
        <v>0</v>
      </c>
      <c r="G258" s="142" t="str">
        <f>IF(VLOOKUP($A258,Sheet1!$A$3:$AW$699,18,FALSE)="","",VLOOKUP($A258,Sheet1!$A$3:$AW$699,18,FALSE))</f>
        <v/>
      </c>
      <c r="H258" s="142" t="str">
        <f>IF(VLOOKUP($A258,Sheet1!$A$3:$AW$699,19,FALSE)="","",VLOOKUP($A258,Sheet1!$A$3:$AW$699,19,FALSE))</f>
        <v/>
      </c>
      <c r="I258" s="9" t="str">
        <f>IF(VLOOKUP($A258,Sheet1!$A$3:$AW$699,5,FALSE)="","",VLOOKUP($A258,Sheet1!$A$3:$AW$699,5,FALSE))</f>
        <v>DINT</v>
      </c>
      <c r="J258" s="9" t="s">
        <v>792</v>
      </c>
      <c r="K258" s="9" t="s">
        <v>658</v>
      </c>
      <c r="L258" s="146" t="str">
        <f>IF(VLOOKUP($A258,Sheet1!$A$3:$AW$699,7,FALSE)="★","x","")</f>
        <v/>
      </c>
      <c r="M258" s="146" t="str">
        <f>IF(VLOOKUP($A258,Sheet1!$A$3:$AW$699,8,FALSE)="▲","x","")</f>
        <v/>
      </c>
      <c r="N258" s="146" t="str">
        <f>IF(VLOOKUP($A258,Sheet1!$A$3:$AW$699,9,FALSE)="●","x","")</f>
        <v/>
      </c>
      <c r="O258" s="146" t="str">
        <f>IF(VLOOKUP($A258,Sheet1!$A$3:$AW$699,10,FALSE)="■","x","")</f>
        <v/>
      </c>
      <c r="P258" s="9" t="str">
        <f>IF(VLOOKUP($A258,Sheet1!$A$3:$AW$699,2,FALSE)="","",VLOOKUP($A258,Sheet1!$A$3:$AW$699,2,FALSE))</f>
        <v>P7.035</v>
      </c>
    </row>
    <row r="259" spans="1:16" ht="20.399999999999999" x14ac:dyDescent="0.3">
      <c r="A259" s="9">
        <v>533</v>
      </c>
      <c r="B259" s="9" t="str">
        <f>IF(VLOOKUP($A259,Sheet1!$A$3:$AW$699,20,FALSE)="","",VLOOKUP($A259,Sheet1!$A$3:$AW$699,20,FALSE))</f>
        <v>PRCmd68Setting</v>
      </c>
      <c r="C259" s="9" t="str">
        <f>IF(VLOOKUP($A259,Sheet1!$A$3:$AW$699,25,FALSE)="","",VLOOKUP($A259,Sheet1!$A$3:$AW$699,25,FALSE))</f>
        <v>PR/IO</v>
      </c>
      <c r="D259" s="142" t="str">
        <f>IF(VLOOKUP($A259,Sheet1!$A$3:$AW$699,15,FALSE)="","",VLOOKUP($A259,Sheet1!$A$3:$AW$699,15,FALSE))</f>
        <v>0x00000000</v>
      </c>
      <c r="E259" s="142" t="str">
        <f>IF(VLOOKUP($A259,Sheet1!$A$3:$AW$699,16,FALSE)="","",VLOOKUP($A259,Sheet1!$A$3:$AW$699,16,FALSE))</f>
        <v>0xFFFFFFFF</v>
      </c>
      <c r="F259" s="142" t="str">
        <f>IF(VLOOKUP($A259,Sheet1!$A$3:$AW$699,17,FALSE)="","",VLOOKUP($A259,Sheet1!$A$3:$AW$699,17,FALSE))</f>
        <v>0x00000000</v>
      </c>
      <c r="G259" s="142" t="str">
        <f>IF(VLOOKUP($A259,Sheet1!$A$3:$AW$699,18,FALSE)="","",VLOOKUP($A259,Sheet1!$A$3:$AW$699,18,FALSE))</f>
        <v/>
      </c>
      <c r="H259" s="142" t="str">
        <f>IF(VLOOKUP($A259,Sheet1!$A$3:$AW$699,19,FALSE)="","",VLOOKUP($A259,Sheet1!$A$3:$AW$699,19,FALSE))</f>
        <v/>
      </c>
      <c r="I259" s="9" t="str">
        <f>IF(VLOOKUP($A259,Sheet1!$A$3:$AW$699,5,FALSE)="","",VLOOKUP($A259,Sheet1!$A$3:$AW$699,5,FALSE))</f>
        <v>UDINT</v>
      </c>
      <c r="J259" s="9" t="s">
        <v>793</v>
      </c>
      <c r="K259" s="9" t="s">
        <v>658</v>
      </c>
      <c r="L259" s="146" t="str">
        <f>IF(VLOOKUP($A259,Sheet1!$A$3:$AW$699,7,FALSE)="★","x","")</f>
        <v/>
      </c>
      <c r="M259" s="146" t="str">
        <f>IF(VLOOKUP($A259,Sheet1!$A$3:$AW$699,8,FALSE)="▲","x","")</f>
        <v/>
      </c>
      <c r="N259" s="146" t="str">
        <f>IF(VLOOKUP($A259,Sheet1!$A$3:$AW$699,9,FALSE)="●","x","")</f>
        <v/>
      </c>
      <c r="O259" s="146" t="str">
        <f>IF(VLOOKUP($A259,Sheet1!$A$3:$AW$699,10,FALSE)="■","x","")</f>
        <v/>
      </c>
      <c r="P259" s="9" t="str">
        <f>IF(VLOOKUP($A259,Sheet1!$A$3:$AW$699,2,FALSE)="","",VLOOKUP($A259,Sheet1!$A$3:$AW$699,2,FALSE))</f>
        <v>P7.036</v>
      </c>
    </row>
    <row r="260" spans="1:16" ht="20.399999999999999" x14ac:dyDescent="0.3">
      <c r="A260" s="9">
        <v>534</v>
      </c>
      <c r="B260" s="9" t="str">
        <f>IF(VLOOKUP($A260,Sheet1!$A$3:$AW$699,20,FALSE)="","",VLOOKUP($A260,Sheet1!$A$3:$AW$699,20,FALSE))</f>
        <v>PRCmd68Data</v>
      </c>
      <c r="C260" s="9" t="str">
        <f>IF(VLOOKUP($A260,Sheet1!$A$3:$AW$699,25,FALSE)="","",VLOOKUP($A260,Sheet1!$A$3:$AW$699,25,FALSE))</f>
        <v>PR/IO</v>
      </c>
      <c r="D260" s="142">
        <f>IF(VLOOKUP($A260,Sheet1!$A$3:$AW$699,15,FALSE)="","",VLOOKUP($A260,Sheet1!$A$3:$AW$699,15,FALSE))</f>
        <v>-2147483648</v>
      </c>
      <c r="E260" s="142">
        <f>IF(VLOOKUP($A260,Sheet1!$A$3:$AW$699,16,FALSE)="","",VLOOKUP($A260,Sheet1!$A$3:$AW$699,16,FALSE))</f>
        <v>2147483647</v>
      </c>
      <c r="F260" s="142">
        <f>IF(VLOOKUP($A260,Sheet1!$A$3:$AW$699,17,FALSE)="","",VLOOKUP($A260,Sheet1!$A$3:$AW$699,17,FALSE))</f>
        <v>0</v>
      </c>
      <c r="G260" s="142" t="str">
        <f>IF(VLOOKUP($A260,Sheet1!$A$3:$AW$699,18,FALSE)="","",VLOOKUP($A260,Sheet1!$A$3:$AW$699,18,FALSE))</f>
        <v/>
      </c>
      <c r="H260" s="142" t="str">
        <f>IF(VLOOKUP($A260,Sheet1!$A$3:$AW$699,19,FALSE)="","",VLOOKUP($A260,Sheet1!$A$3:$AW$699,19,FALSE))</f>
        <v/>
      </c>
      <c r="I260" s="9" t="str">
        <f>IF(VLOOKUP($A260,Sheet1!$A$3:$AW$699,5,FALSE)="","",VLOOKUP($A260,Sheet1!$A$3:$AW$699,5,FALSE))</f>
        <v>DINT</v>
      </c>
      <c r="J260" s="9" t="s">
        <v>794</v>
      </c>
      <c r="K260" s="9" t="s">
        <v>658</v>
      </c>
      <c r="L260" s="146" t="str">
        <f>IF(VLOOKUP($A260,Sheet1!$A$3:$AW$699,7,FALSE)="★","x","")</f>
        <v/>
      </c>
      <c r="M260" s="146" t="str">
        <f>IF(VLOOKUP($A260,Sheet1!$A$3:$AW$699,8,FALSE)="▲","x","")</f>
        <v/>
      </c>
      <c r="N260" s="146" t="str">
        <f>IF(VLOOKUP($A260,Sheet1!$A$3:$AW$699,9,FALSE)="●","x","")</f>
        <v/>
      </c>
      <c r="O260" s="146" t="str">
        <f>IF(VLOOKUP($A260,Sheet1!$A$3:$AW$699,10,FALSE)="■","x","")</f>
        <v/>
      </c>
      <c r="P260" s="9" t="str">
        <f>IF(VLOOKUP($A260,Sheet1!$A$3:$AW$699,2,FALSE)="","",VLOOKUP($A260,Sheet1!$A$3:$AW$699,2,FALSE))</f>
        <v>P7.037</v>
      </c>
    </row>
    <row r="261" spans="1:16" ht="20.399999999999999" x14ac:dyDescent="0.3">
      <c r="A261" s="9">
        <v>535</v>
      </c>
      <c r="B261" s="9" t="str">
        <f>IF(VLOOKUP($A261,Sheet1!$A$3:$AW$699,20,FALSE)="","",VLOOKUP($A261,Sheet1!$A$3:$AW$699,20,FALSE))</f>
        <v>PRCmd69Setting</v>
      </c>
      <c r="C261" s="9" t="str">
        <f>IF(VLOOKUP($A261,Sheet1!$A$3:$AW$699,25,FALSE)="","",VLOOKUP($A261,Sheet1!$A$3:$AW$699,25,FALSE))</f>
        <v>PR/IO</v>
      </c>
      <c r="D261" s="142" t="str">
        <f>IF(VLOOKUP($A261,Sheet1!$A$3:$AW$699,15,FALSE)="","",VLOOKUP($A261,Sheet1!$A$3:$AW$699,15,FALSE))</f>
        <v>0x00000000</v>
      </c>
      <c r="E261" s="142" t="str">
        <f>IF(VLOOKUP($A261,Sheet1!$A$3:$AW$699,16,FALSE)="","",VLOOKUP($A261,Sheet1!$A$3:$AW$699,16,FALSE))</f>
        <v>0xFFFFFFFF</v>
      </c>
      <c r="F261" s="142" t="str">
        <f>IF(VLOOKUP($A261,Sheet1!$A$3:$AW$699,17,FALSE)="","",VLOOKUP($A261,Sheet1!$A$3:$AW$699,17,FALSE))</f>
        <v>0x00000000</v>
      </c>
      <c r="G261" s="142" t="str">
        <f>IF(VLOOKUP($A261,Sheet1!$A$3:$AW$699,18,FALSE)="","",VLOOKUP($A261,Sheet1!$A$3:$AW$699,18,FALSE))</f>
        <v/>
      </c>
      <c r="H261" s="142" t="str">
        <f>IF(VLOOKUP($A261,Sheet1!$A$3:$AW$699,19,FALSE)="","",VLOOKUP($A261,Sheet1!$A$3:$AW$699,19,FALSE))</f>
        <v/>
      </c>
      <c r="I261" s="9" t="str">
        <f>IF(VLOOKUP($A261,Sheet1!$A$3:$AW$699,5,FALSE)="","",VLOOKUP($A261,Sheet1!$A$3:$AW$699,5,FALSE))</f>
        <v>UDINT</v>
      </c>
      <c r="J261" s="9" t="s">
        <v>795</v>
      </c>
      <c r="K261" s="9" t="s">
        <v>658</v>
      </c>
      <c r="L261" s="146" t="str">
        <f>IF(VLOOKUP($A261,Sheet1!$A$3:$AW$699,7,FALSE)="★","x","")</f>
        <v/>
      </c>
      <c r="M261" s="146" t="str">
        <f>IF(VLOOKUP($A261,Sheet1!$A$3:$AW$699,8,FALSE)="▲","x","")</f>
        <v/>
      </c>
      <c r="N261" s="146" t="str">
        <f>IF(VLOOKUP($A261,Sheet1!$A$3:$AW$699,9,FALSE)="●","x","")</f>
        <v/>
      </c>
      <c r="O261" s="146" t="str">
        <f>IF(VLOOKUP($A261,Sheet1!$A$3:$AW$699,10,FALSE)="■","x","")</f>
        <v/>
      </c>
      <c r="P261" s="9" t="str">
        <f>IF(VLOOKUP($A261,Sheet1!$A$3:$AW$699,2,FALSE)="","",VLOOKUP($A261,Sheet1!$A$3:$AW$699,2,FALSE))</f>
        <v>P7.038</v>
      </c>
    </row>
    <row r="262" spans="1:16" ht="20.399999999999999" x14ac:dyDescent="0.3">
      <c r="A262" s="9">
        <v>536</v>
      </c>
      <c r="B262" s="9" t="str">
        <f>IF(VLOOKUP($A262,Sheet1!$A$3:$AW$699,20,FALSE)="","",VLOOKUP($A262,Sheet1!$A$3:$AW$699,20,FALSE))</f>
        <v>PRCmd69Data</v>
      </c>
      <c r="C262" s="9" t="str">
        <f>IF(VLOOKUP($A262,Sheet1!$A$3:$AW$699,25,FALSE)="","",VLOOKUP($A262,Sheet1!$A$3:$AW$699,25,FALSE))</f>
        <v>PR/IO</v>
      </c>
      <c r="D262" s="142">
        <f>IF(VLOOKUP($A262,Sheet1!$A$3:$AW$699,15,FALSE)="","",VLOOKUP($A262,Sheet1!$A$3:$AW$699,15,FALSE))</f>
        <v>-2147483648</v>
      </c>
      <c r="E262" s="142">
        <f>IF(VLOOKUP($A262,Sheet1!$A$3:$AW$699,16,FALSE)="","",VLOOKUP($A262,Sheet1!$A$3:$AW$699,16,FALSE))</f>
        <v>2147483647</v>
      </c>
      <c r="F262" s="142">
        <f>IF(VLOOKUP($A262,Sheet1!$A$3:$AW$699,17,FALSE)="","",VLOOKUP($A262,Sheet1!$A$3:$AW$699,17,FALSE))</f>
        <v>0</v>
      </c>
      <c r="G262" s="142" t="str">
        <f>IF(VLOOKUP($A262,Sheet1!$A$3:$AW$699,18,FALSE)="","",VLOOKUP($A262,Sheet1!$A$3:$AW$699,18,FALSE))</f>
        <v/>
      </c>
      <c r="H262" s="142" t="str">
        <f>IF(VLOOKUP($A262,Sheet1!$A$3:$AW$699,19,FALSE)="","",VLOOKUP($A262,Sheet1!$A$3:$AW$699,19,FALSE))</f>
        <v/>
      </c>
      <c r="I262" s="9" t="str">
        <f>IF(VLOOKUP($A262,Sheet1!$A$3:$AW$699,5,FALSE)="","",VLOOKUP($A262,Sheet1!$A$3:$AW$699,5,FALSE))</f>
        <v>DINT</v>
      </c>
      <c r="J262" s="9" t="s">
        <v>796</v>
      </c>
      <c r="K262" s="9" t="s">
        <v>658</v>
      </c>
      <c r="L262" s="146" t="str">
        <f>IF(VLOOKUP($A262,Sheet1!$A$3:$AW$699,7,FALSE)="★","x","")</f>
        <v/>
      </c>
      <c r="M262" s="146" t="str">
        <f>IF(VLOOKUP($A262,Sheet1!$A$3:$AW$699,8,FALSE)="▲","x","")</f>
        <v/>
      </c>
      <c r="N262" s="146" t="str">
        <f>IF(VLOOKUP($A262,Sheet1!$A$3:$AW$699,9,FALSE)="●","x","")</f>
        <v/>
      </c>
      <c r="O262" s="146" t="str">
        <f>IF(VLOOKUP($A262,Sheet1!$A$3:$AW$699,10,FALSE)="■","x","")</f>
        <v/>
      </c>
      <c r="P262" s="9" t="str">
        <f>IF(VLOOKUP($A262,Sheet1!$A$3:$AW$699,2,FALSE)="","",VLOOKUP($A262,Sheet1!$A$3:$AW$699,2,FALSE))</f>
        <v>P7.039</v>
      </c>
    </row>
    <row r="263" spans="1:16" ht="20.399999999999999" x14ac:dyDescent="0.3">
      <c r="A263" s="9">
        <v>537</v>
      </c>
      <c r="B263" s="9" t="str">
        <f>IF(VLOOKUP($A263,Sheet1!$A$3:$AW$699,20,FALSE)="","",VLOOKUP($A263,Sheet1!$A$3:$AW$699,20,FALSE))</f>
        <v>PRCmd70Setting</v>
      </c>
      <c r="C263" s="9" t="str">
        <f>IF(VLOOKUP($A263,Sheet1!$A$3:$AW$699,25,FALSE)="","",VLOOKUP($A263,Sheet1!$A$3:$AW$699,25,FALSE))</f>
        <v>PR/IO</v>
      </c>
      <c r="D263" s="142" t="str">
        <f>IF(VLOOKUP($A263,Sheet1!$A$3:$AW$699,15,FALSE)="","",VLOOKUP($A263,Sheet1!$A$3:$AW$699,15,FALSE))</f>
        <v>0x00000000</v>
      </c>
      <c r="E263" s="142" t="str">
        <f>IF(VLOOKUP($A263,Sheet1!$A$3:$AW$699,16,FALSE)="","",VLOOKUP($A263,Sheet1!$A$3:$AW$699,16,FALSE))</f>
        <v>0xFFFFFFFF</v>
      </c>
      <c r="F263" s="142" t="str">
        <f>IF(VLOOKUP($A263,Sheet1!$A$3:$AW$699,17,FALSE)="","",VLOOKUP($A263,Sheet1!$A$3:$AW$699,17,FALSE))</f>
        <v>0x00000000</v>
      </c>
      <c r="G263" s="142" t="str">
        <f>IF(VLOOKUP($A263,Sheet1!$A$3:$AW$699,18,FALSE)="","",VLOOKUP($A263,Sheet1!$A$3:$AW$699,18,FALSE))</f>
        <v/>
      </c>
      <c r="H263" s="142" t="str">
        <f>IF(VLOOKUP($A263,Sheet1!$A$3:$AW$699,19,FALSE)="","",VLOOKUP($A263,Sheet1!$A$3:$AW$699,19,FALSE))</f>
        <v/>
      </c>
      <c r="I263" s="9" t="str">
        <f>IF(VLOOKUP($A263,Sheet1!$A$3:$AW$699,5,FALSE)="","",VLOOKUP($A263,Sheet1!$A$3:$AW$699,5,FALSE))</f>
        <v>UDINT</v>
      </c>
      <c r="J263" s="9" t="s">
        <v>797</v>
      </c>
      <c r="K263" s="9" t="s">
        <v>658</v>
      </c>
      <c r="L263" s="146" t="str">
        <f>IF(VLOOKUP($A263,Sheet1!$A$3:$AW$699,7,FALSE)="★","x","")</f>
        <v/>
      </c>
      <c r="M263" s="146" t="str">
        <f>IF(VLOOKUP($A263,Sheet1!$A$3:$AW$699,8,FALSE)="▲","x","")</f>
        <v/>
      </c>
      <c r="N263" s="146" t="str">
        <f>IF(VLOOKUP($A263,Sheet1!$A$3:$AW$699,9,FALSE)="●","x","")</f>
        <v/>
      </c>
      <c r="O263" s="146" t="str">
        <f>IF(VLOOKUP($A263,Sheet1!$A$3:$AW$699,10,FALSE)="■","x","")</f>
        <v/>
      </c>
      <c r="P263" s="9" t="str">
        <f>IF(VLOOKUP($A263,Sheet1!$A$3:$AW$699,2,FALSE)="","",VLOOKUP($A263,Sheet1!$A$3:$AW$699,2,FALSE))</f>
        <v>P7.040</v>
      </c>
    </row>
    <row r="264" spans="1:16" ht="20.399999999999999" x14ac:dyDescent="0.3">
      <c r="A264" s="9">
        <v>538</v>
      </c>
      <c r="B264" s="9" t="str">
        <f>IF(VLOOKUP($A264,Sheet1!$A$3:$AW$699,20,FALSE)="","",VLOOKUP($A264,Sheet1!$A$3:$AW$699,20,FALSE))</f>
        <v>PRCmd70Data</v>
      </c>
      <c r="C264" s="9" t="str">
        <f>IF(VLOOKUP($A264,Sheet1!$A$3:$AW$699,25,FALSE)="","",VLOOKUP($A264,Sheet1!$A$3:$AW$699,25,FALSE))</f>
        <v>PR/IO</v>
      </c>
      <c r="D264" s="142">
        <f>IF(VLOOKUP($A264,Sheet1!$A$3:$AW$699,15,FALSE)="","",VLOOKUP($A264,Sheet1!$A$3:$AW$699,15,FALSE))</f>
        <v>-2147483648</v>
      </c>
      <c r="E264" s="142">
        <f>IF(VLOOKUP($A264,Sheet1!$A$3:$AW$699,16,FALSE)="","",VLOOKUP($A264,Sheet1!$A$3:$AW$699,16,FALSE))</f>
        <v>2147483647</v>
      </c>
      <c r="F264" s="142">
        <f>IF(VLOOKUP($A264,Sheet1!$A$3:$AW$699,17,FALSE)="","",VLOOKUP($A264,Sheet1!$A$3:$AW$699,17,FALSE))</f>
        <v>0</v>
      </c>
      <c r="G264" s="142" t="str">
        <f>IF(VLOOKUP($A264,Sheet1!$A$3:$AW$699,18,FALSE)="","",VLOOKUP($A264,Sheet1!$A$3:$AW$699,18,FALSE))</f>
        <v/>
      </c>
      <c r="H264" s="142" t="str">
        <f>IF(VLOOKUP($A264,Sheet1!$A$3:$AW$699,19,FALSE)="","",VLOOKUP($A264,Sheet1!$A$3:$AW$699,19,FALSE))</f>
        <v/>
      </c>
      <c r="I264" s="9" t="str">
        <f>IF(VLOOKUP($A264,Sheet1!$A$3:$AW$699,5,FALSE)="","",VLOOKUP($A264,Sheet1!$A$3:$AW$699,5,FALSE))</f>
        <v>DINT</v>
      </c>
      <c r="J264" s="9" t="s">
        <v>798</v>
      </c>
      <c r="K264" s="9" t="s">
        <v>658</v>
      </c>
      <c r="L264" s="146" t="str">
        <f>IF(VLOOKUP($A264,Sheet1!$A$3:$AW$699,7,FALSE)="★","x","")</f>
        <v/>
      </c>
      <c r="M264" s="146" t="str">
        <f>IF(VLOOKUP($A264,Sheet1!$A$3:$AW$699,8,FALSE)="▲","x","")</f>
        <v/>
      </c>
      <c r="N264" s="146" t="str">
        <f>IF(VLOOKUP($A264,Sheet1!$A$3:$AW$699,9,FALSE)="●","x","")</f>
        <v/>
      </c>
      <c r="O264" s="146" t="str">
        <f>IF(VLOOKUP($A264,Sheet1!$A$3:$AW$699,10,FALSE)="■","x","")</f>
        <v/>
      </c>
      <c r="P264" s="9" t="str">
        <f>IF(VLOOKUP($A264,Sheet1!$A$3:$AW$699,2,FALSE)="","",VLOOKUP($A264,Sheet1!$A$3:$AW$699,2,FALSE))</f>
        <v>P7.041</v>
      </c>
    </row>
    <row r="265" spans="1:16" ht="20.399999999999999" x14ac:dyDescent="0.3">
      <c r="A265" s="9">
        <v>539</v>
      </c>
      <c r="B265" s="9" t="str">
        <f>IF(VLOOKUP($A265,Sheet1!$A$3:$AW$699,20,FALSE)="","",VLOOKUP($A265,Sheet1!$A$3:$AW$699,20,FALSE))</f>
        <v>PRCmd71Setting</v>
      </c>
      <c r="C265" s="9" t="str">
        <f>IF(VLOOKUP($A265,Sheet1!$A$3:$AW$699,25,FALSE)="","",VLOOKUP($A265,Sheet1!$A$3:$AW$699,25,FALSE))</f>
        <v>PR/IO</v>
      </c>
      <c r="D265" s="142" t="str">
        <f>IF(VLOOKUP($A265,Sheet1!$A$3:$AW$699,15,FALSE)="","",VLOOKUP($A265,Sheet1!$A$3:$AW$699,15,FALSE))</f>
        <v>0x00000000</v>
      </c>
      <c r="E265" s="142" t="str">
        <f>IF(VLOOKUP($A265,Sheet1!$A$3:$AW$699,16,FALSE)="","",VLOOKUP($A265,Sheet1!$A$3:$AW$699,16,FALSE))</f>
        <v>0xFFFFFFFF</v>
      </c>
      <c r="F265" s="142" t="str">
        <f>IF(VLOOKUP($A265,Sheet1!$A$3:$AW$699,17,FALSE)="","",VLOOKUP($A265,Sheet1!$A$3:$AW$699,17,FALSE))</f>
        <v>0x00000000</v>
      </c>
      <c r="G265" s="142" t="str">
        <f>IF(VLOOKUP($A265,Sheet1!$A$3:$AW$699,18,FALSE)="","",VLOOKUP($A265,Sheet1!$A$3:$AW$699,18,FALSE))</f>
        <v/>
      </c>
      <c r="H265" s="142" t="str">
        <f>IF(VLOOKUP($A265,Sheet1!$A$3:$AW$699,19,FALSE)="","",VLOOKUP($A265,Sheet1!$A$3:$AW$699,19,FALSE))</f>
        <v/>
      </c>
      <c r="I265" s="9" t="str">
        <f>IF(VLOOKUP($A265,Sheet1!$A$3:$AW$699,5,FALSE)="","",VLOOKUP($A265,Sheet1!$A$3:$AW$699,5,FALSE))</f>
        <v>UDINT</v>
      </c>
      <c r="J265" s="9" t="s">
        <v>799</v>
      </c>
      <c r="K265" s="9" t="s">
        <v>658</v>
      </c>
      <c r="L265" s="146" t="str">
        <f>IF(VLOOKUP($A265,Sheet1!$A$3:$AW$699,7,FALSE)="★","x","")</f>
        <v/>
      </c>
      <c r="M265" s="146" t="str">
        <f>IF(VLOOKUP($A265,Sheet1!$A$3:$AW$699,8,FALSE)="▲","x","")</f>
        <v/>
      </c>
      <c r="N265" s="146" t="str">
        <f>IF(VLOOKUP($A265,Sheet1!$A$3:$AW$699,9,FALSE)="●","x","")</f>
        <v/>
      </c>
      <c r="O265" s="146" t="str">
        <f>IF(VLOOKUP($A265,Sheet1!$A$3:$AW$699,10,FALSE)="■","x","")</f>
        <v/>
      </c>
      <c r="P265" s="9" t="str">
        <f>IF(VLOOKUP($A265,Sheet1!$A$3:$AW$699,2,FALSE)="","",VLOOKUP($A265,Sheet1!$A$3:$AW$699,2,FALSE))</f>
        <v>P7.042</v>
      </c>
    </row>
    <row r="266" spans="1:16" ht="20.399999999999999" x14ac:dyDescent="0.3">
      <c r="A266" s="9">
        <v>540</v>
      </c>
      <c r="B266" s="9" t="str">
        <f>IF(VLOOKUP($A266,Sheet1!$A$3:$AW$699,20,FALSE)="","",VLOOKUP($A266,Sheet1!$A$3:$AW$699,20,FALSE))</f>
        <v>PRCmd71Data</v>
      </c>
      <c r="C266" s="9" t="str">
        <f>IF(VLOOKUP($A266,Sheet1!$A$3:$AW$699,25,FALSE)="","",VLOOKUP($A266,Sheet1!$A$3:$AW$699,25,FALSE))</f>
        <v>PR/IO</v>
      </c>
      <c r="D266" s="142">
        <f>IF(VLOOKUP($A266,Sheet1!$A$3:$AW$699,15,FALSE)="","",VLOOKUP($A266,Sheet1!$A$3:$AW$699,15,FALSE))</f>
        <v>-2147483648</v>
      </c>
      <c r="E266" s="142">
        <f>IF(VLOOKUP($A266,Sheet1!$A$3:$AW$699,16,FALSE)="","",VLOOKUP($A266,Sheet1!$A$3:$AW$699,16,FALSE))</f>
        <v>2147483647</v>
      </c>
      <c r="F266" s="142">
        <f>IF(VLOOKUP($A266,Sheet1!$A$3:$AW$699,17,FALSE)="","",VLOOKUP($A266,Sheet1!$A$3:$AW$699,17,FALSE))</f>
        <v>0</v>
      </c>
      <c r="G266" s="142" t="str">
        <f>IF(VLOOKUP($A266,Sheet1!$A$3:$AW$699,18,FALSE)="","",VLOOKUP($A266,Sheet1!$A$3:$AW$699,18,FALSE))</f>
        <v/>
      </c>
      <c r="H266" s="142" t="str">
        <f>IF(VLOOKUP($A266,Sheet1!$A$3:$AW$699,19,FALSE)="","",VLOOKUP($A266,Sheet1!$A$3:$AW$699,19,FALSE))</f>
        <v/>
      </c>
      <c r="I266" s="9" t="str">
        <f>IF(VLOOKUP($A266,Sheet1!$A$3:$AW$699,5,FALSE)="","",VLOOKUP($A266,Sheet1!$A$3:$AW$699,5,FALSE))</f>
        <v>DINT</v>
      </c>
      <c r="J266" s="9" t="s">
        <v>800</v>
      </c>
      <c r="K266" s="9" t="s">
        <v>658</v>
      </c>
      <c r="L266" s="146" t="str">
        <f>IF(VLOOKUP($A266,Sheet1!$A$3:$AW$699,7,FALSE)="★","x","")</f>
        <v/>
      </c>
      <c r="M266" s="146" t="str">
        <f>IF(VLOOKUP($A266,Sheet1!$A$3:$AW$699,8,FALSE)="▲","x","")</f>
        <v/>
      </c>
      <c r="N266" s="146" t="str">
        <f>IF(VLOOKUP($A266,Sheet1!$A$3:$AW$699,9,FALSE)="●","x","")</f>
        <v/>
      </c>
      <c r="O266" s="146" t="str">
        <f>IF(VLOOKUP($A266,Sheet1!$A$3:$AW$699,10,FALSE)="■","x","")</f>
        <v/>
      </c>
      <c r="P266" s="9" t="str">
        <f>IF(VLOOKUP($A266,Sheet1!$A$3:$AW$699,2,FALSE)="","",VLOOKUP($A266,Sheet1!$A$3:$AW$699,2,FALSE))</f>
        <v>P7.043</v>
      </c>
    </row>
    <row r="267" spans="1:16" ht="20.399999999999999" x14ac:dyDescent="0.3">
      <c r="A267" s="9">
        <v>541</v>
      </c>
      <c r="B267" s="9" t="str">
        <f>IF(VLOOKUP($A267,Sheet1!$A$3:$AW$699,20,FALSE)="","",VLOOKUP($A267,Sheet1!$A$3:$AW$699,20,FALSE))</f>
        <v>PRCmd72Setting</v>
      </c>
      <c r="C267" s="9" t="str">
        <f>IF(VLOOKUP($A267,Sheet1!$A$3:$AW$699,25,FALSE)="","",VLOOKUP($A267,Sheet1!$A$3:$AW$699,25,FALSE))</f>
        <v>PR/IO</v>
      </c>
      <c r="D267" s="142" t="str">
        <f>IF(VLOOKUP($A267,Sheet1!$A$3:$AW$699,15,FALSE)="","",VLOOKUP($A267,Sheet1!$A$3:$AW$699,15,FALSE))</f>
        <v>0x00000000</v>
      </c>
      <c r="E267" s="142" t="str">
        <f>IF(VLOOKUP($A267,Sheet1!$A$3:$AW$699,16,FALSE)="","",VLOOKUP($A267,Sheet1!$A$3:$AW$699,16,FALSE))</f>
        <v>0xFFFFFFFF</v>
      </c>
      <c r="F267" s="142" t="str">
        <f>IF(VLOOKUP($A267,Sheet1!$A$3:$AW$699,17,FALSE)="","",VLOOKUP($A267,Sheet1!$A$3:$AW$699,17,FALSE))</f>
        <v>0x00000000</v>
      </c>
      <c r="G267" s="142" t="str">
        <f>IF(VLOOKUP($A267,Sheet1!$A$3:$AW$699,18,FALSE)="","",VLOOKUP($A267,Sheet1!$A$3:$AW$699,18,FALSE))</f>
        <v/>
      </c>
      <c r="H267" s="142" t="str">
        <f>IF(VLOOKUP($A267,Sheet1!$A$3:$AW$699,19,FALSE)="","",VLOOKUP($A267,Sheet1!$A$3:$AW$699,19,FALSE))</f>
        <v/>
      </c>
      <c r="I267" s="9" t="str">
        <f>IF(VLOOKUP($A267,Sheet1!$A$3:$AW$699,5,FALSE)="","",VLOOKUP($A267,Sheet1!$A$3:$AW$699,5,FALSE))</f>
        <v>UDINT</v>
      </c>
      <c r="J267" s="9" t="s">
        <v>801</v>
      </c>
      <c r="K267" s="9" t="s">
        <v>658</v>
      </c>
      <c r="L267" s="146" t="str">
        <f>IF(VLOOKUP($A267,Sheet1!$A$3:$AW$699,7,FALSE)="★","x","")</f>
        <v/>
      </c>
      <c r="M267" s="146" t="str">
        <f>IF(VLOOKUP($A267,Sheet1!$A$3:$AW$699,8,FALSE)="▲","x","")</f>
        <v/>
      </c>
      <c r="N267" s="146" t="str">
        <f>IF(VLOOKUP($A267,Sheet1!$A$3:$AW$699,9,FALSE)="●","x","")</f>
        <v/>
      </c>
      <c r="O267" s="146" t="str">
        <f>IF(VLOOKUP($A267,Sheet1!$A$3:$AW$699,10,FALSE)="■","x","")</f>
        <v/>
      </c>
      <c r="P267" s="9" t="str">
        <f>IF(VLOOKUP($A267,Sheet1!$A$3:$AW$699,2,FALSE)="","",VLOOKUP($A267,Sheet1!$A$3:$AW$699,2,FALSE))</f>
        <v>P7.044</v>
      </c>
    </row>
    <row r="268" spans="1:16" ht="20.399999999999999" x14ac:dyDescent="0.3">
      <c r="A268" s="9">
        <v>542</v>
      </c>
      <c r="B268" s="9" t="str">
        <f>IF(VLOOKUP($A268,Sheet1!$A$3:$AW$699,20,FALSE)="","",VLOOKUP($A268,Sheet1!$A$3:$AW$699,20,FALSE))</f>
        <v>PRCmd72Data</v>
      </c>
      <c r="C268" s="9" t="str">
        <f>IF(VLOOKUP($A268,Sheet1!$A$3:$AW$699,25,FALSE)="","",VLOOKUP($A268,Sheet1!$A$3:$AW$699,25,FALSE))</f>
        <v>PR/IO</v>
      </c>
      <c r="D268" s="142">
        <f>IF(VLOOKUP($A268,Sheet1!$A$3:$AW$699,15,FALSE)="","",VLOOKUP($A268,Sheet1!$A$3:$AW$699,15,FALSE))</f>
        <v>-2147483648</v>
      </c>
      <c r="E268" s="142">
        <f>IF(VLOOKUP($A268,Sheet1!$A$3:$AW$699,16,FALSE)="","",VLOOKUP($A268,Sheet1!$A$3:$AW$699,16,FALSE))</f>
        <v>2147483647</v>
      </c>
      <c r="F268" s="142">
        <f>IF(VLOOKUP($A268,Sheet1!$A$3:$AW$699,17,FALSE)="","",VLOOKUP($A268,Sheet1!$A$3:$AW$699,17,FALSE))</f>
        <v>0</v>
      </c>
      <c r="G268" s="142" t="str">
        <f>IF(VLOOKUP($A268,Sheet1!$A$3:$AW$699,18,FALSE)="","",VLOOKUP($A268,Sheet1!$A$3:$AW$699,18,FALSE))</f>
        <v/>
      </c>
      <c r="H268" s="142" t="str">
        <f>IF(VLOOKUP($A268,Sheet1!$A$3:$AW$699,19,FALSE)="","",VLOOKUP($A268,Sheet1!$A$3:$AW$699,19,FALSE))</f>
        <v/>
      </c>
      <c r="I268" s="9" t="str">
        <f>IF(VLOOKUP($A268,Sheet1!$A$3:$AW$699,5,FALSE)="","",VLOOKUP($A268,Sheet1!$A$3:$AW$699,5,FALSE))</f>
        <v>DINT</v>
      </c>
      <c r="J268" s="9" t="s">
        <v>802</v>
      </c>
      <c r="K268" s="9" t="s">
        <v>658</v>
      </c>
      <c r="L268" s="146" t="str">
        <f>IF(VLOOKUP($A268,Sheet1!$A$3:$AW$699,7,FALSE)="★","x","")</f>
        <v/>
      </c>
      <c r="M268" s="146" t="str">
        <f>IF(VLOOKUP($A268,Sheet1!$A$3:$AW$699,8,FALSE)="▲","x","")</f>
        <v/>
      </c>
      <c r="N268" s="146" t="str">
        <f>IF(VLOOKUP($A268,Sheet1!$A$3:$AW$699,9,FALSE)="●","x","")</f>
        <v/>
      </c>
      <c r="O268" s="146" t="str">
        <f>IF(VLOOKUP($A268,Sheet1!$A$3:$AW$699,10,FALSE)="■","x","")</f>
        <v/>
      </c>
      <c r="P268" s="9" t="str">
        <f>IF(VLOOKUP($A268,Sheet1!$A$3:$AW$699,2,FALSE)="","",VLOOKUP($A268,Sheet1!$A$3:$AW$699,2,FALSE))</f>
        <v>P7.045</v>
      </c>
    </row>
    <row r="269" spans="1:16" ht="20.399999999999999" x14ac:dyDescent="0.3">
      <c r="A269" s="9">
        <v>543</v>
      </c>
      <c r="B269" s="9" t="str">
        <f>IF(VLOOKUP($A269,Sheet1!$A$3:$AW$699,20,FALSE)="","",VLOOKUP($A269,Sheet1!$A$3:$AW$699,20,FALSE))</f>
        <v>PRCmd73Setting</v>
      </c>
      <c r="C269" s="9" t="str">
        <f>IF(VLOOKUP($A269,Sheet1!$A$3:$AW$699,25,FALSE)="","",VLOOKUP($A269,Sheet1!$A$3:$AW$699,25,FALSE))</f>
        <v>PR/IO</v>
      </c>
      <c r="D269" s="142" t="str">
        <f>IF(VLOOKUP($A269,Sheet1!$A$3:$AW$699,15,FALSE)="","",VLOOKUP($A269,Sheet1!$A$3:$AW$699,15,FALSE))</f>
        <v>0x00000000</v>
      </c>
      <c r="E269" s="142" t="str">
        <f>IF(VLOOKUP($A269,Sheet1!$A$3:$AW$699,16,FALSE)="","",VLOOKUP($A269,Sheet1!$A$3:$AW$699,16,FALSE))</f>
        <v>0xFFFFFFFF</v>
      </c>
      <c r="F269" s="142" t="str">
        <f>IF(VLOOKUP($A269,Sheet1!$A$3:$AW$699,17,FALSE)="","",VLOOKUP($A269,Sheet1!$A$3:$AW$699,17,FALSE))</f>
        <v>0x00000000</v>
      </c>
      <c r="G269" s="142" t="str">
        <f>IF(VLOOKUP($A269,Sheet1!$A$3:$AW$699,18,FALSE)="","",VLOOKUP($A269,Sheet1!$A$3:$AW$699,18,FALSE))</f>
        <v/>
      </c>
      <c r="H269" s="142" t="str">
        <f>IF(VLOOKUP($A269,Sheet1!$A$3:$AW$699,19,FALSE)="","",VLOOKUP($A269,Sheet1!$A$3:$AW$699,19,FALSE))</f>
        <v/>
      </c>
      <c r="I269" s="9" t="str">
        <f>IF(VLOOKUP($A269,Sheet1!$A$3:$AW$699,5,FALSE)="","",VLOOKUP($A269,Sheet1!$A$3:$AW$699,5,FALSE))</f>
        <v>UDINT</v>
      </c>
      <c r="J269" s="9" t="s">
        <v>803</v>
      </c>
      <c r="K269" s="9" t="s">
        <v>658</v>
      </c>
      <c r="L269" s="146" t="str">
        <f>IF(VLOOKUP($A269,Sheet1!$A$3:$AW$699,7,FALSE)="★","x","")</f>
        <v/>
      </c>
      <c r="M269" s="146" t="str">
        <f>IF(VLOOKUP($A269,Sheet1!$A$3:$AW$699,8,FALSE)="▲","x","")</f>
        <v/>
      </c>
      <c r="N269" s="146" t="str">
        <f>IF(VLOOKUP($A269,Sheet1!$A$3:$AW$699,9,FALSE)="●","x","")</f>
        <v/>
      </c>
      <c r="O269" s="146" t="str">
        <f>IF(VLOOKUP($A269,Sheet1!$A$3:$AW$699,10,FALSE)="■","x","")</f>
        <v/>
      </c>
      <c r="P269" s="9" t="str">
        <f>IF(VLOOKUP($A269,Sheet1!$A$3:$AW$699,2,FALSE)="","",VLOOKUP($A269,Sheet1!$A$3:$AW$699,2,FALSE))</f>
        <v>P7.046</v>
      </c>
    </row>
    <row r="270" spans="1:16" ht="20.399999999999999" x14ac:dyDescent="0.3">
      <c r="A270" s="9">
        <v>544</v>
      </c>
      <c r="B270" s="9" t="str">
        <f>IF(VLOOKUP($A270,Sheet1!$A$3:$AW$699,20,FALSE)="","",VLOOKUP($A270,Sheet1!$A$3:$AW$699,20,FALSE))</f>
        <v>PRCmd73Data</v>
      </c>
      <c r="C270" s="9" t="str">
        <f>IF(VLOOKUP($A270,Sheet1!$A$3:$AW$699,25,FALSE)="","",VLOOKUP($A270,Sheet1!$A$3:$AW$699,25,FALSE))</f>
        <v>PR/IO</v>
      </c>
      <c r="D270" s="142">
        <f>IF(VLOOKUP($A270,Sheet1!$A$3:$AW$699,15,FALSE)="","",VLOOKUP($A270,Sheet1!$A$3:$AW$699,15,FALSE))</f>
        <v>-2147483648</v>
      </c>
      <c r="E270" s="142">
        <f>IF(VLOOKUP($A270,Sheet1!$A$3:$AW$699,16,FALSE)="","",VLOOKUP($A270,Sheet1!$A$3:$AW$699,16,FALSE))</f>
        <v>2147483647</v>
      </c>
      <c r="F270" s="142">
        <f>IF(VLOOKUP($A270,Sheet1!$A$3:$AW$699,17,FALSE)="","",VLOOKUP($A270,Sheet1!$A$3:$AW$699,17,FALSE))</f>
        <v>0</v>
      </c>
      <c r="G270" s="142" t="str">
        <f>IF(VLOOKUP($A270,Sheet1!$A$3:$AW$699,18,FALSE)="","",VLOOKUP($A270,Sheet1!$A$3:$AW$699,18,FALSE))</f>
        <v/>
      </c>
      <c r="H270" s="142" t="str">
        <f>IF(VLOOKUP($A270,Sheet1!$A$3:$AW$699,19,FALSE)="","",VLOOKUP($A270,Sheet1!$A$3:$AW$699,19,FALSE))</f>
        <v/>
      </c>
      <c r="I270" s="9" t="str">
        <f>IF(VLOOKUP($A270,Sheet1!$A$3:$AW$699,5,FALSE)="","",VLOOKUP($A270,Sheet1!$A$3:$AW$699,5,FALSE))</f>
        <v>DINT</v>
      </c>
      <c r="J270" s="9" t="s">
        <v>804</v>
      </c>
      <c r="K270" s="9" t="s">
        <v>658</v>
      </c>
      <c r="L270" s="146" t="str">
        <f>IF(VLOOKUP($A270,Sheet1!$A$3:$AW$699,7,FALSE)="★","x","")</f>
        <v/>
      </c>
      <c r="M270" s="146" t="str">
        <f>IF(VLOOKUP($A270,Sheet1!$A$3:$AW$699,8,FALSE)="▲","x","")</f>
        <v/>
      </c>
      <c r="N270" s="146" t="str">
        <f>IF(VLOOKUP($A270,Sheet1!$A$3:$AW$699,9,FALSE)="●","x","")</f>
        <v/>
      </c>
      <c r="O270" s="146" t="str">
        <f>IF(VLOOKUP($A270,Sheet1!$A$3:$AW$699,10,FALSE)="■","x","")</f>
        <v/>
      </c>
      <c r="P270" s="9" t="str">
        <f>IF(VLOOKUP($A270,Sheet1!$A$3:$AW$699,2,FALSE)="","",VLOOKUP($A270,Sheet1!$A$3:$AW$699,2,FALSE))</f>
        <v>P7.047</v>
      </c>
    </row>
    <row r="271" spans="1:16" ht="20.399999999999999" x14ac:dyDescent="0.3">
      <c r="A271" s="9">
        <v>545</v>
      </c>
      <c r="B271" s="9" t="str">
        <f>IF(VLOOKUP($A271,Sheet1!$A$3:$AW$699,20,FALSE)="","",VLOOKUP($A271,Sheet1!$A$3:$AW$699,20,FALSE))</f>
        <v>PRCmd74Setting</v>
      </c>
      <c r="C271" s="9" t="str">
        <f>IF(VLOOKUP($A271,Sheet1!$A$3:$AW$699,25,FALSE)="","",VLOOKUP($A271,Sheet1!$A$3:$AW$699,25,FALSE))</f>
        <v>PR/IO</v>
      </c>
      <c r="D271" s="142" t="str">
        <f>IF(VLOOKUP($A271,Sheet1!$A$3:$AW$699,15,FALSE)="","",VLOOKUP($A271,Sheet1!$A$3:$AW$699,15,FALSE))</f>
        <v>0x00000000</v>
      </c>
      <c r="E271" s="142" t="str">
        <f>IF(VLOOKUP($A271,Sheet1!$A$3:$AW$699,16,FALSE)="","",VLOOKUP($A271,Sheet1!$A$3:$AW$699,16,FALSE))</f>
        <v>0xFFFFFFFF</v>
      </c>
      <c r="F271" s="142" t="str">
        <f>IF(VLOOKUP($A271,Sheet1!$A$3:$AW$699,17,FALSE)="","",VLOOKUP($A271,Sheet1!$A$3:$AW$699,17,FALSE))</f>
        <v>0x00000000</v>
      </c>
      <c r="G271" s="142" t="str">
        <f>IF(VLOOKUP($A271,Sheet1!$A$3:$AW$699,18,FALSE)="","",VLOOKUP($A271,Sheet1!$A$3:$AW$699,18,FALSE))</f>
        <v/>
      </c>
      <c r="H271" s="142" t="str">
        <f>IF(VLOOKUP($A271,Sheet1!$A$3:$AW$699,19,FALSE)="","",VLOOKUP($A271,Sheet1!$A$3:$AW$699,19,FALSE))</f>
        <v/>
      </c>
      <c r="I271" s="9" t="str">
        <f>IF(VLOOKUP($A271,Sheet1!$A$3:$AW$699,5,FALSE)="","",VLOOKUP($A271,Sheet1!$A$3:$AW$699,5,FALSE))</f>
        <v>UDINT</v>
      </c>
      <c r="J271" s="9" t="s">
        <v>805</v>
      </c>
      <c r="K271" s="9" t="s">
        <v>658</v>
      </c>
      <c r="L271" s="146" t="str">
        <f>IF(VLOOKUP($A271,Sheet1!$A$3:$AW$699,7,FALSE)="★","x","")</f>
        <v/>
      </c>
      <c r="M271" s="146" t="str">
        <f>IF(VLOOKUP($A271,Sheet1!$A$3:$AW$699,8,FALSE)="▲","x","")</f>
        <v/>
      </c>
      <c r="N271" s="146" t="str">
        <f>IF(VLOOKUP($A271,Sheet1!$A$3:$AW$699,9,FALSE)="●","x","")</f>
        <v/>
      </c>
      <c r="O271" s="146" t="str">
        <f>IF(VLOOKUP($A271,Sheet1!$A$3:$AW$699,10,FALSE)="■","x","")</f>
        <v/>
      </c>
      <c r="P271" s="9" t="str">
        <f>IF(VLOOKUP($A271,Sheet1!$A$3:$AW$699,2,FALSE)="","",VLOOKUP($A271,Sheet1!$A$3:$AW$699,2,FALSE))</f>
        <v>P7.048</v>
      </c>
    </row>
    <row r="272" spans="1:16" ht="20.399999999999999" x14ac:dyDescent="0.3">
      <c r="A272" s="9">
        <v>546</v>
      </c>
      <c r="B272" s="9" t="str">
        <f>IF(VLOOKUP($A272,Sheet1!$A$3:$AW$699,20,FALSE)="","",VLOOKUP($A272,Sheet1!$A$3:$AW$699,20,FALSE))</f>
        <v>PRCmd74Data</v>
      </c>
      <c r="C272" s="9" t="str">
        <f>IF(VLOOKUP($A272,Sheet1!$A$3:$AW$699,25,FALSE)="","",VLOOKUP($A272,Sheet1!$A$3:$AW$699,25,FALSE))</f>
        <v>PR/IO</v>
      </c>
      <c r="D272" s="142">
        <f>IF(VLOOKUP($A272,Sheet1!$A$3:$AW$699,15,FALSE)="","",VLOOKUP($A272,Sheet1!$A$3:$AW$699,15,FALSE))</f>
        <v>-2147483648</v>
      </c>
      <c r="E272" s="142">
        <f>IF(VLOOKUP($A272,Sheet1!$A$3:$AW$699,16,FALSE)="","",VLOOKUP($A272,Sheet1!$A$3:$AW$699,16,FALSE))</f>
        <v>2147483647</v>
      </c>
      <c r="F272" s="142">
        <f>IF(VLOOKUP($A272,Sheet1!$A$3:$AW$699,17,FALSE)="","",VLOOKUP($A272,Sheet1!$A$3:$AW$699,17,FALSE))</f>
        <v>0</v>
      </c>
      <c r="G272" s="142" t="str">
        <f>IF(VLOOKUP($A272,Sheet1!$A$3:$AW$699,18,FALSE)="","",VLOOKUP($A272,Sheet1!$A$3:$AW$699,18,FALSE))</f>
        <v/>
      </c>
      <c r="H272" s="142" t="str">
        <f>IF(VLOOKUP($A272,Sheet1!$A$3:$AW$699,19,FALSE)="","",VLOOKUP($A272,Sheet1!$A$3:$AW$699,19,FALSE))</f>
        <v/>
      </c>
      <c r="I272" s="9" t="str">
        <f>IF(VLOOKUP($A272,Sheet1!$A$3:$AW$699,5,FALSE)="","",VLOOKUP($A272,Sheet1!$A$3:$AW$699,5,FALSE))</f>
        <v>DINT</v>
      </c>
      <c r="J272" s="9" t="s">
        <v>806</v>
      </c>
      <c r="K272" s="9" t="s">
        <v>658</v>
      </c>
      <c r="L272" s="146" t="str">
        <f>IF(VLOOKUP($A272,Sheet1!$A$3:$AW$699,7,FALSE)="★","x","")</f>
        <v/>
      </c>
      <c r="M272" s="146" t="str">
        <f>IF(VLOOKUP($A272,Sheet1!$A$3:$AW$699,8,FALSE)="▲","x","")</f>
        <v/>
      </c>
      <c r="N272" s="146" t="str">
        <f>IF(VLOOKUP($A272,Sheet1!$A$3:$AW$699,9,FALSE)="●","x","")</f>
        <v/>
      </c>
      <c r="O272" s="146" t="str">
        <f>IF(VLOOKUP($A272,Sheet1!$A$3:$AW$699,10,FALSE)="■","x","")</f>
        <v/>
      </c>
      <c r="P272" s="9" t="str">
        <f>IF(VLOOKUP($A272,Sheet1!$A$3:$AW$699,2,FALSE)="","",VLOOKUP($A272,Sheet1!$A$3:$AW$699,2,FALSE))</f>
        <v>P7.049</v>
      </c>
    </row>
    <row r="273" spans="1:16" ht="20.399999999999999" x14ac:dyDescent="0.3">
      <c r="A273" s="9">
        <v>547</v>
      </c>
      <c r="B273" s="9" t="str">
        <f>IF(VLOOKUP($A273,Sheet1!$A$3:$AW$699,20,FALSE)="","",VLOOKUP($A273,Sheet1!$A$3:$AW$699,20,FALSE))</f>
        <v>PRCmd75Setting</v>
      </c>
      <c r="C273" s="9" t="str">
        <f>IF(VLOOKUP($A273,Sheet1!$A$3:$AW$699,25,FALSE)="","",VLOOKUP($A273,Sheet1!$A$3:$AW$699,25,FALSE))</f>
        <v>PR/IO</v>
      </c>
      <c r="D273" s="142" t="str">
        <f>IF(VLOOKUP($A273,Sheet1!$A$3:$AW$699,15,FALSE)="","",VLOOKUP($A273,Sheet1!$A$3:$AW$699,15,FALSE))</f>
        <v>0x00000000</v>
      </c>
      <c r="E273" s="142" t="str">
        <f>IF(VLOOKUP($A273,Sheet1!$A$3:$AW$699,16,FALSE)="","",VLOOKUP($A273,Sheet1!$A$3:$AW$699,16,FALSE))</f>
        <v>0xFFFFFFFF</v>
      </c>
      <c r="F273" s="142" t="str">
        <f>IF(VLOOKUP($A273,Sheet1!$A$3:$AW$699,17,FALSE)="","",VLOOKUP($A273,Sheet1!$A$3:$AW$699,17,FALSE))</f>
        <v>0x00000000</v>
      </c>
      <c r="G273" s="142" t="str">
        <f>IF(VLOOKUP($A273,Sheet1!$A$3:$AW$699,18,FALSE)="","",VLOOKUP($A273,Sheet1!$A$3:$AW$699,18,FALSE))</f>
        <v/>
      </c>
      <c r="H273" s="142" t="str">
        <f>IF(VLOOKUP($A273,Sheet1!$A$3:$AW$699,19,FALSE)="","",VLOOKUP($A273,Sheet1!$A$3:$AW$699,19,FALSE))</f>
        <v/>
      </c>
      <c r="I273" s="9" t="str">
        <f>IF(VLOOKUP($A273,Sheet1!$A$3:$AW$699,5,FALSE)="","",VLOOKUP($A273,Sheet1!$A$3:$AW$699,5,FALSE))</f>
        <v>UDINT</v>
      </c>
      <c r="J273" s="9" t="s">
        <v>807</v>
      </c>
      <c r="K273" s="9" t="s">
        <v>658</v>
      </c>
      <c r="L273" s="146" t="str">
        <f>IF(VLOOKUP($A273,Sheet1!$A$3:$AW$699,7,FALSE)="★","x","")</f>
        <v/>
      </c>
      <c r="M273" s="146" t="str">
        <f>IF(VLOOKUP($A273,Sheet1!$A$3:$AW$699,8,FALSE)="▲","x","")</f>
        <v/>
      </c>
      <c r="N273" s="146" t="str">
        <f>IF(VLOOKUP($A273,Sheet1!$A$3:$AW$699,9,FALSE)="●","x","")</f>
        <v/>
      </c>
      <c r="O273" s="146" t="str">
        <f>IF(VLOOKUP($A273,Sheet1!$A$3:$AW$699,10,FALSE)="■","x","")</f>
        <v/>
      </c>
      <c r="P273" s="9" t="str">
        <f>IF(VLOOKUP($A273,Sheet1!$A$3:$AW$699,2,FALSE)="","",VLOOKUP($A273,Sheet1!$A$3:$AW$699,2,FALSE))</f>
        <v>P7.050</v>
      </c>
    </row>
    <row r="274" spans="1:16" ht="20.399999999999999" x14ac:dyDescent="0.3">
      <c r="A274" s="9">
        <v>548</v>
      </c>
      <c r="B274" s="9" t="str">
        <f>IF(VLOOKUP($A274,Sheet1!$A$3:$AW$699,20,FALSE)="","",VLOOKUP($A274,Sheet1!$A$3:$AW$699,20,FALSE))</f>
        <v>PRCmd75Data</v>
      </c>
      <c r="C274" s="9" t="str">
        <f>IF(VLOOKUP($A274,Sheet1!$A$3:$AW$699,25,FALSE)="","",VLOOKUP($A274,Sheet1!$A$3:$AW$699,25,FALSE))</f>
        <v>PR/IO</v>
      </c>
      <c r="D274" s="142">
        <f>IF(VLOOKUP($A274,Sheet1!$A$3:$AW$699,15,FALSE)="","",VLOOKUP($A274,Sheet1!$A$3:$AW$699,15,FALSE))</f>
        <v>-2147483648</v>
      </c>
      <c r="E274" s="142">
        <f>IF(VLOOKUP($A274,Sheet1!$A$3:$AW$699,16,FALSE)="","",VLOOKUP($A274,Sheet1!$A$3:$AW$699,16,FALSE))</f>
        <v>2147483647</v>
      </c>
      <c r="F274" s="142">
        <f>IF(VLOOKUP($A274,Sheet1!$A$3:$AW$699,17,FALSE)="","",VLOOKUP($A274,Sheet1!$A$3:$AW$699,17,FALSE))</f>
        <v>0</v>
      </c>
      <c r="G274" s="142" t="str">
        <f>IF(VLOOKUP($A274,Sheet1!$A$3:$AW$699,18,FALSE)="","",VLOOKUP($A274,Sheet1!$A$3:$AW$699,18,FALSE))</f>
        <v/>
      </c>
      <c r="H274" s="142" t="str">
        <f>IF(VLOOKUP($A274,Sheet1!$A$3:$AW$699,19,FALSE)="","",VLOOKUP($A274,Sheet1!$A$3:$AW$699,19,FALSE))</f>
        <v/>
      </c>
      <c r="I274" s="9" t="str">
        <f>IF(VLOOKUP($A274,Sheet1!$A$3:$AW$699,5,FALSE)="","",VLOOKUP($A274,Sheet1!$A$3:$AW$699,5,FALSE))</f>
        <v>DINT</v>
      </c>
      <c r="J274" s="9" t="s">
        <v>808</v>
      </c>
      <c r="K274" s="9" t="s">
        <v>658</v>
      </c>
      <c r="L274" s="146" t="str">
        <f>IF(VLOOKUP($A274,Sheet1!$A$3:$AW$699,7,FALSE)="★","x","")</f>
        <v/>
      </c>
      <c r="M274" s="146" t="str">
        <f>IF(VLOOKUP($A274,Sheet1!$A$3:$AW$699,8,FALSE)="▲","x","")</f>
        <v/>
      </c>
      <c r="N274" s="146" t="str">
        <f>IF(VLOOKUP($A274,Sheet1!$A$3:$AW$699,9,FALSE)="●","x","")</f>
        <v/>
      </c>
      <c r="O274" s="146" t="str">
        <f>IF(VLOOKUP($A274,Sheet1!$A$3:$AW$699,10,FALSE)="■","x","")</f>
        <v/>
      </c>
      <c r="P274" s="9" t="str">
        <f>IF(VLOOKUP($A274,Sheet1!$A$3:$AW$699,2,FALSE)="","",VLOOKUP($A274,Sheet1!$A$3:$AW$699,2,FALSE))</f>
        <v>P7.051</v>
      </c>
    </row>
    <row r="275" spans="1:16" ht="20.399999999999999" x14ac:dyDescent="0.3">
      <c r="A275" s="9">
        <v>549</v>
      </c>
      <c r="B275" s="9" t="str">
        <f>IF(VLOOKUP($A275,Sheet1!$A$3:$AW$699,20,FALSE)="","",VLOOKUP($A275,Sheet1!$A$3:$AW$699,20,FALSE))</f>
        <v>PRCmd76Setting</v>
      </c>
      <c r="C275" s="9" t="str">
        <f>IF(VLOOKUP($A275,Sheet1!$A$3:$AW$699,25,FALSE)="","",VLOOKUP($A275,Sheet1!$A$3:$AW$699,25,FALSE))</f>
        <v>PR/IO</v>
      </c>
      <c r="D275" s="142" t="str">
        <f>IF(VLOOKUP($A275,Sheet1!$A$3:$AW$699,15,FALSE)="","",VLOOKUP($A275,Sheet1!$A$3:$AW$699,15,FALSE))</f>
        <v>0x00000000</v>
      </c>
      <c r="E275" s="142" t="str">
        <f>IF(VLOOKUP($A275,Sheet1!$A$3:$AW$699,16,FALSE)="","",VLOOKUP($A275,Sheet1!$A$3:$AW$699,16,FALSE))</f>
        <v>0xFFFFFFFF</v>
      </c>
      <c r="F275" s="142" t="str">
        <f>IF(VLOOKUP($A275,Sheet1!$A$3:$AW$699,17,FALSE)="","",VLOOKUP($A275,Sheet1!$A$3:$AW$699,17,FALSE))</f>
        <v>0x00000000</v>
      </c>
      <c r="G275" s="142" t="str">
        <f>IF(VLOOKUP($A275,Sheet1!$A$3:$AW$699,18,FALSE)="","",VLOOKUP($A275,Sheet1!$A$3:$AW$699,18,FALSE))</f>
        <v/>
      </c>
      <c r="H275" s="142" t="str">
        <f>IF(VLOOKUP($A275,Sheet1!$A$3:$AW$699,19,FALSE)="","",VLOOKUP($A275,Sheet1!$A$3:$AW$699,19,FALSE))</f>
        <v/>
      </c>
      <c r="I275" s="9" t="str">
        <f>IF(VLOOKUP($A275,Sheet1!$A$3:$AW$699,5,FALSE)="","",VLOOKUP($A275,Sheet1!$A$3:$AW$699,5,FALSE))</f>
        <v>UDINT</v>
      </c>
      <c r="J275" s="9" t="s">
        <v>809</v>
      </c>
      <c r="K275" s="9" t="s">
        <v>658</v>
      </c>
      <c r="L275" s="146" t="str">
        <f>IF(VLOOKUP($A275,Sheet1!$A$3:$AW$699,7,FALSE)="★","x","")</f>
        <v/>
      </c>
      <c r="M275" s="146" t="str">
        <f>IF(VLOOKUP($A275,Sheet1!$A$3:$AW$699,8,FALSE)="▲","x","")</f>
        <v/>
      </c>
      <c r="N275" s="146" t="str">
        <f>IF(VLOOKUP($A275,Sheet1!$A$3:$AW$699,9,FALSE)="●","x","")</f>
        <v/>
      </c>
      <c r="O275" s="146" t="str">
        <f>IF(VLOOKUP($A275,Sheet1!$A$3:$AW$699,10,FALSE)="■","x","")</f>
        <v/>
      </c>
      <c r="P275" s="9" t="str">
        <f>IF(VLOOKUP($A275,Sheet1!$A$3:$AW$699,2,FALSE)="","",VLOOKUP($A275,Sheet1!$A$3:$AW$699,2,FALSE))</f>
        <v>P7.052</v>
      </c>
    </row>
    <row r="276" spans="1:16" ht="20.399999999999999" x14ac:dyDescent="0.3">
      <c r="A276" s="9">
        <v>550</v>
      </c>
      <c r="B276" s="9" t="str">
        <f>IF(VLOOKUP($A276,Sheet1!$A$3:$AW$699,20,FALSE)="","",VLOOKUP($A276,Sheet1!$A$3:$AW$699,20,FALSE))</f>
        <v>PRCmd76Data</v>
      </c>
      <c r="C276" s="9" t="str">
        <f>IF(VLOOKUP($A276,Sheet1!$A$3:$AW$699,25,FALSE)="","",VLOOKUP($A276,Sheet1!$A$3:$AW$699,25,FALSE))</f>
        <v>PR/IO</v>
      </c>
      <c r="D276" s="142">
        <f>IF(VLOOKUP($A276,Sheet1!$A$3:$AW$699,15,FALSE)="","",VLOOKUP($A276,Sheet1!$A$3:$AW$699,15,FALSE))</f>
        <v>-2147483648</v>
      </c>
      <c r="E276" s="142">
        <f>IF(VLOOKUP($A276,Sheet1!$A$3:$AW$699,16,FALSE)="","",VLOOKUP($A276,Sheet1!$A$3:$AW$699,16,FALSE))</f>
        <v>2147483647</v>
      </c>
      <c r="F276" s="142">
        <f>IF(VLOOKUP($A276,Sheet1!$A$3:$AW$699,17,FALSE)="","",VLOOKUP($A276,Sheet1!$A$3:$AW$699,17,FALSE))</f>
        <v>0</v>
      </c>
      <c r="G276" s="142" t="str">
        <f>IF(VLOOKUP($A276,Sheet1!$A$3:$AW$699,18,FALSE)="","",VLOOKUP($A276,Sheet1!$A$3:$AW$699,18,FALSE))</f>
        <v/>
      </c>
      <c r="H276" s="142" t="str">
        <f>IF(VLOOKUP($A276,Sheet1!$A$3:$AW$699,19,FALSE)="","",VLOOKUP($A276,Sheet1!$A$3:$AW$699,19,FALSE))</f>
        <v/>
      </c>
      <c r="I276" s="9" t="str">
        <f>IF(VLOOKUP($A276,Sheet1!$A$3:$AW$699,5,FALSE)="","",VLOOKUP($A276,Sheet1!$A$3:$AW$699,5,FALSE))</f>
        <v>DINT</v>
      </c>
      <c r="J276" s="9" t="s">
        <v>810</v>
      </c>
      <c r="K276" s="9" t="s">
        <v>658</v>
      </c>
      <c r="L276" s="146" t="str">
        <f>IF(VLOOKUP($A276,Sheet1!$A$3:$AW$699,7,FALSE)="★","x","")</f>
        <v/>
      </c>
      <c r="M276" s="146" t="str">
        <f>IF(VLOOKUP($A276,Sheet1!$A$3:$AW$699,8,FALSE)="▲","x","")</f>
        <v/>
      </c>
      <c r="N276" s="146" t="str">
        <f>IF(VLOOKUP($A276,Sheet1!$A$3:$AW$699,9,FALSE)="●","x","")</f>
        <v/>
      </c>
      <c r="O276" s="146" t="str">
        <f>IF(VLOOKUP($A276,Sheet1!$A$3:$AW$699,10,FALSE)="■","x","")</f>
        <v/>
      </c>
      <c r="P276" s="9" t="str">
        <f>IF(VLOOKUP($A276,Sheet1!$A$3:$AW$699,2,FALSE)="","",VLOOKUP($A276,Sheet1!$A$3:$AW$699,2,FALSE))</f>
        <v>P7.053</v>
      </c>
    </row>
    <row r="277" spans="1:16" ht="20.399999999999999" x14ac:dyDescent="0.3">
      <c r="A277" s="9">
        <v>551</v>
      </c>
      <c r="B277" s="9" t="str">
        <f>IF(VLOOKUP($A277,Sheet1!$A$3:$AW$699,20,FALSE)="","",VLOOKUP($A277,Sheet1!$A$3:$AW$699,20,FALSE))</f>
        <v>PRCmd77Setting</v>
      </c>
      <c r="C277" s="9" t="str">
        <f>IF(VLOOKUP($A277,Sheet1!$A$3:$AW$699,25,FALSE)="","",VLOOKUP($A277,Sheet1!$A$3:$AW$699,25,FALSE))</f>
        <v>PR/IO</v>
      </c>
      <c r="D277" s="142" t="str">
        <f>IF(VLOOKUP($A277,Sheet1!$A$3:$AW$699,15,FALSE)="","",VLOOKUP($A277,Sheet1!$A$3:$AW$699,15,FALSE))</f>
        <v>0x00000000</v>
      </c>
      <c r="E277" s="142" t="str">
        <f>IF(VLOOKUP($A277,Sheet1!$A$3:$AW$699,16,FALSE)="","",VLOOKUP($A277,Sheet1!$A$3:$AW$699,16,FALSE))</f>
        <v>0xFFFFFFFF</v>
      </c>
      <c r="F277" s="142" t="str">
        <f>IF(VLOOKUP($A277,Sheet1!$A$3:$AW$699,17,FALSE)="","",VLOOKUP($A277,Sheet1!$A$3:$AW$699,17,FALSE))</f>
        <v>0x00000000</v>
      </c>
      <c r="G277" s="142" t="str">
        <f>IF(VLOOKUP($A277,Sheet1!$A$3:$AW$699,18,FALSE)="","",VLOOKUP($A277,Sheet1!$A$3:$AW$699,18,FALSE))</f>
        <v/>
      </c>
      <c r="H277" s="142" t="str">
        <f>IF(VLOOKUP($A277,Sheet1!$A$3:$AW$699,19,FALSE)="","",VLOOKUP($A277,Sheet1!$A$3:$AW$699,19,FALSE))</f>
        <v/>
      </c>
      <c r="I277" s="9" t="str">
        <f>IF(VLOOKUP($A277,Sheet1!$A$3:$AW$699,5,FALSE)="","",VLOOKUP($A277,Sheet1!$A$3:$AW$699,5,FALSE))</f>
        <v>UDINT</v>
      </c>
      <c r="J277" s="9" t="s">
        <v>811</v>
      </c>
      <c r="K277" s="9" t="s">
        <v>658</v>
      </c>
      <c r="L277" s="146" t="str">
        <f>IF(VLOOKUP($A277,Sheet1!$A$3:$AW$699,7,FALSE)="★","x","")</f>
        <v/>
      </c>
      <c r="M277" s="146" t="str">
        <f>IF(VLOOKUP($A277,Sheet1!$A$3:$AW$699,8,FALSE)="▲","x","")</f>
        <v/>
      </c>
      <c r="N277" s="146" t="str">
        <f>IF(VLOOKUP($A277,Sheet1!$A$3:$AW$699,9,FALSE)="●","x","")</f>
        <v/>
      </c>
      <c r="O277" s="146" t="str">
        <f>IF(VLOOKUP($A277,Sheet1!$A$3:$AW$699,10,FALSE)="■","x","")</f>
        <v/>
      </c>
      <c r="P277" s="9" t="str">
        <f>IF(VLOOKUP($A277,Sheet1!$A$3:$AW$699,2,FALSE)="","",VLOOKUP($A277,Sheet1!$A$3:$AW$699,2,FALSE))</f>
        <v>P7.054</v>
      </c>
    </row>
    <row r="278" spans="1:16" ht="20.399999999999999" x14ac:dyDescent="0.3">
      <c r="A278" s="9">
        <v>552</v>
      </c>
      <c r="B278" s="9" t="str">
        <f>IF(VLOOKUP($A278,Sheet1!$A$3:$AW$699,20,FALSE)="","",VLOOKUP($A278,Sheet1!$A$3:$AW$699,20,FALSE))</f>
        <v>PRCmd77Data</v>
      </c>
      <c r="C278" s="9" t="str">
        <f>IF(VLOOKUP($A278,Sheet1!$A$3:$AW$699,25,FALSE)="","",VLOOKUP($A278,Sheet1!$A$3:$AW$699,25,FALSE))</f>
        <v>PR/IO</v>
      </c>
      <c r="D278" s="142">
        <f>IF(VLOOKUP($A278,Sheet1!$A$3:$AW$699,15,FALSE)="","",VLOOKUP($A278,Sheet1!$A$3:$AW$699,15,FALSE))</f>
        <v>-2147483648</v>
      </c>
      <c r="E278" s="142">
        <f>IF(VLOOKUP($A278,Sheet1!$A$3:$AW$699,16,FALSE)="","",VLOOKUP($A278,Sheet1!$A$3:$AW$699,16,FALSE))</f>
        <v>2147483647</v>
      </c>
      <c r="F278" s="142">
        <f>IF(VLOOKUP($A278,Sheet1!$A$3:$AW$699,17,FALSE)="","",VLOOKUP($A278,Sheet1!$A$3:$AW$699,17,FALSE))</f>
        <v>0</v>
      </c>
      <c r="G278" s="142" t="str">
        <f>IF(VLOOKUP($A278,Sheet1!$A$3:$AW$699,18,FALSE)="","",VLOOKUP($A278,Sheet1!$A$3:$AW$699,18,FALSE))</f>
        <v/>
      </c>
      <c r="H278" s="142" t="str">
        <f>IF(VLOOKUP($A278,Sheet1!$A$3:$AW$699,19,FALSE)="","",VLOOKUP($A278,Sheet1!$A$3:$AW$699,19,FALSE))</f>
        <v/>
      </c>
      <c r="I278" s="9" t="str">
        <f>IF(VLOOKUP($A278,Sheet1!$A$3:$AW$699,5,FALSE)="","",VLOOKUP($A278,Sheet1!$A$3:$AW$699,5,FALSE))</f>
        <v>DINT</v>
      </c>
      <c r="J278" s="9" t="s">
        <v>812</v>
      </c>
      <c r="K278" s="9" t="s">
        <v>658</v>
      </c>
      <c r="L278" s="146" t="str">
        <f>IF(VLOOKUP($A278,Sheet1!$A$3:$AW$699,7,FALSE)="★","x","")</f>
        <v/>
      </c>
      <c r="M278" s="146" t="str">
        <f>IF(VLOOKUP($A278,Sheet1!$A$3:$AW$699,8,FALSE)="▲","x","")</f>
        <v/>
      </c>
      <c r="N278" s="146" t="str">
        <f>IF(VLOOKUP($A278,Sheet1!$A$3:$AW$699,9,FALSE)="●","x","")</f>
        <v/>
      </c>
      <c r="O278" s="146" t="str">
        <f>IF(VLOOKUP($A278,Sheet1!$A$3:$AW$699,10,FALSE)="■","x","")</f>
        <v/>
      </c>
      <c r="P278" s="9" t="str">
        <f>IF(VLOOKUP($A278,Sheet1!$A$3:$AW$699,2,FALSE)="","",VLOOKUP($A278,Sheet1!$A$3:$AW$699,2,FALSE))</f>
        <v>P7.055</v>
      </c>
    </row>
    <row r="279" spans="1:16" ht="20.399999999999999" x14ac:dyDescent="0.3">
      <c r="A279" s="9">
        <v>553</v>
      </c>
      <c r="B279" s="9" t="str">
        <f>IF(VLOOKUP($A279,Sheet1!$A$3:$AW$699,20,FALSE)="","",VLOOKUP($A279,Sheet1!$A$3:$AW$699,20,FALSE))</f>
        <v>PRCmd78Setting</v>
      </c>
      <c r="C279" s="9" t="str">
        <f>IF(VLOOKUP($A279,Sheet1!$A$3:$AW$699,25,FALSE)="","",VLOOKUP($A279,Sheet1!$A$3:$AW$699,25,FALSE))</f>
        <v>PR/IO</v>
      </c>
      <c r="D279" s="142" t="str">
        <f>IF(VLOOKUP($A279,Sheet1!$A$3:$AW$699,15,FALSE)="","",VLOOKUP($A279,Sheet1!$A$3:$AW$699,15,FALSE))</f>
        <v>0x00000000</v>
      </c>
      <c r="E279" s="142" t="str">
        <f>IF(VLOOKUP($A279,Sheet1!$A$3:$AW$699,16,FALSE)="","",VLOOKUP($A279,Sheet1!$A$3:$AW$699,16,FALSE))</f>
        <v>0xFFFFFFFF</v>
      </c>
      <c r="F279" s="142" t="str">
        <f>IF(VLOOKUP($A279,Sheet1!$A$3:$AW$699,17,FALSE)="","",VLOOKUP($A279,Sheet1!$A$3:$AW$699,17,FALSE))</f>
        <v>0x00000000</v>
      </c>
      <c r="G279" s="142" t="str">
        <f>IF(VLOOKUP($A279,Sheet1!$A$3:$AW$699,18,FALSE)="","",VLOOKUP($A279,Sheet1!$A$3:$AW$699,18,FALSE))</f>
        <v/>
      </c>
      <c r="H279" s="142" t="str">
        <f>IF(VLOOKUP($A279,Sheet1!$A$3:$AW$699,19,FALSE)="","",VLOOKUP($A279,Sheet1!$A$3:$AW$699,19,FALSE))</f>
        <v/>
      </c>
      <c r="I279" s="9" t="str">
        <f>IF(VLOOKUP($A279,Sheet1!$A$3:$AW$699,5,FALSE)="","",VLOOKUP($A279,Sheet1!$A$3:$AW$699,5,FALSE))</f>
        <v>UDINT</v>
      </c>
      <c r="J279" s="9" t="s">
        <v>813</v>
      </c>
      <c r="K279" s="9" t="s">
        <v>658</v>
      </c>
      <c r="L279" s="146" t="str">
        <f>IF(VLOOKUP($A279,Sheet1!$A$3:$AW$699,7,FALSE)="★","x","")</f>
        <v/>
      </c>
      <c r="M279" s="146" t="str">
        <f>IF(VLOOKUP($A279,Sheet1!$A$3:$AW$699,8,FALSE)="▲","x","")</f>
        <v/>
      </c>
      <c r="N279" s="146" t="str">
        <f>IF(VLOOKUP($A279,Sheet1!$A$3:$AW$699,9,FALSE)="●","x","")</f>
        <v/>
      </c>
      <c r="O279" s="146" t="str">
        <f>IF(VLOOKUP($A279,Sheet1!$A$3:$AW$699,10,FALSE)="■","x","")</f>
        <v/>
      </c>
      <c r="P279" s="9" t="str">
        <f>IF(VLOOKUP($A279,Sheet1!$A$3:$AW$699,2,FALSE)="","",VLOOKUP($A279,Sheet1!$A$3:$AW$699,2,FALSE))</f>
        <v>P7.056</v>
      </c>
    </row>
    <row r="280" spans="1:16" ht="20.399999999999999" x14ac:dyDescent="0.3">
      <c r="A280" s="9">
        <v>554</v>
      </c>
      <c r="B280" s="9" t="str">
        <f>IF(VLOOKUP($A280,Sheet1!$A$3:$AW$699,20,FALSE)="","",VLOOKUP($A280,Sheet1!$A$3:$AW$699,20,FALSE))</f>
        <v>PRCmd78Data</v>
      </c>
      <c r="C280" s="9" t="str">
        <f>IF(VLOOKUP($A280,Sheet1!$A$3:$AW$699,25,FALSE)="","",VLOOKUP($A280,Sheet1!$A$3:$AW$699,25,FALSE))</f>
        <v>PR/IO</v>
      </c>
      <c r="D280" s="142">
        <f>IF(VLOOKUP($A280,Sheet1!$A$3:$AW$699,15,FALSE)="","",VLOOKUP($A280,Sheet1!$A$3:$AW$699,15,FALSE))</f>
        <v>-2147483648</v>
      </c>
      <c r="E280" s="142">
        <f>IF(VLOOKUP($A280,Sheet1!$A$3:$AW$699,16,FALSE)="","",VLOOKUP($A280,Sheet1!$A$3:$AW$699,16,FALSE))</f>
        <v>2147483647</v>
      </c>
      <c r="F280" s="142">
        <f>IF(VLOOKUP($A280,Sheet1!$A$3:$AW$699,17,FALSE)="","",VLOOKUP($A280,Sheet1!$A$3:$AW$699,17,FALSE))</f>
        <v>0</v>
      </c>
      <c r="G280" s="142" t="str">
        <f>IF(VLOOKUP($A280,Sheet1!$A$3:$AW$699,18,FALSE)="","",VLOOKUP($A280,Sheet1!$A$3:$AW$699,18,FALSE))</f>
        <v/>
      </c>
      <c r="H280" s="142" t="str">
        <f>IF(VLOOKUP($A280,Sheet1!$A$3:$AW$699,19,FALSE)="","",VLOOKUP($A280,Sheet1!$A$3:$AW$699,19,FALSE))</f>
        <v/>
      </c>
      <c r="I280" s="9" t="str">
        <f>IF(VLOOKUP($A280,Sheet1!$A$3:$AW$699,5,FALSE)="","",VLOOKUP($A280,Sheet1!$A$3:$AW$699,5,FALSE))</f>
        <v>DINT</v>
      </c>
      <c r="J280" s="9" t="s">
        <v>814</v>
      </c>
      <c r="K280" s="9" t="s">
        <v>658</v>
      </c>
      <c r="L280" s="146" t="str">
        <f>IF(VLOOKUP($A280,Sheet1!$A$3:$AW$699,7,FALSE)="★","x","")</f>
        <v/>
      </c>
      <c r="M280" s="146" t="str">
        <f>IF(VLOOKUP($A280,Sheet1!$A$3:$AW$699,8,FALSE)="▲","x","")</f>
        <v/>
      </c>
      <c r="N280" s="146" t="str">
        <f>IF(VLOOKUP($A280,Sheet1!$A$3:$AW$699,9,FALSE)="●","x","")</f>
        <v/>
      </c>
      <c r="O280" s="146" t="str">
        <f>IF(VLOOKUP($A280,Sheet1!$A$3:$AW$699,10,FALSE)="■","x","")</f>
        <v/>
      </c>
      <c r="P280" s="9" t="str">
        <f>IF(VLOOKUP($A280,Sheet1!$A$3:$AW$699,2,FALSE)="","",VLOOKUP($A280,Sheet1!$A$3:$AW$699,2,FALSE))</f>
        <v>P7.057</v>
      </c>
    </row>
    <row r="281" spans="1:16" ht="20.399999999999999" x14ac:dyDescent="0.3">
      <c r="A281" s="9">
        <v>555</v>
      </c>
      <c r="B281" s="9" t="str">
        <f>IF(VLOOKUP($A281,Sheet1!$A$3:$AW$699,20,FALSE)="","",VLOOKUP($A281,Sheet1!$A$3:$AW$699,20,FALSE))</f>
        <v>PRCmd79Setting</v>
      </c>
      <c r="C281" s="9" t="str">
        <f>IF(VLOOKUP($A281,Sheet1!$A$3:$AW$699,25,FALSE)="","",VLOOKUP($A281,Sheet1!$A$3:$AW$699,25,FALSE))</f>
        <v>PR/IO</v>
      </c>
      <c r="D281" s="142" t="str">
        <f>IF(VLOOKUP($A281,Sheet1!$A$3:$AW$699,15,FALSE)="","",VLOOKUP($A281,Sheet1!$A$3:$AW$699,15,FALSE))</f>
        <v>0x00000000</v>
      </c>
      <c r="E281" s="142" t="str">
        <f>IF(VLOOKUP($A281,Sheet1!$A$3:$AW$699,16,FALSE)="","",VLOOKUP($A281,Sheet1!$A$3:$AW$699,16,FALSE))</f>
        <v>0xFFFFFFFF</v>
      </c>
      <c r="F281" s="142" t="str">
        <f>IF(VLOOKUP($A281,Sheet1!$A$3:$AW$699,17,FALSE)="","",VLOOKUP($A281,Sheet1!$A$3:$AW$699,17,FALSE))</f>
        <v>0x00000000</v>
      </c>
      <c r="G281" s="142" t="str">
        <f>IF(VLOOKUP($A281,Sheet1!$A$3:$AW$699,18,FALSE)="","",VLOOKUP($A281,Sheet1!$A$3:$AW$699,18,FALSE))</f>
        <v/>
      </c>
      <c r="H281" s="142" t="str">
        <f>IF(VLOOKUP($A281,Sheet1!$A$3:$AW$699,19,FALSE)="","",VLOOKUP($A281,Sheet1!$A$3:$AW$699,19,FALSE))</f>
        <v/>
      </c>
      <c r="I281" s="9" t="str">
        <f>IF(VLOOKUP($A281,Sheet1!$A$3:$AW$699,5,FALSE)="","",VLOOKUP($A281,Sheet1!$A$3:$AW$699,5,FALSE))</f>
        <v>UDINT</v>
      </c>
      <c r="J281" s="9" t="s">
        <v>815</v>
      </c>
      <c r="K281" s="9" t="s">
        <v>658</v>
      </c>
      <c r="L281" s="146" t="str">
        <f>IF(VLOOKUP($A281,Sheet1!$A$3:$AW$699,7,FALSE)="★","x","")</f>
        <v/>
      </c>
      <c r="M281" s="146" t="str">
        <f>IF(VLOOKUP($A281,Sheet1!$A$3:$AW$699,8,FALSE)="▲","x","")</f>
        <v/>
      </c>
      <c r="N281" s="146" t="str">
        <f>IF(VLOOKUP($A281,Sheet1!$A$3:$AW$699,9,FALSE)="●","x","")</f>
        <v/>
      </c>
      <c r="O281" s="146" t="str">
        <f>IF(VLOOKUP($A281,Sheet1!$A$3:$AW$699,10,FALSE)="■","x","")</f>
        <v/>
      </c>
      <c r="P281" s="9" t="str">
        <f>IF(VLOOKUP($A281,Sheet1!$A$3:$AW$699,2,FALSE)="","",VLOOKUP($A281,Sheet1!$A$3:$AW$699,2,FALSE))</f>
        <v>P7.058</v>
      </c>
    </row>
    <row r="282" spans="1:16" ht="20.399999999999999" x14ac:dyDescent="0.3">
      <c r="A282" s="9">
        <v>556</v>
      </c>
      <c r="B282" s="9" t="str">
        <f>IF(VLOOKUP($A282,Sheet1!$A$3:$AW$699,20,FALSE)="","",VLOOKUP($A282,Sheet1!$A$3:$AW$699,20,FALSE))</f>
        <v>PRCmd79Data</v>
      </c>
      <c r="C282" s="9" t="str">
        <f>IF(VLOOKUP($A282,Sheet1!$A$3:$AW$699,25,FALSE)="","",VLOOKUP($A282,Sheet1!$A$3:$AW$699,25,FALSE))</f>
        <v>PR/IO</v>
      </c>
      <c r="D282" s="142">
        <f>IF(VLOOKUP($A282,Sheet1!$A$3:$AW$699,15,FALSE)="","",VLOOKUP($A282,Sheet1!$A$3:$AW$699,15,FALSE))</f>
        <v>-2147483648</v>
      </c>
      <c r="E282" s="142">
        <f>IF(VLOOKUP($A282,Sheet1!$A$3:$AW$699,16,FALSE)="","",VLOOKUP($A282,Sheet1!$A$3:$AW$699,16,FALSE))</f>
        <v>2147483647</v>
      </c>
      <c r="F282" s="142">
        <f>IF(VLOOKUP($A282,Sheet1!$A$3:$AW$699,17,FALSE)="","",VLOOKUP($A282,Sheet1!$A$3:$AW$699,17,FALSE))</f>
        <v>0</v>
      </c>
      <c r="G282" s="142" t="str">
        <f>IF(VLOOKUP($A282,Sheet1!$A$3:$AW$699,18,FALSE)="","",VLOOKUP($A282,Sheet1!$A$3:$AW$699,18,FALSE))</f>
        <v/>
      </c>
      <c r="H282" s="142" t="str">
        <f>IF(VLOOKUP($A282,Sheet1!$A$3:$AW$699,19,FALSE)="","",VLOOKUP($A282,Sheet1!$A$3:$AW$699,19,FALSE))</f>
        <v/>
      </c>
      <c r="I282" s="9" t="str">
        <f>IF(VLOOKUP($A282,Sheet1!$A$3:$AW$699,5,FALSE)="","",VLOOKUP($A282,Sheet1!$A$3:$AW$699,5,FALSE))</f>
        <v>DINT</v>
      </c>
      <c r="J282" s="9" t="s">
        <v>816</v>
      </c>
      <c r="K282" s="9" t="s">
        <v>658</v>
      </c>
      <c r="L282" s="146" t="str">
        <f>IF(VLOOKUP($A282,Sheet1!$A$3:$AW$699,7,FALSE)="★","x","")</f>
        <v/>
      </c>
      <c r="M282" s="146" t="str">
        <f>IF(VLOOKUP($A282,Sheet1!$A$3:$AW$699,8,FALSE)="▲","x","")</f>
        <v/>
      </c>
      <c r="N282" s="146" t="str">
        <f>IF(VLOOKUP($A282,Sheet1!$A$3:$AW$699,9,FALSE)="●","x","")</f>
        <v/>
      </c>
      <c r="O282" s="146" t="str">
        <f>IF(VLOOKUP($A282,Sheet1!$A$3:$AW$699,10,FALSE)="■","x","")</f>
        <v/>
      </c>
      <c r="P282" s="9" t="str">
        <f>IF(VLOOKUP($A282,Sheet1!$A$3:$AW$699,2,FALSE)="","",VLOOKUP($A282,Sheet1!$A$3:$AW$699,2,FALSE))</f>
        <v>P7.059</v>
      </c>
    </row>
    <row r="283" spans="1:16" ht="20.399999999999999" x14ac:dyDescent="0.3">
      <c r="A283" s="9">
        <v>557</v>
      </c>
      <c r="B283" s="9" t="str">
        <f>IF(VLOOKUP($A283,Sheet1!$A$3:$AW$699,20,FALSE)="","",VLOOKUP($A283,Sheet1!$A$3:$AW$699,20,FALSE))</f>
        <v>PRCmd80Setting</v>
      </c>
      <c r="C283" s="9" t="str">
        <f>IF(VLOOKUP($A283,Sheet1!$A$3:$AW$699,25,FALSE)="","",VLOOKUP($A283,Sheet1!$A$3:$AW$699,25,FALSE))</f>
        <v>PR/IO</v>
      </c>
      <c r="D283" s="142" t="str">
        <f>IF(VLOOKUP($A283,Sheet1!$A$3:$AW$699,15,FALSE)="","",VLOOKUP($A283,Sheet1!$A$3:$AW$699,15,FALSE))</f>
        <v>0x00000000</v>
      </c>
      <c r="E283" s="142" t="str">
        <f>IF(VLOOKUP($A283,Sheet1!$A$3:$AW$699,16,FALSE)="","",VLOOKUP($A283,Sheet1!$A$3:$AW$699,16,FALSE))</f>
        <v>0xFFFFFFFF</v>
      </c>
      <c r="F283" s="142" t="str">
        <f>IF(VLOOKUP($A283,Sheet1!$A$3:$AW$699,17,FALSE)="","",VLOOKUP($A283,Sheet1!$A$3:$AW$699,17,FALSE))</f>
        <v>0x00000000</v>
      </c>
      <c r="G283" s="142" t="str">
        <f>IF(VLOOKUP($A283,Sheet1!$A$3:$AW$699,18,FALSE)="","",VLOOKUP($A283,Sheet1!$A$3:$AW$699,18,FALSE))</f>
        <v/>
      </c>
      <c r="H283" s="142" t="str">
        <f>IF(VLOOKUP($A283,Sheet1!$A$3:$AW$699,19,FALSE)="","",VLOOKUP($A283,Sheet1!$A$3:$AW$699,19,FALSE))</f>
        <v/>
      </c>
      <c r="I283" s="9" t="str">
        <f>IF(VLOOKUP($A283,Sheet1!$A$3:$AW$699,5,FALSE)="","",VLOOKUP($A283,Sheet1!$A$3:$AW$699,5,FALSE))</f>
        <v>UDINT</v>
      </c>
      <c r="J283" s="9" t="s">
        <v>817</v>
      </c>
      <c r="K283" s="9" t="s">
        <v>658</v>
      </c>
      <c r="L283" s="146" t="str">
        <f>IF(VLOOKUP($A283,Sheet1!$A$3:$AW$699,7,FALSE)="★","x","")</f>
        <v/>
      </c>
      <c r="M283" s="146" t="str">
        <f>IF(VLOOKUP($A283,Sheet1!$A$3:$AW$699,8,FALSE)="▲","x","")</f>
        <v/>
      </c>
      <c r="N283" s="146" t="str">
        <f>IF(VLOOKUP($A283,Sheet1!$A$3:$AW$699,9,FALSE)="●","x","")</f>
        <v/>
      </c>
      <c r="O283" s="146" t="str">
        <f>IF(VLOOKUP($A283,Sheet1!$A$3:$AW$699,10,FALSE)="■","x","")</f>
        <v/>
      </c>
      <c r="P283" s="9" t="str">
        <f>IF(VLOOKUP($A283,Sheet1!$A$3:$AW$699,2,FALSE)="","",VLOOKUP($A283,Sheet1!$A$3:$AW$699,2,FALSE))</f>
        <v>P7.060</v>
      </c>
    </row>
    <row r="284" spans="1:16" ht="20.399999999999999" x14ac:dyDescent="0.3">
      <c r="A284" s="9">
        <v>558</v>
      </c>
      <c r="B284" s="9" t="str">
        <f>IF(VLOOKUP($A284,Sheet1!$A$3:$AW$699,20,FALSE)="","",VLOOKUP($A284,Sheet1!$A$3:$AW$699,20,FALSE))</f>
        <v>PRCmd80Data</v>
      </c>
      <c r="C284" s="9" t="str">
        <f>IF(VLOOKUP($A284,Sheet1!$A$3:$AW$699,25,FALSE)="","",VLOOKUP($A284,Sheet1!$A$3:$AW$699,25,FALSE))</f>
        <v>PR/IO</v>
      </c>
      <c r="D284" s="142">
        <f>IF(VLOOKUP($A284,Sheet1!$A$3:$AW$699,15,FALSE)="","",VLOOKUP($A284,Sheet1!$A$3:$AW$699,15,FALSE))</f>
        <v>-2147483648</v>
      </c>
      <c r="E284" s="142">
        <f>IF(VLOOKUP($A284,Sheet1!$A$3:$AW$699,16,FALSE)="","",VLOOKUP($A284,Sheet1!$A$3:$AW$699,16,FALSE))</f>
        <v>2147483647</v>
      </c>
      <c r="F284" s="142">
        <f>IF(VLOOKUP($A284,Sheet1!$A$3:$AW$699,17,FALSE)="","",VLOOKUP($A284,Sheet1!$A$3:$AW$699,17,FALSE))</f>
        <v>0</v>
      </c>
      <c r="G284" s="142" t="str">
        <f>IF(VLOOKUP($A284,Sheet1!$A$3:$AW$699,18,FALSE)="","",VLOOKUP($A284,Sheet1!$A$3:$AW$699,18,FALSE))</f>
        <v/>
      </c>
      <c r="H284" s="142" t="str">
        <f>IF(VLOOKUP($A284,Sheet1!$A$3:$AW$699,19,FALSE)="","",VLOOKUP($A284,Sheet1!$A$3:$AW$699,19,FALSE))</f>
        <v/>
      </c>
      <c r="I284" s="9" t="str">
        <f>IF(VLOOKUP($A284,Sheet1!$A$3:$AW$699,5,FALSE)="","",VLOOKUP($A284,Sheet1!$A$3:$AW$699,5,FALSE))</f>
        <v>DINT</v>
      </c>
      <c r="J284" s="9" t="s">
        <v>818</v>
      </c>
      <c r="K284" s="9" t="s">
        <v>658</v>
      </c>
      <c r="L284" s="146" t="str">
        <f>IF(VLOOKUP($A284,Sheet1!$A$3:$AW$699,7,FALSE)="★","x","")</f>
        <v/>
      </c>
      <c r="M284" s="146" t="str">
        <f>IF(VLOOKUP($A284,Sheet1!$A$3:$AW$699,8,FALSE)="▲","x","")</f>
        <v/>
      </c>
      <c r="N284" s="146" t="str">
        <f>IF(VLOOKUP($A284,Sheet1!$A$3:$AW$699,9,FALSE)="●","x","")</f>
        <v/>
      </c>
      <c r="O284" s="146" t="str">
        <f>IF(VLOOKUP($A284,Sheet1!$A$3:$AW$699,10,FALSE)="■","x","")</f>
        <v/>
      </c>
      <c r="P284" s="9" t="str">
        <f>IF(VLOOKUP($A284,Sheet1!$A$3:$AW$699,2,FALSE)="","",VLOOKUP($A284,Sheet1!$A$3:$AW$699,2,FALSE))</f>
        <v>P7.061</v>
      </c>
    </row>
    <row r="285" spans="1:16" ht="20.399999999999999" x14ac:dyDescent="0.3">
      <c r="A285" s="9">
        <v>559</v>
      </c>
      <c r="B285" s="9" t="str">
        <f>IF(VLOOKUP($A285,Sheet1!$A$3:$AW$699,20,FALSE)="","",VLOOKUP($A285,Sheet1!$A$3:$AW$699,20,FALSE))</f>
        <v>PRCmd81Setting</v>
      </c>
      <c r="C285" s="9" t="str">
        <f>IF(VLOOKUP($A285,Sheet1!$A$3:$AW$699,25,FALSE)="","",VLOOKUP($A285,Sheet1!$A$3:$AW$699,25,FALSE))</f>
        <v>PR/IO</v>
      </c>
      <c r="D285" s="142" t="str">
        <f>IF(VLOOKUP($A285,Sheet1!$A$3:$AW$699,15,FALSE)="","",VLOOKUP($A285,Sheet1!$A$3:$AW$699,15,FALSE))</f>
        <v>0x00000000</v>
      </c>
      <c r="E285" s="142" t="str">
        <f>IF(VLOOKUP($A285,Sheet1!$A$3:$AW$699,16,FALSE)="","",VLOOKUP($A285,Sheet1!$A$3:$AW$699,16,FALSE))</f>
        <v>0xFFFFFFFF</v>
      </c>
      <c r="F285" s="142" t="str">
        <f>IF(VLOOKUP($A285,Sheet1!$A$3:$AW$699,17,FALSE)="","",VLOOKUP($A285,Sheet1!$A$3:$AW$699,17,FALSE))</f>
        <v>0x00000000</v>
      </c>
      <c r="G285" s="142" t="str">
        <f>IF(VLOOKUP($A285,Sheet1!$A$3:$AW$699,18,FALSE)="","",VLOOKUP($A285,Sheet1!$A$3:$AW$699,18,FALSE))</f>
        <v/>
      </c>
      <c r="H285" s="142" t="str">
        <f>IF(VLOOKUP($A285,Sheet1!$A$3:$AW$699,19,FALSE)="","",VLOOKUP($A285,Sheet1!$A$3:$AW$699,19,FALSE))</f>
        <v/>
      </c>
      <c r="I285" s="9" t="str">
        <f>IF(VLOOKUP($A285,Sheet1!$A$3:$AW$699,5,FALSE)="","",VLOOKUP($A285,Sheet1!$A$3:$AW$699,5,FALSE))</f>
        <v>UDINT</v>
      </c>
      <c r="J285" s="9" t="s">
        <v>819</v>
      </c>
      <c r="K285" s="9" t="s">
        <v>658</v>
      </c>
      <c r="L285" s="146" t="str">
        <f>IF(VLOOKUP($A285,Sheet1!$A$3:$AW$699,7,FALSE)="★","x","")</f>
        <v/>
      </c>
      <c r="M285" s="146" t="str">
        <f>IF(VLOOKUP($A285,Sheet1!$A$3:$AW$699,8,FALSE)="▲","x","")</f>
        <v/>
      </c>
      <c r="N285" s="146" t="str">
        <f>IF(VLOOKUP($A285,Sheet1!$A$3:$AW$699,9,FALSE)="●","x","")</f>
        <v/>
      </c>
      <c r="O285" s="146" t="str">
        <f>IF(VLOOKUP($A285,Sheet1!$A$3:$AW$699,10,FALSE)="■","x","")</f>
        <v/>
      </c>
      <c r="P285" s="9" t="str">
        <f>IF(VLOOKUP($A285,Sheet1!$A$3:$AW$699,2,FALSE)="","",VLOOKUP($A285,Sheet1!$A$3:$AW$699,2,FALSE))</f>
        <v>P7.062</v>
      </c>
    </row>
    <row r="286" spans="1:16" ht="20.399999999999999" x14ac:dyDescent="0.3">
      <c r="A286" s="9">
        <v>560</v>
      </c>
      <c r="B286" s="9" t="str">
        <f>IF(VLOOKUP($A286,Sheet1!$A$3:$AW$699,20,FALSE)="","",VLOOKUP($A286,Sheet1!$A$3:$AW$699,20,FALSE))</f>
        <v>PRCmd81Data</v>
      </c>
      <c r="C286" s="9" t="str">
        <f>IF(VLOOKUP($A286,Sheet1!$A$3:$AW$699,25,FALSE)="","",VLOOKUP($A286,Sheet1!$A$3:$AW$699,25,FALSE))</f>
        <v>PR/IO</v>
      </c>
      <c r="D286" s="142">
        <f>IF(VLOOKUP($A286,Sheet1!$A$3:$AW$699,15,FALSE)="","",VLOOKUP($A286,Sheet1!$A$3:$AW$699,15,FALSE))</f>
        <v>-2147483648</v>
      </c>
      <c r="E286" s="142">
        <f>IF(VLOOKUP($A286,Sheet1!$A$3:$AW$699,16,FALSE)="","",VLOOKUP($A286,Sheet1!$A$3:$AW$699,16,FALSE))</f>
        <v>2147483647</v>
      </c>
      <c r="F286" s="142">
        <f>IF(VLOOKUP($A286,Sheet1!$A$3:$AW$699,17,FALSE)="","",VLOOKUP($A286,Sheet1!$A$3:$AW$699,17,FALSE))</f>
        <v>0</v>
      </c>
      <c r="G286" s="142" t="str">
        <f>IF(VLOOKUP($A286,Sheet1!$A$3:$AW$699,18,FALSE)="","",VLOOKUP($A286,Sheet1!$A$3:$AW$699,18,FALSE))</f>
        <v/>
      </c>
      <c r="H286" s="142" t="str">
        <f>IF(VLOOKUP($A286,Sheet1!$A$3:$AW$699,19,FALSE)="","",VLOOKUP($A286,Sheet1!$A$3:$AW$699,19,FALSE))</f>
        <v/>
      </c>
      <c r="I286" s="9" t="str">
        <f>IF(VLOOKUP($A286,Sheet1!$A$3:$AW$699,5,FALSE)="","",VLOOKUP($A286,Sheet1!$A$3:$AW$699,5,FALSE))</f>
        <v>DINT</v>
      </c>
      <c r="J286" s="9" t="s">
        <v>820</v>
      </c>
      <c r="K286" s="9" t="s">
        <v>658</v>
      </c>
      <c r="L286" s="146" t="str">
        <f>IF(VLOOKUP($A286,Sheet1!$A$3:$AW$699,7,FALSE)="★","x","")</f>
        <v/>
      </c>
      <c r="M286" s="146" t="str">
        <f>IF(VLOOKUP($A286,Sheet1!$A$3:$AW$699,8,FALSE)="▲","x","")</f>
        <v/>
      </c>
      <c r="N286" s="146" t="str">
        <f>IF(VLOOKUP($A286,Sheet1!$A$3:$AW$699,9,FALSE)="●","x","")</f>
        <v/>
      </c>
      <c r="O286" s="146" t="str">
        <f>IF(VLOOKUP($A286,Sheet1!$A$3:$AW$699,10,FALSE)="■","x","")</f>
        <v/>
      </c>
      <c r="P286" s="9" t="str">
        <f>IF(VLOOKUP($A286,Sheet1!$A$3:$AW$699,2,FALSE)="","",VLOOKUP($A286,Sheet1!$A$3:$AW$699,2,FALSE))</f>
        <v>P7.063</v>
      </c>
    </row>
    <row r="287" spans="1:16" ht="20.399999999999999" x14ac:dyDescent="0.3">
      <c r="A287" s="9">
        <v>561</v>
      </c>
      <c r="B287" s="9" t="str">
        <f>IF(VLOOKUP($A287,Sheet1!$A$3:$AW$699,20,FALSE)="","",VLOOKUP($A287,Sheet1!$A$3:$AW$699,20,FALSE))</f>
        <v>PRCmd82Setting</v>
      </c>
      <c r="C287" s="9" t="str">
        <f>IF(VLOOKUP($A287,Sheet1!$A$3:$AW$699,25,FALSE)="","",VLOOKUP($A287,Sheet1!$A$3:$AW$699,25,FALSE))</f>
        <v>PR/IO</v>
      </c>
      <c r="D287" s="142" t="str">
        <f>IF(VLOOKUP($A287,Sheet1!$A$3:$AW$699,15,FALSE)="","",VLOOKUP($A287,Sheet1!$A$3:$AW$699,15,FALSE))</f>
        <v>0x00000000</v>
      </c>
      <c r="E287" s="142" t="str">
        <f>IF(VLOOKUP($A287,Sheet1!$A$3:$AW$699,16,FALSE)="","",VLOOKUP($A287,Sheet1!$A$3:$AW$699,16,FALSE))</f>
        <v>0xFFFFFFFF</v>
      </c>
      <c r="F287" s="142" t="str">
        <f>IF(VLOOKUP($A287,Sheet1!$A$3:$AW$699,17,FALSE)="","",VLOOKUP($A287,Sheet1!$A$3:$AW$699,17,FALSE))</f>
        <v>0x00000000</v>
      </c>
      <c r="G287" s="142" t="str">
        <f>IF(VLOOKUP($A287,Sheet1!$A$3:$AW$699,18,FALSE)="","",VLOOKUP($A287,Sheet1!$A$3:$AW$699,18,FALSE))</f>
        <v/>
      </c>
      <c r="H287" s="142" t="str">
        <f>IF(VLOOKUP($A287,Sheet1!$A$3:$AW$699,19,FALSE)="","",VLOOKUP($A287,Sheet1!$A$3:$AW$699,19,FALSE))</f>
        <v/>
      </c>
      <c r="I287" s="9" t="str">
        <f>IF(VLOOKUP($A287,Sheet1!$A$3:$AW$699,5,FALSE)="","",VLOOKUP($A287,Sheet1!$A$3:$AW$699,5,FALSE))</f>
        <v>UDINT</v>
      </c>
      <c r="J287" s="9" t="s">
        <v>821</v>
      </c>
      <c r="K287" s="9" t="s">
        <v>658</v>
      </c>
      <c r="L287" s="146" t="str">
        <f>IF(VLOOKUP($A287,Sheet1!$A$3:$AW$699,7,FALSE)="★","x","")</f>
        <v/>
      </c>
      <c r="M287" s="146" t="str">
        <f>IF(VLOOKUP($A287,Sheet1!$A$3:$AW$699,8,FALSE)="▲","x","")</f>
        <v/>
      </c>
      <c r="N287" s="146" t="str">
        <f>IF(VLOOKUP($A287,Sheet1!$A$3:$AW$699,9,FALSE)="●","x","")</f>
        <v/>
      </c>
      <c r="O287" s="146" t="str">
        <f>IF(VLOOKUP($A287,Sheet1!$A$3:$AW$699,10,FALSE)="■","x","")</f>
        <v/>
      </c>
      <c r="P287" s="9" t="str">
        <f>IF(VLOOKUP($A287,Sheet1!$A$3:$AW$699,2,FALSE)="","",VLOOKUP($A287,Sheet1!$A$3:$AW$699,2,FALSE))</f>
        <v>P7.064</v>
      </c>
    </row>
    <row r="288" spans="1:16" ht="20.399999999999999" x14ac:dyDescent="0.3">
      <c r="A288" s="9">
        <v>562</v>
      </c>
      <c r="B288" s="9" t="str">
        <f>IF(VLOOKUP($A288,Sheet1!$A$3:$AW$699,20,FALSE)="","",VLOOKUP($A288,Sheet1!$A$3:$AW$699,20,FALSE))</f>
        <v>PRCmd82Data</v>
      </c>
      <c r="C288" s="9" t="str">
        <f>IF(VLOOKUP($A288,Sheet1!$A$3:$AW$699,25,FALSE)="","",VLOOKUP($A288,Sheet1!$A$3:$AW$699,25,FALSE))</f>
        <v>PR/IO</v>
      </c>
      <c r="D288" s="142">
        <f>IF(VLOOKUP($A288,Sheet1!$A$3:$AW$699,15,FALSE)="","",VLOOKUP($A288,Sheet1!$A$3:$AW$699,15,FALSE))</f>
        <v>-2147483648</v>
      </c>
      <c r="E288" s="142">
        <f>IF(VLOOKUP($A288,Sheet1!$A$3:$AW$699,16,FALSE)="","",VLOOKUP($A288,Sheet1!$A$3:$AW$699,16,FALSE))</f>
        <v>2147483647</v>
      </c>
      <c r="F288" s="142">
        <f>IF(VLOOKUP($A288,Sheet1!$A$3:$AW$699,17,FALSE)="","",VLOOKUP($A288,Sheet1!$A$3:$AW$699,17,FALSE))</f>
        <v>0</v>
      </c>
      <c r="G288" s="142" t="str">
        <f>IF(VLOOKUP($A288,Sheet1!$A$3:$AW$699,18,FALSE)="","",VLOOKUP($A288,Sheet1!$A$3:$AW$699,18,FALSE))</f>
        <v/>
      </c>
      <c r="H288" s="142" t="str">
        <f>IF(VLOOKUP($A288,Sheet1!$A$3:$AW$699,19,FALSE)="","",VLOOKUP($A288,Sheet1!$A$3:$AW$699,19,FALSE))</f>
        <v/>
      </c>
      <c r="I288" s="9" t="str">
        <f>IF(VLOOKUP($A288,Sheet1!$A$3:$AW$699,5,FALSE)="","",VLOOKUP($A288,Sheet1!$A$3:$AW$699,5,FALSE))</f>
        <v>DINT</v>
      </c>
      <c r="J288" s="9" t="s">
        <v>822</v>
      </c>
      <c r="K288" s="9" t="s">
        <v>658</v>
      </c>
      <c r="L288" s="146" t="str">
        <f>IF(VLOOKUP($A288,Sheet1!$A$3:$AW$699,7,FALSE)="★","x","")</f>
        <v/>
      </c>
      <c r="M288" s="146" t="str">
        <f>IF(VLOOKUP($A288,Sheet1!$A$3:$AW$699,8,FALSE)="▲","x","")</f>
        <v/>
      </c>
      <c r="N288" s="146" t="str">
        <f>IF(VLOOKUP($A288,Sheet1!$A$3:$AW$699,9,FALSE)="●","x","")</f>
        <v/>
      </c>
      <c r="O288" s="146" t="str">
        <f>IF(VLOOKUP($A288,Sheet1!$A$3:$AW$699,10,FALSE)="■","x","")</f>
        <v/>
      </c>
      <c r="P288" s="9" t="str">
        <f>IF(VLOOKUP($A288,Sheet1!$A$3:$AW$699,2,FALSE)="","",VLOOKUP($A288,Sheet1!$A$3:$AW$699,2,FALSE))</f>
        <v>P7.065</v>
      </c>
    </row>
    <row r="289" spans="1:16" ht="20.399999999999999" x14ac:dyDescent="0.3">
      <c r="A289" s="9">
        <v>563</v>
      </c>
      <c r="B289" s="9" t="str">
        <f>IF(VLOOKUP($A289,Sheet1!$A$3:$AW$699,20,FALSE)="","",VLOOKUP($A289,Sheet1!$A$3:$AW$699,20,FALSE))</f>
        <v>PRCmd83Setting</v>
      </c>
      <c r="C289" s="9" t="str">
        <f>IF(VLOOKUP($A289,Sheet1!$A$3:$AW$699,25,FALSE)="","",VLOOKUP($A289,Sheet1!$A$3:$AW$699,25,FALSE))</f>
        <v>PR/IO</v>
      </c>
      <c r="D289" s="142" t="str">
        <f>IF(VLOOKUP($A289,Sheet1!$A$3:$AW$699,15,FALSE)="","",VLOOKUP($A289,Sheet1!$A$3:$AW$699,15,FALSE))</f>
        <v>0x00000000</v>
      </c>
      <c r="E289" s="142" t="str">
        <f>IF(VLOOKUP($A289,Sheet1!$A$3:$AW$699,16,FALSE)="","",VLOOKUP($A289,Sheet1!$A$3:$AW$699,16,FALSE))</f>
        <v>0xFFFFFFFF</v>
      </c>
      <c r="F289" s="142" t="str">
        <f>IF(VLOOKUP($A289,Sheet1!$A$3:$AW$699,17,FALSE)="","",VLOOKUP($A289,Sheet1!$A$3:$AW$699,17,FALSE))</f>
        <v>0x00000000</v>
      </c>
      <c r="G289" s="142" t="str">
        <f>IF(VLOOKUP($A289,Sheet1!$A$3:$AW$699,18,FALSE)="","",VLOOKUP($A289,Sheet1!$A$3:$AW$699,18,FALSE))</f>
        <v/>
      </c>
      <c r="H289" s="142" t="str">
        <f>IF(VLOOKUP($A289,Sheet1!$A$3:$AW$699,19,FALSE)="","",VLOOKUP($A289,Sheet1!$A$3:$AW$699,19,FALSE))</f>
        <v/>
      </c>
      <c r="I289" s="9" t="str">
        <f>IF(VLOOKUP($A289,Sheet1!$A$3:$AW$699,5,FALSE)="","",VLOOKUP($A289,Sheet1!$A$3:$AW$699,5,FALSE))</f>
        <v>UDINT</v>
      </c>
      <c r="J289" s="9" t="s">
        <v>823</v>
      </c>
      <c r="K289" s="9" t="s">
        <v>658</v>
      </c>
      <c r="L289" s="146" t="str">
        <f>IF(VLOOKUP($A289,Sheet1!$A$3:$AW$699,7,FALSE)="★","x","")</f>
        <v/>
      </c>
      <c r="M289" s="146" t="str">
        <f>IF(VLOOKUP($A289,Sheet1!$A$3:$AW$699,8,FALSE)="▲","x","")</f>
        <v/>
      </c>
      <c r="N289" s="146" t="str">
        <f>IF(VLOOKUP($A289,Sheet1!$A$3:$AW$699,9,FALSE)="●","x","")</f>
        <v/>
      </c>
      <c r="O289" s="146" t="str">
        <f>IF(VLOOKUP($A289,Sheet1!$A$3:$AW$699,10,FALSE)="■","x","")</f>
        <v/>
      </c>
      <c r="P289" s="9" t="str">
        <f>IF(VLOOKUP($A289,Sheet1!$A$3:$AW$699,2,FALSE)="","",VLOOKUP($A289,Sheet1!$A$3:$AW$699,2,FALSE))</f>
        <v>P7.066</v>
      </c>
    </row>
    <row r="290" spans="1:16" ht="20.399999999999999" x14ac:dyDescent="0.3">
      <c r="A290" s="9">
        <v>564</v>
      </c>
      <c r="B290" s="9" t="str">
        <f>IF(VLOOKUP($A290,Sheet1!$A$3:$AW$699,20,FALSE)="","",VLOOKUP($A290,Sheet1!$A$3:$AW$699,20,FALSE))</f>
        <v>PRCmd83Data</v>
      </c>
      <c r="C290" s="9" t="str">
        <f>IF(VLOOKUP($A290,Sheet1!$A$3:$AW$699,25,FALSE)="","",VLOOKUP($A290,Sheet1!$A$3:$AW$699,25,FALSE))</f>
        <v>PR/IO</v>
      </c>
      <c r="D290" s="142">
        <f>IF(VLOOKUP($A290,Sheet1!$A$3:$AW$699,15,FALSE)="","",VLOOKUP($A290,Sheet1!$A$3:$AW$699,15,FALSE))</f>
        <v>-2147483648</v>
      </c>
      <c r="E290" s="142">
        <f>IF(VLOOKUP($A290,Sheet1!$A$3:$AW$699,16,FALSE)="","",VLOOKUP($A290,Sheet1!$A$3:$AW$699,16,FALSE))</f>
        <v>2147483647</v>
      </c>
      <c r="F290" s="142">
        <f>IF(VLOOKUP($A290,Sheet1!$A$3:$AW$699,17,FALSE)="","",VLOOKUP($A290,Sheet1!$A$3:$AW$699,17,FALSE))</f>
        <v>0</v>
      </c>
      <c r="G290" s="142" t="str">
        <f>IF(VLOOKUP($A290,Sheet1!$A$3:$AW$699,18,FALSE)="","",VLOOKUP($A290,Sheet1!$A$3:$AW$699,18,FALSE))</f>
        <v/>
      </c>
      <c r="H290" s="142" t="str">
        <f>IF(VLOOKUP($A290,Sheet1!$A$3:$AW$699,19,FALSE)="","",VLOOKUP($A290,Sheet1!$A$3:$AW$699,19,FALSE))</f>
        <v/>
      </c>
      <c r="I290" s="9" t="str">
        <f>IF(VLOOKUP($A290,Sheet1!$A$3:$AW$699,5,FALSE)="","",VLOOKUP($A290,Sheet1!$A$3:$AW$699,5,FALSE))</f>
        <v>DINT</v>
      </c>
      <c r="J290" s="9" t="s">
        <v>824</v>
      </c>
      <c r="K290" s="9" t="s">
        <v>658</v>
      </c>
      <c r="L290" s="146" t="str">
        <f>IF(VLOOKUP($A290,Sheet1!$A$3:$AW$699,7,FALSE)="★","x","")</f>
        <v/>
      </c>
      <c r="M290" s="146" t="str">
        <f>IF(VLOOKUP($A290,Sheet1!$A$3:$AW$699,8,FALSE)="▲","x","")</f>
        <v/>
      </c>
      <c r="N290" s="146" t="str">
        <f>IF(VLOOKUP($A290,Sheet1!$A$3:$AW$699,9,FALSE)="●","x","")</f>
        <v/>
      </c>
      <c r="O290" s="146" t="str">
        <f>IF(VLOOKUP($A290,Sheet1!$A$3:$AW$699,10,FALSE)="■","x","")</f>
        <v/>
      </c>
      <c r="P290" s="9" t="str">
        <f>IF(VLOOKUP($A290,Sheet1!$A$3:$AW$699,2,FALSE)="","",VLOOKUP($A290,Sheet1!$A$3:$AW$699,2,FALSE))</f>
        <v>P7.067</v>
      </c>
    </row>
    <row r="291" spans="1:16" ht="20.399999999999999" x14ac:dyDescent="0.3">
      <c r="A291" s="9">
        <v>565</v>
      </c>
      <c r="B291" s="9" t="str">
        <f>IF(VLOOKUP($A291,Sheet1!$A$3:$AW$699,20,FALSE)="","",VLOOKUP($A291,Sheet1!$A$3:$AW$699,20,FALSE))</f>
        <v>PRCmd84Setting</v>
      </c>
      <c r="C291" s="9" t="str">
        <f>IF(VLOOKUP($A291,Sheet1!$A$3:$AW$699,25,FALSE)="","",VLOOKUP($A291,Sheet1!$A$3:$AW$699,25,FALSE))</f>
        <v>PR/IO</v>
      </c>
      <c r="D291" s="142" t="str">
        <f>IF(VLOOKUP($A291,Sheet1!$A$3:$AW$699,15,FALSE)="","",VLOOKUP($A291,Sheet1!$A$3:$AW$699,15,FALSE))</f>
        <v>0x00000000</v>
      </c>
      <c r="E291" s="142" t="str">
        <f>IF(VLOOKUP($A291,Sheet1!$A$3:$AW$699,16,FALSE)="","",VLOOKUP($A291,Sheet1!$A$3:$AW$699,16,FALSE))</f>
        <v>0xFFFFFFFF</v>
      </c>
      <c r="F291" s="142" t="str">
        <f>IF(VLOOKUP($A291,Sheet1!$A$3:$AW$699,17,FALSE)="","",VLOOKUP($A291,Sheet1!$A$3:$AW$699,17,FALSE))</f>
        <v>0x00000000</v>
      </c>
      <c r="G291" s="142" t="str">
        <f>IF(VLOOKUP($A291,Sheet1!$A$3:$AW$699,18,FALSE)="","",VLOOKUP($A291,Sheet1!$A$3:$AW$699,18,FALSE))</f>
        <v/>
      </c>
      <c r="H291" s="142" t="str">
        <f>IF(VLOOKUP($A291,Sheet1!$A$3:$AW$699,19,FALSE)="","",VLOOKUP($A291,Sheet1!$A$3:$AW$699,19,FALSE))</f>
        <v/>
      </c>
      <c r="I291" s="9" t="str">
        <f>IF(VLOOKUP($A291,Sheet1!$A$3:$AW$699,5,FALSE)="","",VLOOKUP($A291,Sheet1!$A$3:$AW$699,5,FALSE))</f>
        <v>UDINT</v>
      </c>
      <c r="J291" s="9" t="s">
        <v>825</v>
      </c>
      <c r="K291" s="9" t="s">
        <v>658</v>
      </c>
      <c r="L291" s="146" t="str">
        <f>IF(VLOOKUP($A291,Sheet1!$A$3:$AW$699,7,FALSE)="★","x","")</f>
        <v/>
      </c>
      <c r="M291" s="146" t="str">
        <f>IF(VLOOKUP($A291,Sheet1!$A$3:$AW$699,8,FALSE)="▲","x","")</f>
        <v/>
      </c>
      <c r="N291" s="146" t="str">
        <f>IF(VLOOKUP($A291,Sheet1!$A$3:$AW$699,9,FALSE)="●","x","")</f>
        <v/>
      </c>
      <c r="O291" s="146" t="str">
        <f>IF(VLOOKUP($A291,Sheet1!$A$3:$AW$699,10,FALSE)="■","x","")</f>
        <v/>
      </c>
      <c r="P291" s="9" t="str">
        <f>IF(VLOOKUP($A291,Sheet1!$A$3:$AW$699,2,FALSE)="","",VLOOKUP($A291,Sheet1!$A$3:$AW$699,2,FALSE))</f>
        <v>P7.068</v>
      </c>
    </row>
    <row r="292" spans="1:16" ht="20.399999999999999" x14ac:dyDescent="0.3">
      <c r="A292" s="9">
        <v>566</v>
      </c>
      <c r="B292" s="9" t="str">
        <f>IF(VLOOKUP($A292,Sheet1!$A$3:$AW$699,20,FALSE)="","",VLOOKUP($A292,Sheet1!$A$3:$AW$699,20,FALSE))</f>
        <v>PRCmd84Data</v>
      </c>
      <c r="C292" s="9" t="str">
        <f>IF(VLOOKUP($A292,Sheet1!$A$3:$AW$699,25,FALSE)="","",VLOOKUP($A292,Sheet1!$A$3:$AW$699,25,FALSE))</f>
        <v>PR/IO</v>
      </c>
      <c r="D292" s="142">
        <f>IF(VLOOKUP($A292,Sheet1!$A$3:$AW$699,15,FALSE)="","",VLOOKUP($A292,Sheet1!$A$3:$AW$699,15,FALSE))</f>
        <v>-2147483648</v>
      </c>
      <c r="E292" s="142">
        <f>IF(VLOOKUP($A292,Sheet1!$A$3:$AW$699,16,FALSE)="","",VLOOKUP($A292,Sheet1!$A$3:$AW$699,16,FALSE))</f>
        <v>2147483647</v>
      </c>
      <c r="F292" s="142">
        <f>IF(VLOOKUP($A292,Sheet1!$A$3:$AW$699,17,FALSE)="","",VLOOKUP($A292,Sheet1!$A$3:$AW$699,17,FALSE))</f>
        <v>0</v>
      </c>
      <c r="G292" s="142" t="str">
        <f>IF(VLOOKUP($A292,Sheet1!$A$3:$AW$699,18,FALSE)="","",VLOOKUP($A292,Sheet1!$A$3:$AW$699,18,FALSE))</f>
        <v/>
      </c>
      <c r="H292" s="142" t="str">
        <f>IF(VLOOKUP($A292,Sheet1!$A$3:$AW$699,19,FALSE)="","",VLOOKUP($A292,Sheet1!$A$3:$AW$699,19,FALSE))</f>
        <v/>
      </c>
      <c r="I292" s="9" t="str">
        <f>IF(VLOOKUP($A292,Sheet1!$A$3:$AW$699,5,FALSE)="","",VLOOKUP($A292,Sheet1!$A$3:$AW$699,5,FALSE))</f>
        <v>DINT</v>
      </c>
      <c r="J292" s="9" t="s">
        <v>826</v>
      </c>
      <c r="K292" s="9" t="s">
        <v>658</v>
      </c>
      <c r="L292" s="146" t="str">
        <f>IF(VLOOKUP($A292,Sheet1!$A$3:$AW$699,7,FALSE)="★","x","")</f>
        <v/>
      </c>
      <c r="M292" s="146" t="str">
        <f>IF(VLOOKUP($A292,Sheet1!$A$3:$AW$699,8,FALSE)="▲","x","")</f>
        <v/>
      </c>
      <c r="N292" s="146" t="str">
        <f>IF(VLOOKUP($A292,Sheet1!$A$3:$AW$699,9,FALSE)="●","x","")</f>
        <v/>
      </c>
      <c r="O292" s="146" t="str">
        <f>IF(VLOOKUP($A292,Sheet1!$A$3:$AW$699,10,FALSE)="■","x","")</f>
        <v/>
      </c>
      <c r="P292" s="9" t="str">
        <f>IF(VLOOKUP($A292,Sheet1!$A$3:$AW$699,2,FALSE)="","",VLOOKUP($A292,Sheet1!$A$3:$AW$699,2,FALSE))</f>
        <v>P7.069</v>
      </c>
    </row>
    <row r="293" spans="1:16" ht="20.399999999999999" x14ac:dyDescent="0.3">
      <c r="A293" s="9">
        <v>567</v>
      </c>
      <c r="B293" s="9" t="str">
        <f>IF(VLOOKUP($A293,Sheet1!$A$3:$AW$699,20,FALSE)="","",VLOOKUP($A293,Sheet1!$A$3:$AW$699,20,FALSE))</f>
        <v>PRCmd85Setting</v>
      </c>
      <c r="C293" s="9" t="str">
        <f>IF(VLOOKUP($A293,Sheet1!$A$3:$AW$699,25,FALSE)="","",VLOOKUP($A293,Sheet1!$A$3:$AW$699,25,FALSE))</f>
        <v>PR/IO</v>
      </c>
      <c r="D293" s="142" t="str">
        <f>IF(VLOOKUP($A293,Sheet1!$A$3:$AW$699,15,FALSE)="","",VLOOKUP($A293,Sheet1!$A$3:$AW$699,15,FALSE))</f>
        <v>0x00000000</v>
      </c>
      <c r="E293" s="142" t="str">
        <f>IF(VLOOKUP($A293,Sheet1!$A$3:$AW$699,16,FALSE)="","",VLOOKUP($A293,Sheet1!$A$3:$AW$699,16,FALSE))</f>
        <v>0xFFFFFFFF</v>
      </c>
      <c r="F293" s="142" t="str">
        <f>IF(VLOOKUP($A293,Sheet1!$A$3:$AW$699,17,FALSE)="","",VLOOKUP($A293,Sheet1!$A$3:$AW$699,17,FALSE))</f>
        <v>0x00000000</v>
      </c>
      <c r="G293" s="142" t="str">
        <f>IF(VLOOKUP($A293,Sheet1!$A$3:$AW$699,18,FALSE)="","",VLOOKUP($A293,Sheet1!$A$3:$AW$699,18,FALSE))</f>
        <v/>
      </c>
      <c r="H293" s="142" t="str">
        <f>IF(VLOOKUP($A293,Sheet1!$A$3:$AW$699,19,FALSE)="","",VLOOKUP($A293,Sheet1!$A$3:$AW$699,19,FALSE))</f>
        <v/>
      </c>
      <c r="I293" s="9" t="str">
        <f>IF(VLOOKUP($A293,Sheet1!$A$3:$AW$699,5,FALSE)="","",VLOOKUP($A293,Sheet1!$A$3:$AW$699,5,FALSE))</f>
        <v>UDINT</v>
      </c>
      <c r="J293" s="9" t="s">
        <v>827</v>
      </c>
      <c r="K293" s="9" t="s">
        <v>658</v>
      </c>
      <c r="L293" s="146" t="str">
        <f>IF(VLOOKUP($A293,Sheet1!$A$3:$AW$699,7,FALSE)="★","x","")</f>
        <v/>
      </c>
      <c r="M293" s="146" t="str">
        <f>IF(VLOOKUP($A293,Sheet1!$A$3:$AW$699,8,FALSE)="▲","x","")</f>
        <v/>
      </c>
      <c r="N293" s="146" t="str">
        <f>IF(VLOOKUP($A293,Sheet1!$A$3:$AW$699,9,FALSE)="●","x","")</f>
        <v/>
      </c>
      <c r="O293" s="146" t="str">
        <f>IF(VLOOKUP($A293,Sheet1!$A$3:$AW$699,10,FALSE)="■","x","")</f>
        <v/>
      </c>
      <c r="P293" s="9" t="str">
        <f>IF(VLOOKUP($A293,Sheet1!$A$3:$AW$699,2,FALSE)="","",VLOOKUP($A293,Sheet1!$A$3:$AW$699,2,FALSE))</f>
        <v>P7.070</v>
      </c>
    </row>
    <row r="294" spans="1:16" ht="20.399999999999999" x14ac:dyDescent="0.3">
      <c r="A294" s="9">
        <v>568</v>
      </c>
      <c r="B294" s="9" t="str">
        <f>IF(VLOOKUP($A294,Sheet1!$A$3:$AW$699,20,FALSE)="","",VLOOKUP($A294,Sheet1!$A$3:$AW$699,20,FALSE))</f>
        <v>PRCmd85Data</v>
      </c>
      <c r="C294" s="9" t="str">
        <f>IF(VLOOKUP($A294,Sheet1!$A$3:$AW$699,25,FALSE)="","",VLOOKUP($A294,Sheet1!$A$3:$AW$699,25,FALSE))</f>
        <v>PR/IO</v>
      </c>
      <c r="D294" s="142">
        <f>IF(VLOOKUP($A294,Sheet1!$A$3:$AW$699,15,FALSE)="","",VLOOKUP($A294,Sheet1!$A$3:$AW$699,15,FALSE))</f>
        <v>-2147483648</v>
      </c>
      <c r="E294" s="142">
        <f>IF(VLOOKUP($A294,Sheet1!$A$3:$AW$699,16,FALSE)="","",VLOOKUP($A294,Sheet1!$A$3:$AW$699,16,FALSE))</f>
        <v>2147483647</v>
      </c>
      <c r="F294" s="142">
        <f>IF(VLOOKUP($A294,Sheet1!$A$3:$AW$699,17,FALSE)="","",VLOOKUP($A294,Sheet1!$A$3:$AW$699,17,FALSE))</f>
        <v>0</v>
      </c>
      <c r="G294" s="142" t="str">
        <f>IF(VLOOKUP($A294,Sheet1!$A$3:$AW$699,18,FALSE)="","",VLOOKUP($A294,Sheet1!$A$3:$AW$699,18,FALSE))</f>
        <v/>
      </c>
      <c r="H294" s="142" t="str">
        <f>IF(VLOOKUP($A294,Sheet1!$A$3:$AW$699,19,FALSE)="","",VLOOKUP($A294,Sheet1!$A$3:$AW$699,19,FALSE))</f>
        <v/>
      </c>
      <c r="I294" s="9" t="str">
        <f>IF(VLOOKUP($A294,Sheet1!$A$3:$AW$699,5,FALSE)="","",VLOOKUP($A294,Sheet1!$A$3:$AW$699,5,FALSE))</f>
        <v>DINT</v>
      </c>
      <c r="J294" s="9" t="s">
        <v>828</v>
      </c>
      <c r="K294" s="9" t="s">
        <v>658</v>
      </c>
      <c r="L294" s="146" t="str">
        <f>IF(VLOOKUP($A294,Sheet1!$A$3:$AW$699,7,FALSE)="★","x","")</f>
        <v/>
      </c>
      <c r="M294" s="146" t="str">
        <f>IF(VLOOKUP($A294,Sheet1!$A$3:$AW$699,8,FALSE)="▲","x","")</f>
        <v/>
      </c>
      <c r="N294" s="146" t="str">
        <f>IF(VLOOKUP($A294,Sheet1!$A$3:$AW$699,9,FALSE)="●","x","")</f>
        <v/>
      </c>
      <c r="O294" s="146" t="str">
        <f>IF(VLOOKUP($A294,Sheet1!$A$3:$AW$699,10,FALSE)="■","x","")</f>
        <v/>
      </c>
      <c r="P294" s="9" t="str">
        <f>IF(VLOOKUP($A294,Sheet1!$A$3:$AW$699,2,FALSE)="","",VLOOKUP($A294,Sheet1!$A$3:$AW$699,2,FALSE))</f>
        <v>P7.071</v>
      </c>
    </row>
    <row r="295" spans="1:16" ht="20.399999999999999" x14ac:dyDescent="0.3">
      <c r="A295" s="9">
        <v>569</v>
      </c>
      <c r="B295" s="9" t="str">
        <f>IF(VLOOKUP($A295,Sheet1!$A$3:$AW$699,20,FALSE)="","",VLOOKUP($A295,Sheet1!$A$3:$AW$699,20,FALSE))</f>
        <v>PRCmd86Setting</v>
      </c>
      <c r="C295" s="9" t="str">
        <f>IF(VLOOKUP($A295,Sheet1!$A$3:$AW$699,25,FALSE)="","",VLOOKUP($A295,Sheet1!$A$3:$AW$699,25,FALSE))</f>
        <v>PR/IO</v>
      </c>
      <c r="D295" s="142" t="str">
        <f>IF(VLOOKUP($A295,Sheet1!$A$3:$AW$699,15,FALSE)="","",VLOOKUP($A295,Sheet1!$A$3:$AW$699,15,FALSE))</f>
        <v>0x00000000</v>
      </c>
      <c r="E295" s="142" t="str">
        <f>IF(VLOOKUP($A295,Sheet1!$A$3:$AW$699,16,FALSE)="","",VLOOKUP($A295,Sheet1!$A$3:$AW$699,16,FALSE))</f>
        <v>0xFFFFFFFF</v>
      </c>
      <c r="F295" s="142" t="str">
        <f>IF(VLOOKUP($A295,Sheet1!$A$3:$AW$699,17,FALSE)="","",VLOOKUP($A295,Sheet1!$A$3:$AW$699,17,FALSE))</f>
        <v>0x00000000</v>
      </c>
      <c r="G295" s="142" t="str">
        <f>IF(VLOOKUP($A295,Sheet1!$A$3:$AW$699,18,FALSE)="","",VLOOKUP($A295,Sheet1!$A$3:$AW$699,18,FALSE))</f>
        <v/>
      </c>
      <c r="H295" s="142" t="str">
        <f>IF(VLOOKUP($A295,Sheet1!$A$3:$AW$699,19,FALSE)="","",VLOOKUP($A295,Sheet1!$A$3:$AW$699,19,FALSE))</f>
        <v/>
      </c>
      <c r="I295" s="9" t="str">
        <f>IF(VLOOKUP($A295,Sheet1!$A$3:$AW$699,5,FALSE)="","",VLOOKUP($A295,Sheet1!$A$3:$AW$699,5,FALSE))</f>
        <v>UDINT</v>
      </c>
      <c r="J295" s="9" t="s">
        <v>829</v>
      </c>
      <c r="K295" s="9" t="s">
        <v>658</v>
      </c>
      <c r="L295" s="146" t="str">
        <f>IF(VLOOKUP($A295,Sheet1!$A$3:$AW$699,7,FALSE)="★","x","")</f>
        <v/>
      </c>
      <c r="M295" s="146" t="str">
        <f>IF(VLOOKUP($A295,Sheet1!$A$3:$AW$699,8,FALSE)="▲","x","")</f>
        <v/>
      </c>
      <c r="N295" s="146" t="str">
        <f>IF(VLOOKUP($A295,Sheet1!$A$3:$AW$699,9,FALSE)="●","x","")</f>
        <v/>
      </c>
      <c r="O295" s="146" t="str">
        <f>IF(VLOOKUP($A295,Sheet1!$A$3:$AW$699,10,FALSE)="■","x","")</f>
        <v/>
      </c>
      <c r="P295" s="9" t="str">
        <f>IF(VLOOKUP($A295,Sheet1!$A$3:$AW$699,2,FALSE)="","",VLOOKUP($A295,Sheet1!$A$3:$AW$699,2,FALSE))</f>
        <v>P7.072</v>
      </c>
    </row>
    <row r="296" spans="1:16" ht="20.399999999999999" x14ac:dyDescent="0.3">
      <c r="A296" s="9">
        <v>570</v>
      </c>
      <c r="B296" s="9" t="str">
        <f>IF(VLOOKUP($A296,Sheet1!$A$3:$AW$699,20,FALSE)="","",VLOOKUP($A296,Sheet1!$A$3:$AW$699,20,FALSE))</f>
        <v>PRCmd86Data</v>
      </c>
      <c r="C296" s="9" t="str">
        <f>IF(VLOOKUP($A296,Sheet1!$A$3:$AW$699,25,FALSE)="","",VLOOKUP($A296,Sheet1!$A$3:$AW$699,25,FALSE))</f>
        <v>PR/IO</v>
      </c>
      <c r="D296" s="142">
        <f>IF(VLOOKUP($A296,Sheet1!$A$3:$AW$699,15,FALSE)="","",VLOOKUP($A296,Sheet1!$A$3:$AW$699,15,FALSE))</f>
        <v>-2147483648</v>
      </c>
      <c r="E296" s="142">
        <f>IF(VLOOKUP($A296,Sheet1!$A$3:$AW$699,16,FALSE)="","",VLOOKUP($A296,Sheet1!$A$3:$AW$699,16,FALSE))</f>
        <v>2147483647</v>
      </c>
      <c r="F296" s="142">
        <f>IF(VLOOKUP($A296,Sheet1!$A$3:$AW$699,17,FALSE)="","",VLOOKUP($A296,Sheet1!$A$3:$AW$699,17,FALSE))</f>
        <v>0</v>
      </c>
      <c r="G296" s="142" t="str">
        <f>IF(VLOOKUP($A296,Sheet1!$A$3:$AW$699,18,FALSE)="","",VLOOKUP($A296,Sheet1!$A$3:$AW$699,18,FALSE))</f>
        <v/>
      </c>
      <c r="H296" s="142" t="str">
        <f>IF(VLOOKUP($A296,Sheet1!$A$3:$AW$699,19,FALSE)="","",VLOOKUP($A296,Sheet1!$A$3:$AW$699,19,FALSE))</f>
        <v/>
      </c>
      <c r="I296" s="9" t="str">
        <f>IF(VLOOKUP($A296,Sheet1!$A$3:$AW$699,5,FALSE)="","",VLOOKUP($A296,Sheet1!$A$3:$AW$699,5,FALSE))</f>
        <v>DINT</v>
      </c>
      <c r="J296" s="9" t="s">
        <v>830</v>
      </c>
      <c r="K296" s="9" t="s">
        <v>658</v>
      </c>
      <c r="L296" s="146" t="str">
        <f>IF(VLOOKUP($A296,Sheet1!$A$3:$AW$699,7,FALSE)="★","x","")</f>
        <v/>
      </c>
      <c r="M296" s="146" t="str">
        <f>IF(VLOOKUP($A296,Sheet1!$A$3:$AW$699,8,FALSE)="▲","x","")</f>
        <v/>
      </c>
      <c r="N296" s="146" t="str">
        <f>IF(VLOOKUP($A296,Sheet1!$A$3:$AW$699,9,FALSE)="●","x","")</f>
        <v/>
      </c>
      <c r="O296" s="146" t="str">
        <f>IF(VLOOKUP($A296,Sheet1!$A$3:$AW$699,10,FALSE)="■","x","")</f>
        <v/>
      </c>
      <c r="P296" s="9" t="str">
        <f>IF(VLOOKUP($A296,Sheet1!$A$3:$AW$699,2,FALSE)="","",VLOOKUP($A296,Sheet1!$A$3:$AW$699,2,FALSE))</f>
        <v>P7.073</v>
      </c>
    </row>
    <row r="297" spans="1:16" ht="20.399999999999999" x14ac:dyDescent="0.3">
      <c r="A297" s="9">
        <v>571</v>
      </c>
      <c r="B297" s="9" t="str">
        <f>IF(VLOOKUP($A297,Sheet1!$A$3:$AW$699,20,FALSE)="","",VLOOKUP($A297,Sheet1!$A$3:$AW$699,20,FALSE))</f>
        <v>PRCmd87Setting</v>
      </c>
      <c r="C297" s="9" t="str">
        <f>IF(VLOOKUP($A297,Sheet1!$A$3:$AW$699,25,FALSE)="","",VLOOKUP($A297,Sheet1!$A$3:$AW$699,25,FALSE))</f>
        <v>PR/IO</v>
      </c>
      <c r="D297" s="142" t="str">
        <f>IF(VLOOKUP($A297,Sheet1!$A$3:$AW$699,15,FALSE)="","",VLOOKUP($A297,Sheet1!$A$3:$AW$699,15,FALSE))</f>
        <v>0x00000000</v>
      </c>
      <c r="E297" s="142" t="str">
        <f>IF(VLOOKUP($A297,Sheet1!$A$3:$AW$699,16,FALSE)="","",VLOOKUP($A297,Sheet1!$A$3:$AW$699,16,FALSE))</f>
        <v>0xFFFFFFFF</v>
      </c>
      <c r="F297" s="142" t="str">
        <f>IF(VLOOKUP($A297,Sheet1!$A$3:$AW$699,17,FALSE)="","",VLOOKUP($A297,Sheet1!$A$3:$AW$699,17,FALSE))</f>
        <v>0x00000000</v>
      </c>
      <c r="G297" s="142" t="str">
        <f>IF(VLOOKUP($A297,Sheet1!$A$3:$AW$699,18,FALSE)="","",VLOOKUP($A297,Sheet1!$A$3:$AW$699,18,FALSE))</f>
        <v/>
      </c>
      <c r="H297" s="142" t="str">
        <f>IF(VLOOKUP($A297,Sheet1!$A$3:$AW$699,19,FALSE)="","",VLOOKUP($A297,Sheet1!$A$3:$AW$699,19,FALSE))</f>
        <v/>
      </c>
      <c r="I297" s="9" t="str">
        <f>IF(VLOOKUP($A297,Sheet1!$A$3:$AW$699,5,FALSE)="","",VLOOKUP($A297,Sheet1!$A$3:$AW$699,5,FALSE))</f>
        <v>UDINT</v>
      </c>
      <c r="J297" s="9" t="s">
        <v>831</v>
      </c>
      <c r="K297" s="9" t="s">
        <v>658</v>
      </c>
      <c r="L297" s="146" t="str">
        <f>IF(VLOOKUP($A297,Sheet1!$A$3:$AW$699,7,FALSE)="★","x","")</f>
        <v/>
      </c>
      <c r="M297" s="146" t="str">
        <f>IF(VLOOKUP($A297,Sheet1!$A$3:$AW$699,8,FALSE)="▲","x","")</f>
        <v/>
      </c>
      <c r="N297" s="146" t="str">
        <f>IF(VLOOKUP($A297,Sheet1!$A$3:$AW$699,9,FALSE)="●","x","")</f>
        <v/>
      </c>
      <c r="O297" s="146" t="str">
        <f>IF(VLOOKUP($A297,Sheet1!$A$3:$AW$699,10,FALSE)="■","x","")</f>
        <v/>
      </c>
      <c r="P297" s="9" t="str">
        <f>IF(VLOOKUP($A297,Sheet1!$A$3:$AW$699,2,FALSE)="","",VLOOKUP($A297,Sheet1!$A$3:$AW$699,2,FALSE))</f>
        <v>P7.074</v>
      </c>
    </row>
    <row r="298" spans="1:16" ht="20.399999999999999" x14ac:dyDescent="0.3">
      <c r="A298" s="9">
        <v>572</v>
      </c>
      <c r="B298" s="9" t="str">
        <f>IF(VLOOKUP($A298,Sheet1!$A$3:$AW$699,20,FALSE)="","",VLOOKUP($A298,Sheet1!$A$3:$AW$699,20,FALSE))</f>
        <v>PRCmd87Data</v>
      </c>
      <c r="C298" s="9" t="str">
        <f>IF(VLOOKUP($A298,Sheet1!$A$3:$AW$699,25,FALSE)="","",VLOOKUP($A298,Sheet1!$A$3:$AW$699,25,FALSE))</f>
        <v>PR/IO</v>
      </c>
      <c r="D298" s="142">
        <f>IF(VLOOKUP($A298,Sheet1!$A$3:$AW$699,15,FALSE)="","",VLOOKUP($A298,Sheet1!$A$3:$AW$699,15,FALSE))</f>
        <v>-2147483648</v>
      </c>
      <c r="E298" s="142">
        <f>IF(VLOOKUP($A298,Sheet1!$A$3:$AW$699,16,FALSE)="","",VLOOKUP($A298,Sheet1!$A$3:$AW$699,16,FALSE))</f>
        <v>2147483647</v>
      </c>
      <c r="F298" s="142">
        <f>IF(VLOOKUP($A298,Sheet1!$A$3:$AW$699,17,FALSE)="","",VLOOKUP($A298,Sheet1!$A$3:$AW$699,17,FALSE))</f>
        <v>0</v>
      </c>
      <c r="G298" s="142" t="str">
        <f>IF(VLOOKUP($A298,Sheet1!$A$3:$AW$699,18,FALSE)="","",VLOOKUP($A298,Sheet1!$A$3:$AW$699,18,FALSE))</f>
        <v/>
      </c>
      <c r="H298" s="142" t="str">
        <f>IF(VLOOKUP($A298,Sheet1!$A$3:$AW$699,19,FALSE)="","",VLOOKUP($A298,Sheet1!$A$3:$AW$699,19,FALSE))</f>
        <v/>
      </c>
      <c r="I298" s="9" t="str">
        <f>IF(VLOOKUP($A298,Sheet1!$A$3:$AW$699,5,FALSE)="","",VLOOKUP($A298,Sheet1!$A$3:$AW$699,5,FALSE))</f>
        <v>DINT</v>
      </c>
      <c r="J298" s="9" t="s">
        <v>832</v>
      </c>
      <c r="K298" s="9" t="s">
        <v>658</v>
      </c>
      <c r="L298" s="146" t="str">
        <f>IF(VLOOKUP($A298,Sheet1!$A$3:$AW$699,7,FALSE)="★","x","")</f>
        <v/>
      </c>
      <c r="M298" s="146" t="str">
        <f>IF(VLOOKUP($A298,Sheet1!$A$3:$AW$699,8,FALSE)="▲","x","")</f>
        <v/>
      </c>
      <c r="N298" s="146" t="str">
        <f>IF(VLOOKUP($A298,Sheet1!$A$3:$AW$699,9,FALSE)="●","x","")</f>
        <v/>
      </c>
      <c r="O298" s="146" t="str">
        <f>IF(VLOOKUP($A298,Sheet1!$A$3:$AW$699,10,FALSE)="■","x","")</f>
        <v/>
      </c>
      <c r="P298" s="9" t="str">
        <f>IF(VLOOKUP($A298,Sheet1!$A$3:$AW$699,2,FALSE)="","",VLOOKUP($A298,Sheet1!$A$3:$AW$699,2,FALSE))</f>
        <v>P7.075</v>
      </c>
    </row>
    <row r="299" spans="1:16" ht="20.399999999999999" x14ac:dyDescent="0.3">
      <c r="A299" s="9">
        <v>573</v>
      </c>
      <c r="B299" s="9" t="str">
        <f>IF(VLOOKUP($A299,Sheet1!$A$3:$AW$699,20,FALSE)="","",VLOOKUP($A299,Sheet1!$A$3:$AW$699,20,FALSE))</f>
        <v>PRCmd88Setting</v>
      </c>
      <c r="C299" s="9" t="str">
        <f>IF(VLOOKUP($A299,Sheet1!$A$3:$AW$699,25,FALSE)="","",VLOOKUP($A299,Sheet1!$A$3:$AW$699,25,FALSE))</f>
        <v>PR/IO</v>
      </c>
      <c r="D299" s="142" t="str">
        <f>IF(VLOOKUP($A299,Sheet1!$A$3:$AW$699,15,FALSE)="","",VLOOKUP($A299,Sheet1!$A$3:$AW$699,15,FALSE))</f>
        <v>0x00000000</v>
      </c>
      <c r="E299" s="142" t="str">
        <f>IF(VLOOKUP($A299,Sheet1!$A$3:$AW$699,16,FALSE)="","",VLOOKUP($A299,Sheet1!$A$3:$AW$699,16,FALSE))</f>
        <v>0xFFFFFFFF</v>
      </c>
      <c r="F299" s="142" t="str">
        <f>IF(VLOOKUP($A299,Sheet1!$A$3:$AW$699,17,FALSE)="","",VLOOKUP($A299,Sheet1!$A$3:$AW$699,17,FALSE))</f>
        <v>0x00000000</v>
      </c>
      <c r="G299" s="142" t="str">
        <f>IF(VLOOKUP($A299,Sheet1!$A$3:$AW$699,18,FALSE)="","",VLOOKUP($A299,Sheet1!$A$3:$AW$699,18,FALSE))</f>
        <v/>
      </c>
      <c r="H299" s="142" t="str">
        <f>IF(VLOOKUP($A299,Sheet1!$A$3:$AW$699,19,FALSE)="","",VLOOKUP($A299,Sheet1!$A$3:$AW$699,19,FALSE))</f>
        <v/>
      </c>
      <c r="I299" s="9" t="str">
        <f>IF(VLOOKUP($A299,Sheet1!$A$3:$AW$699,5,FALSE)="","",VLOOKUP($A299,Sheet1!$A$3:$AW$699,5,FALSE))</f>
        <v>UDINT</v>
      </c>
      <c r="J299" s="9" t="s">
        <v>833</v>
      </c>
      <c r="K299" s="9" t="s">
        <v>658</v>
      </c>
      <c r="L299" s="146" t="str">
        <f>IF(VLOOKUP($A299,Sheet1!$A$3:$AW$699,7,FALSE)="★","x","")</f>
        <v/>
      </c>
      <c r="M299" s="146" t="str">
        <f>IF(VLOOKUP($A299,Sheet1!$A$3:$AW$699,8,FALSE)="▲","x","")</f>
        <v/>
      </c>
      <c r="N299" s="146" t="str">
        <f>IF(VLOOKUP($A299,Sheet1!$A$3:$AW$699,9,FALSE)="●","x","")</f>
        <v/>
      </c>
      <c r="O299" s="146" t="str">
        <f>IF(VLOOKUP($A299,Sheet1!$A$3:$AW$699,10,FALSE)="■","x","")</f>
        <v/>
      </c>
      <c r="P299" s="9" t="str">
        <f>IF(VLOOKUP($A299,Sheet1!$A$3:$AW$699,2,FALSE)="","",VLOOKUP($A299,Sheet1!$A$3:$AW$699,2,FALSE))</f>
        <v>P7.076</v>
      </c>
    </row>
    <row r="300" spans="1:16" ht="20.399999999999999" x14ac:dyDescent="0.3">
      <c r="A300" s="9">
        <v>574</v>
      </c>
      <c r="B300" s="9" t="str">
        <f>IF(VLOOKUP($A300,Sheet1!$A$3:$AW$699,20,FALSE)="","",VLOOKUP($A300,Sheet1!$A$3:$AW$699,20,FALSE))</f>
        <v>PRCmd88Data</v>
      </c>
      <c r="C300" s="9" t="str">
        <f>IF(VLOOKUP($A300,Sheet1!$A$3:$AW$699,25,FALSE)="","",VLOOKUP($A300,Sheet1!$A$3:$AW$699,25,FALSE))</f>
        <v>PR/IO</v>
      </c>
      <c r="D300" s="142">
        <f>IF(VLOOKUP($A300,Sheet1!$A$3:$AW$699,15,FALSE)="","",VLOOKUP($A300,Sheet1!$A$3:$AW$699,15,FALSE))</f>
        <v>-2147483648</v>
      </c>
      <c r="E300" s="142">
        <f>IF(VLOOKUP($A300,Sheet1!$A$3:$AW$699,16,FALSE)="","",VLOOKUP($A300,Sheet1!$A$3:$AW$699,16,FALSE))</f>
        <v>2147483647</v>
      </c>
      <c r="F300" s="142">
        <f>IF(VLOOKUP($A300,Sheet1!$A$3:$AW$699,17,FALSE)="","",VLOOKUP($A300,Sheet1!$A$3:$AW$699,17,FALSE))</f>
        <v>0</v>
      </c>
      <c r="G300" s="142" t="str">
        <f>IF(VLOOKUP($A300,Sheet1!$A$3:$AW$699,18,FALSE)="","",VLOOKUP($A300,Sheet1!$A$3:$AW$699,18,FALSE))</f>
        <v/>
      </c>
      <c r="H300" s="142" t="str">
        <f>IF(VLOOKUP($A300,Sheet1!$A$3:$AW$699,19,FALSE)="","",VLOOKUP($A300,Sheet1!$A$3:$AW$699,19,FALSE))</f>
        <v/>
      </c>
      <c r="I300" s="9" t="str">
        <f>IF(VLOOKUP($A300,Sheet1!$A$3:$AW$699,5,FALSE)="","",VLOOKUP($A300,Sheet1!$A$3:$AW$699,5,FALSE))</f>
        <v>DINT</v>
      </c>
      <c r="J300" s="9" t="s">
        <v>834</v>
      </c>
      <c r="K300" s="9" t="s">
        <v>658</v>
      </c>
      <c r="L300" s="146" t="str">
        <f>IF(VLOOKUP($A300,Sheet1!$A$3:$AW$699,7,FALSE)="★","x","")</f>
        <v/>
      </c>
      <c r="M300" s="146" t="str">
        <f>IF(VLOOKUP($A300,Sheet1!$A$3:$AW$699,8,FALSE)="▲","x","")</f>
        <v/>
      </c>
      <c r="N300" s="146" t="str">
        <f>IF(VLOOKUP($A300,Sheet1!$A$3:$AW$699,9,FALSE)="●","x","")</f>
        <v/>
      </c>
      <c r="O300" s="146" t="str">
        <f>IF(VLOOKUP($A300,Sheet1!$A$3:$AW$699,10,FALSE)="■","x","")</f>
        <v/>
      </c>
      <c r="P300" s="9" t="str">
        <f>IF(VLOOKUP($A300,Sheet1!$A$3:$AW$699,2,FALSE)="","",VLOOKUP($A300,Sheet1!$A$3:$AW$699,2,FALSE))</f>
        <v>P7.077</v>
      </c>
    </row>
    <row r="301" spans="1:16" ht="20.399999999999999" x14ac:dyDescent="0.3">
      <c r="A301" s="9">
        <v>575</v>
      </c>
      <c r="B301" s="9" t="str">
        <f>IF(VLOOKUP($A301,Sheet1!$A$3:$AW$699,20,FALSE)="","",VLOOKUP($A301,Sheet1!$A$3:$AW$699,20,FALSE))</f>
        <v>PRCmd89Setting</v>
      </c>
      <c r="C301" s="9" t="str">
        <f>IF(VLOOKUP($A301,Sheet1!$A$3:$AW$699,25,FALSE)="","",VLOOKUP($A301,Sheet1!$A$3:$AW$699,25,FALSE))</f>
        <v>PR/IO</v>
      </c>
      <c r="D301" s="142" t="str">
        <f>IF(VLOOKUP($A301,Sheet1!$A$3:$AW$699,15,FALSE)="","",VLOOKUP($A301,Sheet1!$A$3:$AW$699,15,FALSE))</f>
        <v>0x00000000</v>
      </c>
      <c r="E301" s="142" t="str">
        <f>IF(VLOOKUP($A301,Sheet1!$A$3:$AW$699,16,FALSE)="","",VLOOKUP($A301,Sheet1!$A$3:$AW$699,16,FALSE))</f>
        <v>0xFFFFFFFF</v>
      </c>
      <c r="F301" s="142" t="str">
        <f>IF(VLOOKUP($A301,Sheet1!$A$3:$AW$699,17,FALSE)="","",VLOOKUP($A301,Sheet1!$A$3:$AW$699,17,FALSE))</f>
        <v>0x00000000</v>
      </c>
      <c r="G301" s="142" t="str">
        <f>IF(VLOOKUP($A301,Sheet1!$A$3:$AW$699,18,FALSE)="","",VLOOKUP($A301,Sheet1!$A$3:$AW$699,18,FALSE))</f>
        <v/>
      </c>
      <c r="H301" s="142" t="str">
        <f>IF(VLOOKUP($A301,Sheet1!$A$3:$AW$699,19,FALSE)="","",VLOOKUP($A301,Sheet1!$A$3:$AW$699,19,FALSE))</f>
        <v/>
      </c>
      <c r="I301" s="9" t="str">
        <f>IF(VLOOKUP($A301,Sheet1!$A$3:$AW$699,5,FALSE)="","",VLOOKUP($A301,Sheet1!$A$3:$AW$699,5,FALSE))</f>
        <v>UDINT</v>
      </c>
      <c r="J301" s="9" t="s">
        <v>835</v>
      </c>
      <c r="K301" s="9" t="s">
        <v>658</v>
      </c>
      <c r="L301" s="146" t="str">
        <f>IF(VLOOKUP($A301,Sheet1!$A$3:$AW$699,7,FALSE)="★","x","")</f>
        <v/>
      </c>
      <c r="M301" s="146" t="str">
        <f>IF(VLOOKUP($A301,Sheet1!$A$3:$AW$699,8,FALSE)="▲","x","")</f>
        <v/>
      </c>
      <c r="N301" s="146" t="str">
        <f>IF(VLOOKUP($A301,Sheet1!$A$3:$AW$699,9,FALSE)="●","x","")</f>
        <v/>
      </c>
      <c r="O301" s="146" t="str">
        <f>IF(VLOOKUP($A301,Sheet1!$A$3:$AW$699,10,FALSE)="■","x","")</f>
        <v/>
      </c>
      <c r="P301" s="9" t="str">
        <f>IF(VLOOKUP($A301,Sheet1!$A$3:$AW$699,2,FALSE)="","",VLOOKUP($A301,Sheet1!$A$3:$AW$699,2,FALSE))</f>
        <v>P7.078</v>
      </c>
    </row>
    <row r="302" spans="1:16" ht="20.399999999999999" x14ac:dyDescent="0.3">
      <c r="A302" s="9">
        <v>576</v>
      </c>
      <c r="B302" s="9" t="str">
        <f>IF(VLOOKUP($A302,Sheet1!$A$3:$AW$699,20,FALSE)="","",VLOOKUP($A302,Sheet1!$A$3:$AW$699,20,FALSE))</f>
        <v>PRCmd89Data</v>
      </c>
      <c r="C302" s="9" t="str">
        <f>IF(VLOOKUP($A302,Sheet1!$A$3:$AW$699,25,FALSE)="","",VLOOKUP($A302,Sheet1!$A$3:$AW$699,25,FALSE))</f>
        <v>PR/IO</v>
      </c>
      <c r="D302" s="142">
        <f>IF(VLOOKUP($A302,Sheet1!$A$3:$AW$699,15,FALSE)="","",VLOOKUP($A302,Sheet1!$A$3:$AW$699,15,FALSE))</f>
        <v>-2147483648</v>
      </c>
      <c r="E302" s="142">
        <f>IF(VLOOKUP($A302,Sheet1!$A$3:$AW$699,16,FALSE)="","",VLOOKUP($A302,Sheet1!$A$3:$AW$699,16,FALSE))</f>
        <v>2147483647</v>
      </c>
      <c r="F302" s="142">
        <f>IF(VLOOKUP($A302,Sheet1!$A$3:$AW$699,17,FALSE)="","",VLOOKUP($A302,Sheet1!$A$3:$AW$699,17,FALSE))</f>
        <v>0</v>
      </c>
      <c r="G302" s="142" t="str">
        <f>IF(VLOOKUP($A302,Sheet1!$A$3:$AW$699,18,FALSE)="","",VLOOKUP($A302,Sheet1!$A$3:$AW$699,18,FALSE))</f>
        <v/>
      </c>
      <c r="H302" s="142" t="str">
        <f>IF(VLOOKUP($A302,Sheet1!$A$3:$AW$699,19,FALSE)="","",VLOOKUP($A302,Sheet1!$A$3:$AW$699,19,FALSE))</f>
        <v/>
      </c>
      <c r="I302" s="9" t="str">
        <f>IF(VLOOKUP($A302,Sheet1!$A$3:$AW$699,5,FALSE)="","",VLOOKUP($A302,Sheet1!$A$3:$AW$699,5,FALSE))</f>
        <v>DINT</v>
      </c>
      <c r="J302" s="9" t="s">
        <v>836</v>
      </c>
      <c r="K302" s="9" t="s">
        <v>658</v>
      </c>
      <c r="L302" s="146" t="str">
        <f>IF(VLOOKUP($A302,Sheet1!$A$3:$AW$699,7,FALSE)="★","x","")</f>
        <v/>
      </c>
      <c r="M302" s="146" t="str">
        <f>IF(VLOOKUP($A302,Sheet1!$A$3:$AW$699,8,FALSE)="▲","x","")</f>
        <v/>
      </c>
      <c r="N302" s="146" t="str">
        <f>IF(VLOOKUP($A302,Sheet1!$A$3:$AW$699,9,FALSE)="●","x","")</f>
        <v/>
      </c>
      <c r="O302" s="146" t="str">
        <f>IF(VLOOKUP($A302,Sheet1!$A$3:$AW$699,10,FALSE)="■","x","")</f>
        <v/>
      </c>
      <c r="P302" s="9" t="str">
        <f>IF(VLOOKUP($A302,Sheet1!$A$3:$AW$699,2,FALSE)="","",VLOOKUP($A302,Sheet1!$A$3:$AW$699,2,FALSE))</f>
        <v>P7.079</v>
      </c>
    </row>
    <row r="303" spans="1:16" ht="20.399999999999999" x14ac:dyDescent="0.3">
      <c r="A303" s="9">
        <v>577</v>
      </c>
      <c r="B303" s="9" t="str">
        <f>IF(VLOOKUP($A303,Sheet1!$A$3:$AW$699,20,FALSE)="","",VLOOKUP($A303,Sheet1!$A$3:$AW$699,20,FALSE))</f>
        <v>PRCmd90Setting</v>
      </c>
      <c r="C303" s="9" t="str">
        <f>IF(VLOOKUP($A303,Sheet1!$A$3:$AW$699,25,FALSE)="","",VLOOKUP($A303,Sheet1!$A$3:$AW$699,25,FALSE))</f>
        <v>PR/IO</v>
      </c>
      <c r="D303" s="142" t="str">
        <f>IF(VLOOKUP($A303,Sheet1!$A$3:$AW$699,15,FALSE)="","",VLOOKUP($A303,Sheet1!$A$3:$AW$699,15,FALSE))</f>
        <v>0x00000000</v>
      </c>
      <c r="E303" s="142" t="str">
        <f>IF(VLOOKUP($A303,Sheet1!$A$3:$AW$699,16,FALSE)="","",VLOOKUP($A303,Sheet1!$A$3:$AW$699,16,FALSE))</f>
        <v>0xFFFFFFFF</v>
      </c>
      <c r="F303" s="142" t="str">
        <f>IF(VLOOKUP($A303,Sheet1!$A$3:$AW$699,17,FALSE)="","",VLOOKUP($A303,Sheet1!$A$3:$AW$699,17,FALSE))</f>
        <v>0x00000000</v>
      </c>
      <c r="G303" s="142" t="str">
        <f>IF(VLOOKUP($A303,Sheet1!$A$3:$AW$699,18,FALSE)="","",VLOOKUP($A303,Sheet1!$A$3:$AW$699,18,FALSE))</f>
        <v/>
      </c>
      <c r="H303" s="142" t="str">
        <f>IF(VLOOKUP($A303,Sheet1!$A$3:$AW$699,19,FALSE)="","",VLOOKUP($A303,Sheet1!$A$3:$AW$699,19,FALSE))</f>
        <v/>
      </c>
      <c r="I303" s="9" t="str">
        <f>IF(VLOOKUP($A303,Sheet1!$A$3:$AW$699,5,FALSE)="","",VLOOKUP($A303,Sheet1!$A$3:$AW$699,5,FALSE))</f>
        <v>UDINT</v>
      </c>
      <c r="J303" s="9" t="s">
        <v>837</v>
      </c>
      <c r="K303" s="9" t="s">
        <v>658</v>
      </c>
      <c r="L303" s="146" t="str">
        <f>IF(VLOOKUP($A303,Sheet1!$A$3:$AW$699,7,FALSE)="★","x","")</f>
        <v/>
      </c>
      <c r="M303" s="146" t="str">
        <f>IF(VLOOKUP($A303,Sheet1!$A$3:$AW$699,8,FALSE)="▲","x","")</f>
        <v/>
      </c>
      <c r="N303" s="146" t="str">
        <f>IF(VLOOKUP($A303,Sheet1!$A$3:$AW$699,9,FALSE)="●","x","")</f>
        <v/>
      </c>
      <c r="O303" s="146" t="str">
        <f>IF(VLOOKUP($A303,Sheet1!$A$3:$AW$699,10,FALSE)="■","x","")</f>
        <v/>
      </c>
      <c r="P303" s="9" t="str">
        <f>IF(VLOOKUP($A303,Sheet1!$A$3:$AW$699,2,FALSE)="","",VLOOKUP($A303,Sheet1!$A$3:$AW$699,2,FALSE))</f>
        <v>P7.080</v>
      </c>
    </row>
    <row r="304" spans="1:16" ht="20.399999999999999" x14ac:dyDescent="0.3">
      <c r="A304" s="9">
        <v>578</v>
      </c>
      <c r="B304" s="9" t="str">
        <f>IF(VLOOKUP($A304,Sheet1!$A$3:$AW$699,20,FALSE)="","",VLOOKUP($A304,Sheet1!$A$3:$AW$699,20,FALSE))</f>
        <v>PRCmd90Data</v>
      </c>
      <c r="C304" s="9" t="str">
        <f>IF(VLOOKUP($A304,Sheet1!$A$3:$AW$699,25,FALSE)="","",VLOOKUP($A304,Sheet1!$A$3:$AW$699,25,FALSE))</f>
        <v>PR/IO</v>
      </c>
      <c r="D304" s="142">
        <f>IF(VLOOKUP($A304,Sheet1!$A$3:$AW$699,15,FALSE)="","",VLOOKUP($A304,Sheet1!$A$3:$AW$699,15,FALSE))</f>
        <v>-2147483648</v>
      </c>
      <c r="E304" s="142">
        <f>IF(VLOOKUP($A304,Sheet1!$A$3:$AW$699,16,FALSE)="","",VLOOKUP($A304,Sheet1!$A$3:$AW$699,16,FALSE))</f>
        <v>2147483647</v>
      </c>
      <c r="F304" s="142">
        <f>IF(VLOOKUP($A304,Sheet1!$A$3:$AW$699,17,FALSE)="","",VLOOKUP($A304,Sheet1!$A$3:$AW$699,17,FALSE))</f>
        <v>0</v>
      </c>
      <c r="G304" s="142" t="str">
        <f>IF(VLOOKUP($A304,Sheet1!$A$3:$AW$699,18,FALSE)="","",VLOOKUP($A304,Sheet1!$A$3:$AW$699,18,FALSE))</f>
        <v/>
      </c>
      <c r="H304" s="142" t="str">
        <f>IF(VLOOKUP($A304,Sheet1!$A$3:$AW$699,19,FALSE)="","",VLOOKUP($A304,Sheet1!$A$3:$AW$699,19,FALSE))</f>
        <v/>
      </c>
      <c r="I304" s="9" t="str">
        <f>IF(VLOOKUP($A304,Sheet1!$A$3:$AW$699,5,FALSE)="","",VLOOKUP($A304,Sheet1!$A$3:$AW$699,5,FALSE))</f>
        <v>DINT</v>
      </c>
      <c r="J304" s="9" t="s">
        <v>838</v>
      </c>
      <c r="K304" s="9" t="s">
        <v>658</v>
      </c>
      <c r="L304" s="146" t="str">
        <f>IF(VLOOKUP($A304,Sheet1!$A$3:$AW$699,7,FALSE)="★","x","")</f>
        <v/>
      </c>
      <c r="M304" s="146" t="str">
        <f>IF(VLOOKUP($A304,Sheet1!$A$3:$AW$699,8,FALSE)="▲","x","")</f>
        <v/>
      </c>
      <c r="N304" s="146" t="str">
        <f>IF(VLOOKUP($A304,Sheet1!$A$3:$AW$699,9,FALSE)="●","x","")</f>
        <v/>
      </c>
      <c r="O304" s="146" t="str">
        <f>IF(VLOOKUP($A304,Sheet1!$A$3:$AW$699,10,FALSE)="■","x","")</f>
        <v/>
      </c>
      <c r="P304" s="9" t="str">
        <f>IF(VLOOKUP($A304,Sheet1!$A$3:$AW$699,2,FALSE)="","",VLOOKUP($A304,Sheet1!$A$3:$AW$699,2,FALSE))</f>
        <v>P7.081</v>
      </c>
    </row>
    <row r="305" spans="1:16" ht="20.399999999999999" x14ac:dyDescent="0.3">
      <c r="A305" s="9">
        <v>579</v>
      </c>
      <c r="B305" s="9" t="str">
        <f>IF(VLOOKUP($A305,Sheet1!$A$3:$AW$699,20,FALSE)="","",VLOOKUP($A305,Sheet1!$A$3:$AW$699,20,FALSE))</f>
        <v>PRCmd91Setting</v>
      </c>
      <c r="C305" s="9" t="str">
        <f>IF(VLOOKUP($A305,Sheet1!$A$3:$AW$699,25,FALSE)="","",VLOOKUP($A305,Sheet1!$A$3:$AW$699,25,FALSE))</f>
        <v>PR/IO</v>
      </c>
      <c r="D305" s="142" t="str">
        <f>IF(VLOOKUP($A305,Sheet1!$A$3:$AW$699,15,FALSE)="","",VLOOKUP($A305,Sheet1!$A$3:$AW$699,15,FALSE))</f>
        <v>0x00000000</v>
      </c>
      <c r="E305" s="142" t="str">
        <f>IF(VLOOKUP($A305,Sheet1!$A$3:$AW$699,16,FALSE)="","",VLOOKUP($A305,Sheet1!$A$3:$AW$699,16,FALSE))</f>
        <v>0xFFFFFFFF</v>
      </c>
      <c r="F305" s="142" t="str">
        <f>IF(VLOOKUP($A305,Sheet1!$A$3:$AW$699,17,FALSE)="","",VLOOKUP($A305,Sheet1!$A$3:$AW$699,17,FALSE))</f>
        <v>0x00000000</v>
      </c>
      <c r="G305" s="142" t="str">
        <f>IF(VLOOKUP($A305,Sheet1!$A$3:$AW$699,18,FALSE)="","",VLOOKUP($A305,Sheet1!$A$3:$AW$699,18,FALSE))</f>
        <v/>
      </c>
      <c r="H305" s="142" t="str">
        <f>IF(VLOOKUP($A305,Sheet1!$A$3:$AW$699,19,FALSE)="","",VLOOKUP($A305,Sheet1!$A$3:$AW$699,19,FALSE))</f>
        <v/>
      </c>
      <c r="I305" s="9" t="str">
        <f>IF(VLOOKUP($A305,Sheet1!$A$3:$AW$699,5,FALSE)="","",VLOOKUP($A305,Sheet1!$A$3:$AW$699,5,FALSE))</f>
        <v>UDINT</v>
      </c>
      <c r="J305" s="9" t="s">
        <v>839</v>
      </c>
      <c r="K305" s="9" t="s">
        <v>658</v>
      </c>
      <c r="L305" s="146" t="str">
        <f>IF(VLOOKUP($A305,Sheet1!$A$3:$AW$699,7,FALSE)="★","x","")</f>
        <v/>
      </c>
      <c r="M305" s="146" t="str">
        <f>IF(VLOOKUP($A305,Sheet1!$A$3:$AW$699,8,FALSE)="▲","x","")</f>
        <v/>
      </c>
      <c r="N305" s="146" t="str">
        <f>IF(VLOOKUP($A305,Sheet1!$A$3:$AW$699,9,FALSE)="●","x","")</f>
        <v/>
      </c>
      <c r="O305" s="146" t="str">
        <f>IF(VLOOKUP($A305,Sheet1!$A$3:$AW$699,10,FALSE)="■","x","")</f>
        <v/>
      </c>
      <c r="P305" s="9" t="str">
        <f>IF(VLOOKUP($A305,Sheet1!$A$3:$AW$699,2,FALSE)="","",VLOOKUP($A305,Sheet1!$A$3:$AW$699,2,FALSE))</f>
        <v>P7.082</v>
      </c>
    </row>
    <row r="306" spans="1:16" ht="20.399999999999999" x14ac:dyDescent="0.3">
      <c r="A306" s="9">
        <v>580</v>
      </c>
      <c r="B306" s="9" t="str">
        <f>IF(VLOOKUP($A306,Sheet1!$A$3:$AW$699,20,FALSE)="","",VLOOKUP($A306,Sheet1!$A$3:$AW$699,20,FALSE))</f>
        <v>PRCmd91Data</v>
      </c>
      <c r="C306" s="9" t="str">
        <f>IF(VLOOKUP($A306,Sheet1!$A$3:$AW$699,25,FALSE)="","",VLOOKUP($A306,Sheet1!$A$3:$AW$699,25,FALSE))</f>
        <v>PR/IO</v>
      </c>
      <c r="D306" s="142">
        <f>IF(VLOOKUP($A306,Sheet1!$A$3:$AW$699,15,FALSE)="","",VLOOKUP($A306,Sheet1!$A$3:$AW$699,15,FALSE))</f>
        <v>-2147483648</v>
      </c>
      <c r="E306" s="142">
        <f>IF(VLOOKUP($A306,Sheet1!$A$3:$AW$699,16,FALSE)="","",VLOOKUP($A306,Sheet1!$A$3:$AW$699,16,FALSE))</f>
        <v>2147483647</v>
      </c>
      <c r="F306" s="142">
        <f>IF(VLOOKUP($A306,Sheet1!$A$3:$AW$699,17,FALSE)="","",VLOOKUP($A306,Sheet1!$A$3:$AW$699,17,FALSE))</f>
        <v>0</v>
      </c>
      <c r="G306" s="142" t="str">
        <f>IF(VLOOKUP($A306,Sheet1!$A$3:$AW$699,18,FALSE)="","",VLOOKUP($A306,Sheet1!$A$3:$AW$699,18,FALSE))</f>
        <v/>
      </c>
      <c r="H306" s="142" t="str">
        <f>IF(VLOOKUP($A306,Sheet1!$A$3:$AW$699,19,FALSE)="","",VLOOKUP($A306,Sheet1!$A$3:$AW$699,19,FALSE))</f>
        <v/>
      </c>
      <c r="I306" s="9" t="str">
        <f>IF(VLOOKUP($A306,Sheet1!$A$3:$AW$699,5,FALSE)="","",VLOOKUP($A306,Sheet1!$A$3:$AW$699,5,FALSE))</f>
        <v>DINT</v>
      </c>
      <c r="J306" s="9" t="s">
        <v>840</v>
      </c>
      <c r="K306" s="9" t="s">
        <v>658</v>
      </c>
      <c r="L306" s="146" t="str">
        <f>IF(VLOOKUP($A306,Sheet1!$A$3:$AW$699,7,FALSE)="★","x","")</f>
        <v/>
      </c>
      <c r="M306" s="146" t="str">
        <f>IF(VLOOKUP($A306,Sheet1!$A$3:$AW$699,8,FALSE)="▲","x","")</f>
        <v/>
      </c>
      <c r="N306" s="146" t="str">
        <f>IF(VLOOKUP($A306,Sheet1!$A$3:$AW$699,9,FALSE)="●","x","")</f>
        <v/>
      </c>
      <c r="O306" s="146" t="str">
        <f>IF(VLOOKUP($A306,Sheet1!$A$3:$AW$699,10,FALSE)="■","x","")</f>
        <v/>
      </c>
      <c r="P306" s="9" t="str">
        <f>IF(VLOOKUP($A306,Sheet1!$A$3:$AW$699,2,FALSE)="","",VLOOKUP($A306,Sheet1!$A$3:$AW$699,2,FALSE))</f>
        <v>P7.083</v>
      </c>
    </row>
    <row r="307" spans="1:16" ht="20.399999999999999" x14ac:dyDescent="0.3">
      <c r="A307" s="9">
        <v>581</v>
      </c>
      <c r="B307" s="9" t="str">
        <f>IF(VLOOKUP($A307,Sheet1!$A$3:$AW$699,20,FALSE)="","",VLOOKUP($A307,Sheet1!$A$3:$AW$699,20,FALSE))</f>
        <v>PRCmd92Setting</v>
      </c>
      <c r="C307" s="9" t="str">
        <f>IF(VLOOKUP($A307,Sheet1!$A$3:$AW$699,25,FALSE)="","",VLOOKUP($A307,Sheet1!$A$3:$AW$699,25,FALSE))</f>
        <v>PR/IO</v>
      </c>
      <c r="D307" s="142" t="str">
        <f>IF(VLOOKUP($A307,Sheet1!$A$3:$AW$699,15,FALSE)="","",VLOOKUP($A307,Sheet1!$A$3:$AW$699,15,FALSE))</f>
        <v>0x00000000</v>
      </c>
      <c r="E307" s="142" t="str">
        <f>IF(VLOOKUP($A307,Sheet1!$A$3:$AW$699,16,FALSE)="","",VLOOKUP($A307,Sheet1!$A$3:$AW$699,16,FALSE))</f>
        <v>0xFFFFFFFF</v>
      </c>
      <c r="F307" s="142" t="str">
        <f>IF(VLOOKUP($A307,Sheet1!$A$3:$AW$699,17,FALSE)="","",VLOOKUP($A307,Sheet1!$A$3:$AW$699,17,FALSE))</f>
        <v>0x00000000</v>
      </c>
      <c r="G307" s="142" t="str">
        <f>IF(VLOOKUP($A307,Sheet1!$A$3:$AW$699,18,FALSE)="","",VLOOKUP($A307,Sheet1!$A$3:$AW$699,18,FALSE))</f>
        <v/>
      </c>
      <c r="H307" s="142" t="str">
        <f>IF(VLOOKUP($A307,Sheet1!$A$3:$AW$699,19,FALSE)="","",VLOOKUP($A307,Sheet1!$A$3:$AW$699,19,FALSE))</f>
        <v/>
      </c>
      <c r="I307" s="9" t="str">
        <f>IF(VLOOKUP($A307,Sheet1!$A$3:$AW$699,5,FALSE)="","",VLOOKUP($A307,Sheet1!$A$3:$AW$699,5,FALSE))</f>
        <v>UDINT</v>
      </c>
      <c r="J307" s="9" t="s">
        <v>841</v>
      </c>
      <c r="K307" s="9" t="s">
        <v>658</v>
      </c>
      <c r="L307" s="146" t="str">
        <f>IF(VLOOKUP($A307,Sheet1!$A$3:$AW$699,7,FALSE)="★","x","")</f>
        <v/>
      </c>
      <c r="M307" s="146" t="str">
        <f>IF(VLOOKUP($A307,Sheet1!$A$3:$AW$699,8,FALSE)="▲","x","")</f>
        <v/>
      </c>
      <c r="N307" s="146" t="str">
        <f>IF(VLOOKUP($A307,Sheet1!$A$3:$AW$699,9,FALSE)="●","x","")</f>
        <v/>
      </c>
      <c r="O307" s="146" t="str">
        <f>IF(VLOOKUP($A307,Sheet1!$A$3:$AW$699,10,FALSE)="■","x","")</f>
        <v/>
      </c>
      <c r="P307" s="9" t="str">
        <f>IF(VLOOKUP($A307,Sheet1!$A$3:$AW$699,2,FALSE)="","",VLOOKUP($A307,Sheet1!$A$3:$AW$699,2,FALSE))</f>
        <v>P7.084</v>
      </c>
    </row>
    <row r="308" spans="1:16" ht="20.399999999999999" x14ac:dyDescent="0.3">
      <c r="A308" s="9">
        <v>582</v>
      </c>
      <c r="B308" s="9" t="str">
        <f>IF(VLOOKUP($A308,Sheet1!$A$3:$AW$699,20,FALSE)="","",VLOOKUP($A308,Sheet1!$A$3:$AW$699,20,FALSE))</f>
        <v>PRCmd92Data</v>
      </c>
      <c r="C308" s="9" t="str">
        <f>IF(VLOOKUP($A308,Sheet1!$A$3:$AW$699,25,FALSE)="","",VLOOKUP($A308,Sheet1!$A$3:$AW$699,25,FALSE))</f>
        <v>PR/IO</v>
      </c>
      <c r="D308" s="142">
        <f>IF(VLOOKUP($A308,Sheet1!$A$3:$AW$699,15,FALSE)="","",VLOOKUP($A308,Sheet1!$A$3:$AW$699,15,FALSE))</f>
        <v>-2147483648</v>
      </c>
      <c r="E308" s="142">
        <f>IF(VLOOKUP($A308,Sheet1!$A$3:$AW$699,16,FALSE)="","",VLOOKUP($A308,Sheet1!$A$3:$AW$699,16,FALSE))</f>
        <v>2147483647</v>
      </c>
      <c r="F308" s="142">
        <f>IF(VLOOKUP($A308,Sheet1!$A$3:$AW$699,17,FALSE)="","",VLOOKUP($A308,Sheet1!$A$3:$AW$699,17,FALSE))</f>
        <v>0</v>
      </c>
      <c r="G308" s="142" t="str">
        <f>IF(VLOOKUP($A308,Sheet1!$A$3:$AW$699,18,FALSE)="","",VLOOKUP($A308,Sheet1!$A$3:$AW$699,18,FALSE))</f>
        <v/>
      </c>
      <c r="H308" s="142" t="str">
        <f>IF(VLOOKUP($A308,Sheet1!$A$3:$AW$699,19,FALSE)="","",VLOOKUP($A308,Sheet1!$A$3:$AW$699,19,FALSE))</f>
        <v/>
      </c>
      <c r="I308" s="9" t="str">
        <f>IF(VLOOKUP($A308,Sheet1!$A$3:$AW$699,5,FALSE)="","",VLOOKUP($A308,Sheet1!$A$3:$AW$699,5,FALSE))</f>
        <v>DINT</v>
      </c>
      <c r="J308" s="9" t="s">
        <v>842</v>
      </c>
      <c r="K308" s="9" t="s">
        <v>658</v>
      </c>
      <c r="L308" s="146" t="str">
        <f>IF(VLOOKUP($A308,Sheet1!$A$3:$AW$699,7,FALSE)="★","x","")</f>
        <v/>
      </c>
      <c r="M308" s="146" t="str">
        <f>IF(VLOOKUP($A308,Sheet1!$A$3:$AW$699,8,FALSE)="▲","x","")</f>
        <v/>
      </c>
      <c r="N308" s="146" t="str">
        <f>IF(VLOOKUP($A308,Sheet1!$A$3:$AW$699,9,FALSE)="●","x","")</f>
        <v/>
      </c>
      <c r="O308" s="146" t="str">
        <f>IF(VLOOKUP($A308,Sheet1!$A$3:$AW$699,10,FALSE)="■","x","")</f>
        <v/>
      </c>
      <c r="P308" s="9" t="str">
        <f>IF(VLOOKUP($A308,Sheet1!$A$3:$AW$699,2,FALSE)="","",VLOOKUP($A308,Sheet1!$A$3:$AW$699,2,FALSE))</f>
        <v>P7.085</v>
      </c>
    </row>
    <row r="309" spans="1:16" ht="20.399999999999999" x14ac:dyDescent="0.3">
      <c r="A309" s="9">
        <v>583</v>
      </c>
      <c r="B309" s="9" t="str">
        <f>IF(VLOOKUP($A309,Sheet1!$A$3:$AW$699,20,FALSE)="","",VLOOKUP($A309,Sheet1!$A$3:$AW$699,20,FALSE))</f>
        <v>PRCmd93Setting</v>
      </c>
      <c r="C309" s="9" t="str">
        <f>IF(VLOOKUP($A309,Sheet1!$A$3:$AW$699,25,FALSE)="","",VLOOKUP($A309,Sheet1!$A$3:$AW$699,25,FALSE))</f>
        <v>PR/IO</v>
      </c>
      <c r="D309" s="142" t="str">
        <f>IF(VLOOKUP($A309,Sheet1!$A$3:$AW$699,15,FALSE)="","",VLOOKUP($A309,Sheet1!$A$3:$AW$699,15,FALSE))</f>
        <v>0x00000000</v>
      </c>
      <c r="E309" s="142" t="str">
        <f>IF(VLOOKUP($A309,Sheet1!$A$3:$AW$699,16,FALSE)="","",VLOOKUP($A309,Sheet1!$A$3:$AW$699,16,FALSE))</f>
        <v>0xFFFFFFFF</v>
      </c>
      <c r="F309" s="142" t="str">
        <f>IF(VLOOKUP($A309,Sheet1!$A$3:$AW$699,17,FALSE)="","",VLOOKUP($A309,Sheet1!$A$3:$AW$699,17,FALSE))</f>
        <v>0x00000000</v>
      </c>
      <c r="G309" s="142" t="str">
        <f>IF(VLOOKUP($A309,Sheet1!$A$3:$AW$699,18,FALSE)="","",VLOOKUP($A309,Sheet1!$A$3:$AW$699,18,FALSE))</f>
        <v/>
      </c>
      <c r="H309" s="142" t="str">
        <f>IF(VLOOKUP($A309,Sheet1!$A$3:$AW$699,19,FALSE)="","",VLOOKUP($A309,Sheet1!$A$3:$AW$699,19,FALSE))</f>
        <v/>
      </c>
      <c r="I309" s="9" t="str">
        <f>IF(VLOOKUP($A309,Sheet1!$A$3:$AW$699,5,FALSE)="","",VLOOKUP($A309,Sheet1!$A$3:$AW$699,5,FALSE))</f>
        <v>UDINT</v>
      </c>
      <c r="J309" s="9" t="s">
        <v>843</v>
      </c>
      <c r="K309" s="9" t="s">
        <v>658</v>
      </c>
      <c r="L309" s="146" t="str">
        <f>IF(VLOOKUP($A309,Sheet1!$A$3:$AW$699,7,FALSE)="★","x","")</f>
        <v/>
      </c>
      <c r="M309" s="146" t="str">
        <f>IF(VLOOKUP($A309,Sheet1!$A$3:$AW$699,8,FALSE)="▲","x","")</f>
        <v/>
      </c>
      <c r="N309" s="146" t="str">
        <f>IF(VLOOKUP($A309,Sheet1!$A$3:$AW$699,9,FALSE)="●","x","")</f>
        <v/>
      </c>
      <c r="O309" s="146" t="str">
        <f>IF(VLOOKUP($A309,Sheet1!$A$3:$AW$699,10,FALSE)="■","x","")</f>
        <v/>
      </c>
      <c r="P309" s="9" t="str">
        <f>IF(VLOOKUP($A309,Sheet1!$A$3:$AW$699,2,FALSE)="","",VLOOKUP($A309,Sheet1!$A$3:$AW$699,2,FALSE))</f>
        <v>P7.086</v>
      </c>
    </row>
    <row r="310" spans="1:16" ht="20.399999999999999" x14ac:dyDescent="0.3">
      <c r="A310" s="9">
        <v>584</v>
      </c>
      <c r="B310" s="9" t="str">
        <f>IF(VLOOKUP($A310,Sheet1!$A$3:$AW$699,20,FALSE)="","",VLOOKUP($A310,Sheet1!$A$3:$AW$699,20,FALSE))</f>
        <v>PRCmd93Data</v>
      </c>
      <c r="C310" s="9" t="str">
        <f>IF(VLOOKUP($A310,Sheet1!$A$3:$AW$699,25,FALSE)="","",VLOOKUP($A310,Sheet1!$A$3:$AW$699,25,FALSE))</f>
        <v>PR/IO</v>
      </c>
      <c r="D310" s="142">
        <f>IF(VLOOKUP($A310,Sheet1!$A$3:$AW$699,15,FALSE)="","",VLOOKUP($A310,Sheet1!$A$3:$AW$699,15,FALSE))</f>
        <v>-2147483648</v>
      </c>
      <c r="E310" s="142">
        <f>IF(VLOOKUP($A310,Sheet1!$A$3:$AW$699,16,FALSE)="","",VLOOKUP($A310,Sheet1!$A$3:$AW$699,16,FALSE))</f>
        <v>2147483647</v>
      </c>
      <c r="F310" s="142">
        <f>IF(VLOOKUP($A310,Sheet1!$A$3:$AW$699,17,FALSE)="","",VLOOKUP($A310,Sheet1!$A$3:$AW$699,17,FALSE))</f>
        <v>0</v>
      </c>
      <c r="G310" s="142" t="str">
        <f>IF(VLOOKUP($A310,Sheet1!$A$3:$AW$699,18,FALSE)="","",VLOOKUP($A310,Sheet1!$A$3:$AW$699,18,FALSE))</f>
        <v/>
      </c>
      <c r="H310" s="142" t="str">
        <f>IF(VLOOKUP($A310,Sheet1!$A$3:$AW$699,19,FALSE)="","",VLOOKUP($A310,Sheet1!$A$3:$AW$699,19,FALSE))</f>
        <v/>
      </c>
      <c r="I310" s="9" t="str">
        <f>IF(VLOOKUP($A310,Sheet1!$A$3:$AW$699,5,FALSE)="","",VLOOKUP($A310,Sheet1!$A$3:$AW$699,5,FALSE))</f>
        <v>DINT</v>
      </c>
      <c r="J310" s="9" t="s">
        <v>844</v>
      </c>
      <c r="K310" s="9" t="s">
        <v>658</v>
      </c>
      <c r="L310" s="146" t="str">
        <f>IF(VLOOKUP($A310,Sheet1!$A$3:$AW$699,7,FALSE)="★","x","")</f>
        <v/>
      </c>
      <c r="M310" s="146" t="str">
        <f>IF(VLOOKUP($A310,Sheet1!$A$3:$AW$699,8,FALSE)="▲","x","")</f>
        <v/>
      </c>
      <c r="N310" s="146" t="str">
        <f>IF(VLOOKUP($A310,Sheet1!$A$3:$AW$699,9,FALSE)="●","x","")</f>
        <v/>
      </c>
      <c r="O310" s="146" t="str">
        <f>IF(VLOOKUP($A310,Sheet1!$A$3:$AW$699,10,FALSE)="■","x","")</f>
        <v/>
      </c>
      <c r="P310" s="9" t="str">
        <f>IF(VLOOKUP($A310,Sheet1!$A$3:$AW$699,2,FALSE)="","",VLOOKUP($A310,Sheet1!$A$3:$AW$699,2,FALSE))</f>
        <v>P7.087</v>
      </c>
    </row>
    <row r="311" spans="1:16" ht="20.399999999999999" x14ac:dyDescent="0.3">
      <c r="A311" s="9">
        <v>585</v>
      </c>
      <c r="B311" s="9" t="str">
        <f>IF(VLOOKUP($A311,Sheet1!$A$3:$AW$699,20,FALSE)="","",VLOOKUP($A311,Sheet1!$A$3:$AW$699,20,FALSE))</f>
        <v>PRCmd94Setting</v>
      </c>
      <c r="C311" s="9" t="str">
        <f>IF(VLOOKUP($A311,Sheet1!$A$3:$AW$699,25,FALSE)="","",VLOOKUP($A311,Sheet1!$A$3:$AW$699,25,FALSE))</f>
        <v>PR/IO</v>
      </c>
      <c r="D311" s="142" t="str">
        <f>IF(VLOOKUP($A311,Sheet1!$A$3:$AW$699,15,FALSE)="","",VLOOKUP($A311,Sheet1!$A$3:$AW$699,15,FALSE))</f>
        <v>0x00000000</v>
      </c>
      <c r="E311" s="142" t="str">
        <f>IF(VLOOKUP($A311,Sheet1!$A$3:$AW$699,16,FALSE)="","",VLOOKUP($A311,Sheet1!$A$3:$AW$699,16,FALSE))</f>
        <v>0xFFFFFFFF</v>
      </c>
      <c r="F311" s="142" t="str">
        <f>IF(VLOOKUP($A311,Sheet1!$A$3:$AW$699,17,FALSE)="","",VLOOKUP($A311,Sheet1!$A$3:$AW$699,17,FALSE))</f>
        <v>0x00000000</v>
      </c>
      <c r="G311" s="142" t="str">
        <f>IF(VLOOKUP($A311,Sheet1!$A$3:$AW$699,18,FALSE)="","",VLOOKUP($A311,Sheet1!$A$3:$AW$699,18,FALSE))</f>
        <v/>
      </c>
      <c r="H311" s="142" t="str">
        <f>IF(VLOOKUP($A311,Sheet1!$A$3:$AW$699,19,FALSE)="","",VLOOKUP($A311,Sheet1!$A$3:$AW$699,19,FALSE))</f>
        <v/>
      </c>
      <c r="I311" s="9" t="str">
        <f>IF(VLOOKUP($A311,Sheet1!$A$3:$AW$699,5,FALSE)="","",VLOOKUP($A311,Sheet1!$A$3:$AW$699,5,FALSE))</f>
        <v>UDINT</v>
      </c>
      <c r="J311" s="9" t="s">
        <v>845</v>
      </c>
      <c r="K311" s="9" t="s">
        <v>658</v>
      </c>
      <c r="L311" s="146" t="str">
        <f>IF(VLOOKUP($A311,Sheet1!$A$3:$AW$699,7,FALSE)="★","x","")</f>
        <v/>
      </c>
      <c r="M311" s="146" t="str">
        <f>IF(VLOOKUP($A311,Sheet1!$A$3:$AW$699,8,FALSE)="▲","x","")</f>
        <v/>
      </c>
      <c r="N311" s="146" t="str">
        <f>IF(VLOOKUP($A311,Sheet1!$A$3:$AW$699,9,FALSE)="●","x","")</f>
        <v/>
      </c>
      <c r="O311" s="146" t="str">
        <f>IF(VLOOKUP($A311,Sheet1!$A$3:$AW$699,10,FALSE)="■","x","")</f>
        <v/>
      </c>
      <c r="P311" s="9" t="str">
        <f>IF(VLOOKUP($A311,Sheet1!$A$3:$AW$699,2,FALSE)="","",VLOOKUP($A311,Sheet1!$A$3:$AW$699,2,FALSE))</f>
        <v>P7.088</v>
      </c>
    </row>
    <row r="312" spans="1:16" ht="20.399999999999999" x14ac:dyDescent="0.3">
      <c r="A312" s="9">
        <v>586</v>
      </c>
      <c r="B312" s="9" t="str">
        <f>IF(VLOOKUP($A312,Sheet1!$A$3:$AW$699,20,FALSE)="","",VLOOKUP($A312,Sheet1!$A$3:$AW$699,20,FALSE))</f>
        <v>PRCmd94Data</v>
      </c>
      <c r="C312" s="9" t="str">
        <f>IF(VLOOKUP($A312,Sheet1!$A$3:$AW$699,25,FALSE)="","",VLOOKUP($A312,Sheet1!$A$3:$AW$699,25,FALSE))</f>
        <v>PR/IO</v>
      </c>
      <c r="D312" s="142">
        <f>IF(VLOOKUP($A312,Sheet1!$A$3:$AW$699,15,FALSE)="","",VLOOKUP($A312,Sheet1!$A$3:$AW$699,15,FALSE))</f>
        <v>-2147483648</v>
      </c>
      <c r="E312" s="142">
        <f>IF(VLOOKUP($A312,Sheet1!$A$3:$AW$699,16,FALSE)="","",VLOOKUP($A312,Sheet1!$A$3:$AW$699,16,FALSE))</f>
        <v>2147483647</v>
      </c>
      <c r="F312" s="142">
        <f>IF(VLOOKUP($A312,Sheet1!$A$3:$AW$699,17,FALSE)="","",VLOOKUP($A312,Sheet1!$A$3:$AW$699,17,FALSE))</f>
        <v>0</v>
      </c>
      <c r="G312" s="142" t="str">
        <f>IF(VLOOKUP($A312,Sheet1!$A$3:$AW$699,18,FALSE)="","",VLOOKUP($A312,Sheet1!$A$3:$AW$699,18,FALSE))</f>
        <v/>
      </c>
      <c r="H312" s="142" t="str">
        <f>IF(VLOOKUP($A312,Sheet1!$A$3:$AW$699,19,FALSE)="","",VLOOKUP($A312,Sheet1!$A$3:$AW$699,19,FALSE))</f>
        <v/>
      </c>
      <c r="I312" s="9" t="str">
        <f>IF(VLOOKUP($A312,Sheet1!$A$3:$AW$699,5,FALSE)="","",VLOOKUP($A312,Sheet1!$A$3:$AW$699,5,FALSE))</f>
        <v>DINT</v>
      </c>
      <c r="J312" s="9" t="s">
        <v>846</v>
      </c>
      <c r="K312" s="9" t="s">
        <v>658</v>
      </c>
      <c r="L312" s="146" t="str">
        <f>IF(VLOOKUP($A312,Sheet1!$A$3:$AW$699,7,FALSE)="★","x","")</f>
        <v/>
      </c>
      <c r="M312" s="146" t="str">
        <f>IF(VLOOKUP($A312,Sheet1!$A$3:$AW$699,8,FALSE)="▲","x","")</f>
        <v/>
      </c>
      <c r="N312" s="146" t="str">
        <f>IF(VLOOKUP($A312,Sheet1!$A$3:$AW$699,9,FALSE)="●","x","")</f>
        <v/>
      </c>
      <c r="O312" s="146" t="str">
        <f>IF(VLOOKUP($A312,Sheet1!$A$3:$AW$699,10,FALSE)="■","x","")</f>
        <v/>
      </c>
      <c r="P312" s="9" t="str">
        <f>IF(VLOOKUP($A312,Sheet1!$A$3:$AW$699,2,FALSE)="","",VLOOKUP($A312,Sheet1!$A$3:$AW$699,2,FALSE))</f>
        <v>P7.089</v>
      </c>
    </row>
    <row r="313" spans="1:16" ht="20.399999999999999" x14ac:dyDescent="0.3">
      <c r="A313" s="9">
        <v>587</v>
      </c>
      <c r="B313" s="9" t="str">
        <f>IF(VLOOKUP($A313,Sheet1!$A$3:$AW$699,20,FALSE)="","",VLOOKUP($A313,Sheet1!$A$3:$AW$699,20,FALSE))</f>
        <v>PRCmd95Setting</v>
      </c>
      <c r="C313" s="9" t="str">
        <f>IF(VLOOKUP($A313,Sheet1!$A$3:$AW$699,25,FALSE)="","",VLOOKUP($A313,Sheet1!$A$3:$AW$699,25,FALSE))</f>
        <v>PR/IO</v>
      </c>
      <c r="D313" s="142" t="str">
        <f>IF(VLOOKUP($A313,Sheet1!$A$3:$AW$699,15,FALSE)="","",VLOOKUP($A313,Sheet1!$A$3:$AW$699,15,FALSE))</f>
        <v>0x00000000</v>
      </c>
      <c r="E313" s="142" t="str">
        <f>IF(VLOOKUP($A313,Sheet1!$A$3:$AW$699,16,FALSE)="","",VLOOKUP($A313,Sheet1!$A$3:$AW$699,16,FALSE))</f>
        <v>0xFFFFFFFF</v>
      </c>
      <c r="F313" s="142" t="str">
        <f>IF(VLOOKUP($A313,Sheet1!$A$3:$AW$699,17,FALSE)="","",VLOOKUP($A313,Sheet1!$A$3:$AW$699,17,FALSE))</f>
        <v>0x00000000</v>
      </c>
      <c r="G313" s="142" t="str">
        <f>IF(VLOOKUP($A313,Sheet1!$A$3:$AW$699,18,FALSE)="","",VLOOKUP($A313,Sheet1!$A$3:$AW$699,18,FALSE))</f>
        <v/>
      </c>
      <c r="H313" s="142" t="str">
        <f>IF(VLOOKUP($A313,Sheet1!$A$3:$AW$699,19,FALSE)="","",VLOOKUP($A313,Sheet1!$A$3:$AW$699,19,FALSE))</f>
        <v/>
      </c>
      <c r="I313" s="9" t="str">
        <f>IF(VLOOKUP($A313,Sheet1!$A$3:$AW$699,5,FALSE)="","",VLOOKUP($A313,Sheet1!$A$3:$AW$699,5,FALSE))</f>
        <v>UDINT</v>
      </c>
      <c r="J313" s="9" t="s">
        <v>847</v>
      </c>
      <c r="K313" s="9" t="s">
        <v>658</v>
      </c>
      <c r="L313" s="146" t="str">
        <f>IF(VLOOKUP($A313,Sheet1!$A$3:$AW$699,7,FALSE)="★","x","")</f>
        <v/>
      </c>
      <c r="M313" s="146" t="str">
        <f>IF(VLOOKUP($A313,Sheet1!$A$3:$AW$699,8,FALSE)="▲","x","")</f>
        <v/>
      </c>
      <c r="N313" s="146" t="str">
        <f>IF(VLOOKUP($A313,Sheet1!$A$3:$AW$699,9,FALSE)="●","x","")</f>
        <v/>
      </c>
      <c r="O313" s="146" t="str">
        <f>IF(VLOOKUP($A313,Sheet1!$A$3:$AW$699,10,FALSE)="■","x","")</f>
        <v/>
      </c>
      <c r="P313" s="9" t="str">
        <f>IF(VLOOKUP($A313,Sheet1!$A$3:$AW$699,2,FALSE)="","",VLOOKUP($A313,Sheet1!$A$3:$AW$699,2,FALSE))</f>
        <v>P7.090</v>
      </c>
    </row>
    <row r="314" spans="1:16" ht="20.399999999999999" x14ac:dyDescent="0.3">
      <c r="A314" s="9">
        <v>588</v>
      </c>
      <c r="B314" s="9" t="str">
        <f>IF(VLOOKUP($A314,Sheet1!$A$3:$AW$699,20,FALSE)="","",VLOOKUP($A314,Sheet1!$A$3:$AW$699,20,FALSE))</f>
        <v>PRCmd95Data</v>
      </c>
      <c r="C314" s="9" t="str">
        <f>IF(VLOOKUP($A314,Sheet1!$A$3:$AW$699,25,FALSE)="","",VLOOKUP($A314,Sheet1!$A$3:$AW$699,25,FALSE))</f>
        <v>PR/IO</v>
      </c>
      <c r="D314" s="142">
        <f>IF(VLOOKUP($A314,Sheet1!$A$3:$AW$699,15,FALSE)="","",VLOOKUP($A314,Sheet1!$A$3:$AW$699,15,FALSE))</f>
        <v>-2147483648</v>
      </c>
      <c r="E314" s="142">
        <f>IF(VLOOKUP($A314,Sheet1!$A$3:$AW$699,16,FALSE)="","",VLOOKUP($A314,Sheet1!$A$3:$AW$699,16,FALSE))</f>
        <v>2147483647</v>
      </c>
      <c r="F314" s="142">
        <f>IF(VLOOKUP($A314,Sheet1!$A$3:$AW$699,17,FALSE)="","",VLOOKUP($A314,Sheet1!$A$3:$AW$699,17,FALSE))</f>
        <v>0</v>
      </c>
      <c r="G314" s="142" t="str">
        <f>IF(VLOOKUP($A314,Sheet1!$A$3:$AW$699,18,FALSE)="","",VLOOKUP($A314,Sheet1!$A$3:$AW$699,18,FALSE))</f>
        <v/>
      </c>
      <c r="H314" s="142" t="str">
        <f>IF(VLOOKUP($A314,Sheet1!$A$3:$AW$699,19,FALSE)="","",VLOOKUP($A314,Sheet1!$A$3:$AW$699,19,FALSE))</f>
        <v/>
      </c>
      <c r="I314" s="9" t="str">
        <f>IF(VLOOKUP($A314,Sheet1!$A$3:$AW$699,5,FALSE)="","",VLOOKUP($A314,Sheet1!$A$3:$AW$699,5,FALSE))</f>
        <v>DINT</v>
      </c>
      <c r="J314" s="9" t="s">
        <v>848</v>
      </c>
      <c r="K314" s="9" t="s">
        <v>658</v>
      </c>
      <c r="L314" s="146" t="str">
        <f>IF(VLOOKUP($A314,Sheet1!$A$3:$AW$699,7,FALSE)="★","x","")</f>
        <v/>
      </c>
      <c r="M314" s="146" t="str">
        <f>IF(VLOOKUP($A314,Sheet1!$A$3:$AW$699,8,FALSE)="▲","x","")</f>
        <v/>
      </c>
      <c r="N314" s="146" t="str">
        <f>IF(VLOOKUP($A314,Sheet1!$A$3:$AW$699,9,FALSE)="●","x","")</f>
        <v/>
      </c>
      <c r="O314" s="146" t="str">
        <f>IF(VLOOKUP($A314,Sheet1!$A$3:$AW$699,10,FALSE)="■","x","")</f>
        <v/>
      </c>
      <c r="P314" s="9" t="str">
        <f>IF(VLOOKUP($A314,Sheet1!$A$3:$AW$699,2,FALSE)="","",VLOOKUP($A314,Sheet1!$A$3:$AW$699,2,FALSE))</f>
        <v>P7.091</v>
      </c>
    </row>
    <row r="315" spans="1:16" ht="20.399999999999999" x14ac:dyDescent="0.3">
      <c r="A315" s="9">
        <v>589</v>
      </c>
      <c r="B315" s="9" t="str">
        <f>IF(VLOOKUP($A315,Sheet1!$A$3:$AW$699,20,FALSE)="","",VLOOKUP($A315,Sheet1!$A$3:$AW$699,20,FALSE))</f>
        <v>PRCmd96Setting</v>
      </c>
      <c r="C315" s="9" t="str">
        <f>IF(VLOOKUP($A315,Sheet1!$A$3:$AW$699,25,FALSE)="","",VLOOKUP($A315,Sheet1!$A$3:$AW$699,25,FALSE))</f>
        <v>PR/IO</v>
      </c>
      <c r="D315" s="142" t="str">
        <f>IF(VLOOKUP($A315,Sheet1!$A$3:$AW$699,15,FALSE)="","",VLOOKUP($A315,Sheet1!$A$3:$AW$699,15,FALSE))</f>
        <v>0x00000000</v>
      </c>
      <c r="E315" s="142" t="str">
        <f>IF(VLOOKUP($A315,Sheet1!$A$3:$AW$699,16,FALSE)="","",VLOOKUP($A315,Sheet1!$A$3:$AW$699,16,FALSE))</f>
        <v>0xFFFFFFFF</v>
      </c>
      <c r="F315" s="142" t="str">
        <f>IF(VLOOKUP($A315,Sheet1!$A$3:$AW$699,17,FALSE)="","",VLOOKUP($A315,Sheet1!$A$3:$AW$699,17,FALSE))</f>
        <v>0x00000000</v>
      </c>
      <c r="G315" s="142" t="str">
        <f>IF(VLOOKUP($A315,Sheet1!$A$3:$AW$699,18,FALSE)="","",VLOOKUP($A315,Sheet1!$A$3:$AW$699,18,FALSE))</f>
        <v/>
      </c>
      <c r="H315" s="142" t="str">
        <f>IF(VLOOKUP($A315,Sheet1!$A$3:$AW$699,19,FALSE)="","",VLOOKUP($A315,Sheet1!$A$3:$AW$699,19,FALSE))</f>
        <v/>
      </c>
      <c r="I315" s="9" t="str">
        <f>IF(VLOOKUP($A315,Sheet1!$A$3:$AW$699,5,FALSE)="","",VLOOKUP($A315,Sheet1!$A$3:$AW$699,5,FALSE))</f>
        <v>UDINT</v>
      </c>
      <c r="J315" s="9" t="s">
        <v>849</v>
      </c>
      <c r="K315" s="9" t="s">
        <v>658</v>
      </c>
      <c r="L315" s="146" t="str">
        <f>IF(VLOOKUP($A315,Sheet1!$A$3:$AW$699,7,FALSE)="★","x","")</f>
        <v/>
      </c>
      <c r="M315" s="146" t="str">
        <f>IF(VLOOKUP($A315,Sheet1!$A$3:$AW$699,8,FALSE)="▲","x","")</f>
        <v/>
      </c>
      <c r="N315" s="146" t="str">
        <f>IF(VLOOKUP($A315,Sheet1!$A$3:$AW$699,9,FALSE)="●","x","")</f>
        <v/>
      </c>
      <c r="O315" s="146" t="str">
        <f>IF(VLOOKUP($A315,Sheet1!$A$3:$AW$699,10,FALSE)="■","x","")</f>
        <v/>
      </c>
      <c r="P315" s="9" t="str">
        <f>IF(VLOOKUP($A315,Sheet1!$A$3:$AW$699,2,FALSE)="","",VLOOKUP($A315,Sheet1!$A$3:$AW$699,2,FALSE))</f>
        <v>P7.092</v>
      </c>
    </row>
    <row r="316" spans="1:16" ht="20.399999999999999" x14ac:dyDescent="0.3">
      <c r="A316" s="9">
        <v>590</v>
      </c>
      <c r="B316" s="9" t="str">
        <f>IF(VLOOKUP($A316,Sheet1!$A$3:$AW$699,20,FALSE)="","",VLOOKUP($A316,Sheet1!$A$3:$AW$699,20,FALSE))</f>
        <v>PRCmd96Data</v>
      </c>
      <c r="C316" s="9" t="str">
        <f>IF(VLOOKUP($A316,Sheet1!$A$3:$AW$699,25,FALSE)="","",VLOOKUP($A316,Sheet1!$A$3:$AW$699,25,FALSE))</f>
        <v>PR/IO</v>
      </c>
      <c r="D316" s="142">
        <f>IF(VLOOKUP($A316,Sheet1!$A$3:$AW$699,15,FALSE)="","",VLOOKUP($A316,Sheet1!$A$3:$AW$699,15,FALSE))</f>
        <v>-2147483648</v>
      </c>
      <c r="E316" s="142">
        <f>IF(VLOOKUP($A316,Sheet1!$A$3:$AW$699,16,FALSE)="","",VLOOKUP($A316,Sheet1!$A$3:$AW$699,16,FALSE))</f>
        <v>2147483647</v>
      </c>
      <c r="F316" s="142">
        <f>IF(VLOOKUP($A316,Sheet1!$A$3:$AW$699,17,FALSE)="","",VLOOKUP($A316,Sheet1!$A$3:$AW$699,17,FALSE))</f>
        <v>0</v>
      </c>
      <c r="G316" s="142" t="str">
        <f>IF(VLOOKUP($A316,Sheet1!$A$3:$AW$699,18,FALSE)="","",VLOOKUP($A316,Sheet1!$A$3:$AW$699,18,FALSE))</f>
        <v/>
      </c>
      <c r="H316" s="142" t="str">
        <f>IF(VLOOKUP($A316,Sheet1!$A$3:$AW$699,19,FALSE)="","",VLOOKUP($A316,Sheet1!$A$3:$AW$699,19,FALSE))</f>
        <v/>
      </c>
      <c r="I316" s="9" t="str">
        <f>IF(VLOOKUP($A316,Sheet1!$A$3:$AW$699,5,FALSE)="","",VLOOKUP($A316,Sheet1!$A$3:$AW$699,5,FALSE))</f>
        <v>DINT</v>
      </c>
      <c r="J316" s="9" t="s">
        <v>850</v>
      </c>
      <c r="K316" s="9" t="s">
        <v>658</v>
      </c>
      <c r="L316" s="146" t="str">
        <f>IF(VLOOKUP($A316,Sheet1!$A$3:$AW$699,7,FALSE)="★","x","")</f>
        <v/>
      </c>
      <c r="M316" s="146" t="str">
        <f>IF(VLOOKUP($A316,Sheet1!$A$3:$AW$699,8,FALSE)="▲","x","")</f>
        <v/>
      </c>
      <c r="N316" s="146" t="str">
        <f>IF(VLOOKUP($A316,Sheet1!$A$3:$AW$699,9,FALSE)="●","x","")</f>
        <v/>
      </c>
      <c r="O316" s="146" t="str">
        <f>IF(VLOOKUP($A316,Sheet1!$A$3:$AW$699,10,FALSE)="■","x","")</f>
        <v/>
      </c>
      <c r="P316" s="9" t="str">
        <f>IF(VLOOKUP($A316,Sheet1!$A$3:$AW$699,2,FALSE)="","",VLOOKUP($A316,Sheet1!$A$3:$AW$699,2,FALSE))</f>
        <v>P7.093</v>
      </c>
    </row>
    <row r="317" spans="1:16" ht="20.399999999999999" x14ac:dyDescent="0.3">
      <c r="A317" s="9">
        <v>591</v>
      </c>
      <c r="B317" s="9" t="str">
        <f>IF(VLOOKUP($A317,Sheet1!$A$3:$AW$699,20,FALSE)="","",VLOOKUP($A317,Sheet1!$A$3:$AW$699,20,FALSE))</f>
        <v>PRCmd97Setting</v>
      </c>
      <c r="C317" s="9" t="str">
        <f>IF(VLOOKUP($A317,Sheet1!$A$3:$AW$699,25,FALSE)="","",VLOOKUP($A317,Sheet1!$A$3:$AW$699,25,FALSE))</f>
        <v>PR/IO</v>
      </c>
      <c r="D317" s="142" t="str">
        <f>IF(VLOOKUP($A317,Sheet1!$A$3:$AW$699,15,FALSE)="","",VLOOKUP($A317,Sheet1!$A$3:$AW$699,15,FALSE))</f>
        <v>0x00000000</v>
      </c>
      <c r="E317" s="142" t="str">
        <f>IF(VLOOKUP($A317,Sheet1!$A$3:$AW$699,16,FALSE)="","",VLOOKUP($A317,Sheet1!$A$3:$AW$699,16,FALSE))</f>
        <v>0xFFFFFFFF</v>
      </c>
      <c r="F317" s="142" t="str">
        <f>IF(VLOOKUP($A317,Sheet1!$A$3:$AW$699,17,FALSE)="","",VLOOKUP($A317,Sheet1!$A$3:$AW$699,17,FALSE))</f>
        <v>0x00000000</v>
      </c>
      <c r="G317" s="142" t="str">
        <f>IF(VLOOKUP($A317,Sheet1!$A$3:$AW$699,18,FALSE)="","",VLOOKUP($A317,Sheet1!$A$3:$AW$699,18,FALSE))</f>
        <v/>
      </c>
      <c r="H317" s="142" t="str">
        <f>IF(VLOOKUP($A317,Sheet1!$A$3:$AW$699,19,FALSE)="","",VLOOKUP($A317,Sheet1!$A$3:$AW$699,19,FALSE))</f>
        <v/>
      </c>
      <c r="I317" s="9" t="str">
        <f>IF(VLOOKUP($A317,Sheet1!$A$3:$AW$699,5,FALSE)="","",VLOOKUP($A317,Sheet1!$A$3:$AW$699,5,FALSE))</f>
        <v>UDINT</v>
      </c>
      <c r="J317" s="9" t="s">
        <v>851</v>
      </c>
      <c r="K317" s="9" t="s">
        <v>658</v>
      </c>
      <c r="L317" s="146" t="str">
        <f>IF(VLOOKUP($A317,Sheet1!$A$3:$AW$699,7,FALSE)="★","x","")</f>
        <v/>
      </c>
      <c r="M317" s="146" t="str">
        <f>IF(VLOOKUP($A317,Sheet1!$A$3:$AW$699,8,FALSE)="▲","x","")</f>
        <v/>
      </c>
      <c r="N317" s="146" t="str">
        <f>IF(VLOOKUP($A317,Sheet1!$A$3:$AW$699,9,FALSE)="●","x","")</f>
        <v/>
      </c>
      <c r="O317" s="146" t="str">
        <f>IF(VLOOKUP($A317,Sheet1!$A$3:$AW$699,10,FALSE)="■","x","")</f>
        <v/>
      </c>
      <c r="P317" s="9" t="str">
        <f>IF(VLOOKUP($A317,Sheet1!$A$3:$AW$699,2,FALSE)="","",VLOOKUP($A317,Sheet1!$A$3:$AW$699,2,FALSE))</f>
        <v>P7.094</v>
      </c>
    </row>
    <row r="318" spans="1:16" ht="20.399999999999999" x14ac:dyDescent="0.3">
      <c r="A318" s="9">
        <v>592</v>
      </c>
      <c r="B318" s="9" t="str">
        <f>IF(VLOOKUP($A318,Sheet1!$A$3:$AW$699,20,FALSE)="","",VLOOKUP($A318,Sheet1!$A$3:$AW$699,20,FALSE))</f>
        <v>PRCmd97Data</v>
      </c>
      <c r="C318" s="9" t="str">
        <f>IF(VLOOKUP($A318,Sheet1!$A$3:$AW$699,25,FALSE)="","",VLOOKUP($A318,Sheet1!$A$3:$AW$699,25,FALSE))</f>
        <v>PR/IO</v>
      </c>
      <c r="D318" s="142">
        <f>IF(VLOOKUP($A318,Sheet1!$A$3:$AW$699,15,FALSE)="","",VLOOKUP($A318,Sheet1!$A$3:$AW$699,15,FALSE))</f>
        <v>-2147483648</v>
      </c>
      <c r="E318" s="142">
        <f>IF(VLOOKUP($A318,Sheet1!$A$3:$AW$699,16,FALSE)="","",VLOOKUP($A318,Sheet1!$A$3:$AW$699,16,FALSE))</f>
        <v>2147483647</v>
      </c>
      <c r="F318" s="142">
        <f>IF(VLOOKUP($A318,Sheet1!$A$3:$AW$699,17,FALSE)="","",VLOOKUP($A318,Sheet1!$A$3:$AW$699,17,FALSE))</f>
        <v>0</v>
      </c>
      <c r="G318" s="142" t="str">
        <f>IF(VLOOKUP($A318,Sheet1!$A$3:$AW$699,18,FALSE)="","",VLOOKUP($A318,Sheet1!$A$3:$AW$699,18,FALSE))</f>
        <v/>
      </c>
      <c r="H318" s="142" t="str">
        <f>IF(VLOOKUP($A318,Sheet1!$A$3:$AW$699,19,FALSE)="","",VLOOKUP($A318,Sheet1!$A$3:$AW$699,19,FALSE))</f>
        <v/>
      </c>
      <c r="I318" s="9" t="str">
        <f>IF(VLOOKUP($A318,Sheet1!$A$3:$AW$699,5,FALSE)="","",VLOOKUP($A318,Sheet1!$A$3:$AW$699,5,FALSE))</f>
        <v>DINT</v>
      </c>
      <c r="J318" s="9" t="s">
        <v>852</v>
      </c>
      <c r="K318" s="9" t="s">
        <v>658</v>
      </c>
      <c r="L318" s="146" t="str">
        <f>IF(VLOOKUP($A318,Sheet1!$A$3:$AW$699,7,FALSE)="★","x","")</f>
        <v/>
      </c>
      <c r="M318" s="146" t="str">
        <f>IF(VLOOKUP($A318,Sheet1!$A$3:$AW$699,8,FALSE)="▲","x","")</f>
        <v/>
      </c>
      <c r="N318" s="146" t="str">
        <f>IF(VLOOKUP($A318,Sheet1!$A$3:$AW$699,9,FALSE)="●","x","")</f>
        <v/>
      </c>
      <c r="O318" s="146" t="str">
        <f>IF(VLOOKUP($A318,Sheet1!$A$3:$AW$699,10,FALSE)="■","x","")</f>
        <v/>
      </c>
      <c r="P318" s="9" t="str">
        <f>IF(VLOOKUP($A318,Sheet1!$A$3:$AW$699,2,FALSE)="","",VLOOKUP($A318,Sheet1!$A$3:$AW$699,2,FALSE))</f>
        <v>P7.095</v>
      </c>
    </row>
    <row r="319" spans="1:16" ht="20.399999999999999" x14ac:dyDescent="0.3">
      <c r="A319" s="9">
        <v>593</v>
      </c>
      <c r="B319" s="9" t="str">
        <f>IF(VLOOKUP($A319,Sheet1!$A$3:$AW$699,20,FALSE)="","",VLOOKUP($A319,Sheet1!$A$3:$AW$699,20,FALSE))</f>
        <v>PRCmd98Setting</v>
      </c>
      <c r="C319" s="9" t="str">
        <f>IF(VLOOKUP($A319,Sheet1!$A$3:$AW$699,25,FALSE)="","",VLOOKUP($A319,Sheet1!$A$3:$AW$699,25,FALSE))</f>
        <v>PR/IO</v>
      </c>
      <c r="D319" s="142" t="str">
        <f>IF(VLOOKUP($A319,Sheet1!$A$3:$AW$699,15,FALSE)="","",VLOOKUP($A319,Sheet1!$A$3:$AW$699,15,FALSE))</f>
        <v>0x00000000</v>
      </c>
      <c r="E319" s="142" t="str">
        <f>IF(VLOOKUP($A319,Sheet1!$A$3:$AW$699,16,FALSE)="","",VLOOKUP($A319,Sheet1!$A$3:$AW$699,16,FALSE))</f>
        <v>0xFFFFFFFF</v>
      </c>
      <c r="F319" s="142" t="str">
        <f>IF(VLOOKUP($A319,Sheet1!$A$3:$AW$699,17,FALSE)="","",VLOOKUP($A319,Sheet1!$A$3:$AW$699,17,FALSE))</f>
        <v>0x00000000</v>
      </c>
      <c r="G319" s="142" t="str">
        <f>IF(VLOOKUP($A319,Sheet1!$A$3:$AW$699,18,FALSE)="","",VLOOKUP($A319,Sheet1!$A$3:$AW$699,18,FALSE))</f>
        <v/>
      </c>
      <c r="H319" s="142" t="str">
        <f>IF(VLOOKUP($A319,Sheet1!$A$3:$AW$699,19,FALSE)="","",VLOOKUP($A319,Sheet1!$A$3:$AW$699,19,FALSE))</f>
        <v/>
      </c>
      <c r="I319" s="9" t="str">
        <f>IF(VLOOKUP($A319,Sheet1!$A$3:$AW$699,5,FALSE)="","",VLOOKUP($A319,Sheet1!$A$3:$AW$699,5,FALSE))</f>
        <v>UDINT</v>
      </c>
      <c r="J319" s="9" t="s">
        <v>853</v>
      </c>
      <c r="K319" s="9" t="s">
        <v>658</v>
      </c>
      <c r="L319" s="146" t="str">
        <f>IF(VLOOKUP($A319,Sheet1!$A$3:$AW$699,7,FALSE)="★","x","")</f>
        <v/>
      </c>
      <c r="M319" s="146" t="str">
        <f>IF(VLOOKUP($A319,Sheet1!$A$3:$AW$699,8,FALSE)="▲","x","")</f>
        <v/>
      </c>
      <c r="N319" s="146" t="str">
        <f>IF(VLOOKUP($A319,Sheet1!$A$3:$AW$699,9,FALSE)="●","x","")</f>
        <v/>
      </c>
      <c r="O319" s="146" t="str">
        <f>IF(VLOOKUP($A319,Sheet1!$A$3:$AW$699,10,FALSE)="■","x","")</f>
        <v/>
      </c>
      <c r="P319" s="9" t="str">
        <f>IF(VLOOKUP($A319,Sheet1!$A$3:$AW$699,2,FALSE)="","",VLOOKUP($A319,Sheet1!$A$3:$AW$699,2,FALSE))</f>
        <v>P7.096</v>
      </c>
    </row>
    <row r="320" spans="1:16" ht="20.399999999999999" x14ac:dyDescent="0.3">
      <c r="A320" s="9">
        <v>594</v>
      </c>
      <c r="B320" s="9" t="str">
        <f>IF(VLOOKUP($A320,Sheet1!$A$3:$AW$699,20,FALSE)="","",VLOOKUP($A320,Sheet1!$A$3:$AW$699,20,FALSE))</f>
        <v>PRCmd98Data</v>
      </c>
      <c r="C320" s="9" t="str">
        <f>IF(VLOOKUP($A320,Sheet1!$A$3:$AW$699,25,FALSE)="","",VLOOKUP($A320,Sheet1!$A$3:$AW$699,25,FALSE))</f>
        <v>PR/IO</v>
      </c>
      <c r="D320" s="142">
        <f>IF(VLOOKUP($A320,Sheet1!$A$3:$AW$699,15,FALSE)="","",VLOOKUP($A320,Sheet1!$A$3:$AW$699,15,FALSE))</f>
        <v>-2147483648</v>
      </c>
      <c r="E320" s="142">
        <f>IF(VLOOKUP($A320,Sheet1!$A$3:$AW$699,16,FALSE)="","",VLOOKUP($A320,Sheet1!$A$3:$AW$699,16,FALSE))</f>
        <v>2147483647</v>
      </c>
      <c r="F320" s="142">
        <f>IF(VLOOKUP($A320,Sheet1!$A$3:$AW$699,17,FALSE)="","",VLOOKUP($A320,Sheet1!$A$3:$AW$699,17,FALSE))</f>
        <v>0</v>
      </c>
      <c r="G320" s="142" t="str">
        <f>IF(VLOOKUP($A320,Sheet1!$A$3:$AW$699,18,FALSE)="","",VLOOKUP($A320,Sheet1!$A$3:$AW$699,18,FALSE))</f>
        <v/>
      </c>
      <c r="H320" s="142" t="str">
        <f>IF(VLOOKUP($A320,Sheet1!$A$3:$AW$699,19,FALSE)="","",VLOOKUP($A320,Sheet1!$A$3:$AW$699,19,FALSE))</f>
        <v/>
      </c>
      <c r="I320" s="9" t="str">
        <f>IF(VLOOKUP($A320,Sheet1!$A$3:$AW$699,5,FALSE)="","",VLOOKUP($A320,Sheet1!$A$3:$AW$699,5,FALSE))</f>
        <v>DINT</v>
      </c>
      <c r="J320" s="9" t="s">
        <v>854</v>
      </c>
      <c r="K320" s="9" t="s">
        <v>658</v>
      </c>
      <c r="L320" s="146" t="str">
        <f>IF(VLOOKUP($A320,Sheet1!$A$3:$AW$699,7,FALSE)="★","x","")</f>
        <v/>
      </c>
      <c r="M320" s="146" t="str">
        <f>IF(VLOOKUP($A320,Sheet1!$A$3:$AW$699,8,FALSE)="▲","x","")</f>
        <v/>
      </c>
      <c r="N320" s="146" t="str">
        <f>IF(VLOOKUP($A320,Sheet1!$A$3:$AW$699,9,FALSE)="●","x","")</f>
        <v/>
      </c>
      <c r="O320" s="146" t="str">
        <f>IF(VLOOKUP($A320,Sheet1!$A$3:$AW$699,10,FALSE)="■","x","")</f>
        <v/>
      </c>
      <c r="P320" s="9" t="str">
        <f>IF(VLOOKUP($A320,Sheet1!$A$3:$AW$699,2,FALSE)="","",VLOOKUP($A320,Sheet1!$A$3:$AW$699,2,FALSE))</f>
        <v>P7.097</v>
      </c>
    </row>
    <row r="321" spans="1:16" ht="20.399999999999999" x14ac:dyDescent="0.3">
      <c r="A321" s="9">
        <v>595</v>
      </c>
      <c r="B321" s="9" t="str">
        <f>IF(VLOOKUP($A321,Sheet1!$A$3:$AW$699,20,FALSE)="","",VLOOKUP($A321,Sheet1!$A$3:$AW$699,20,FALSE))</f>
        <v>PRCmd99Setting</v>
      </c>
      <c r="C321" s="9" t="str">
        <f>IF(VLOOKUP($A321,Sheet1!$A$3:$AW$699,25,FALSE)="","",VLOOKUP($A321,Sheet1!$A$3:$AW$699,25,FALSE))</f>
        <v>PR/IO</v>
      </c>
      <c r="D321" s="142" t="str">
        <f>IF(VLOOKUP($A321,Sheet1!$A$3:$AW$699,15,FALSE)="","",VLOOKUP($A321,Sheet1!$A$3:$AW$699,15,FALSE))</f>
        <v>0x00000000</v>
      </c>
      <c r="E321" s="142" t="str">
        <f>IF(VLOOKUP($A321,Sheet1!$A$3:$AW$699,16,FALSE)="","",VLOOKUP($A321,Sheet1!$A$3:$AW$699,16,FALSE))</f>
        <v>0xFFFFFFFF</v>
      </c>
      <c r="F321" s="142" t="str">
        <f>IF(VLOOKUP($A321,Sheet1!$A$3:$AW$699,17,FALSE)="","",VLOOKUP($A321,Sheet1!$A$3:$AW$699,17,FALSE))</f>
        <v>0x00000000</v>
      </c>
      <c r="G321" s="142" t="str">
        <f>IF(VLOOKUP($A321,Sheet1!$A$3:$AW$699,18,FALSE)="","",VLOOKUP($A321,Sheet1!$A$3:$AW$699,18,FALSE))</f>
        <v/>
      </c>
      <c r="H321" s="142" t="str">
        <f>IF(VLOOKUP($A321,Sheet1!$A$3:$AW$699,19,FALSE)="","",VLOOKUP($A321,Sheet1!$A$3:$AW$699,19,FALSE))</f>
        <v/>
      </c>
      <c r="I321" s="9" t="str">
        <f>IF(VLOOKUP($A321,Sheet1!$A$3:$AW$699,5,FALSE)="","",VLOOKUP($A321,Sheet1!$A$3:$AW$699,5,FALSE))</f>
        <v>UDINT</v>
      </c>
      <c r="J321" s="9" t="s">
        <v>855</v>
      </c>
      <c r="K321" s="9" t="s">
        <v>658</v>
      </c>
      <c r="L321" s="146" t="str">
        <f>IF(VLOOKUP($A321,Sheet1!$A$3:$AW$699,7,FALSE)="★","x","")</f>
        <v/>
      </c>
      <c r="M321" s="146" t="str">
        <f>IF(VLOOKUP($A321,Sheet1!$A$3:$AW$699,8,FALSE)="▲","x","")</f>
        <v/>
      </c>
      <c r="N321" s="146" t="str">
        <f>IF(VLOOKUP($A321,Sheet1!$A$3:$AW$699,9,FALSE)="●","x","")</f>
        <v/>
      </c>
      <c r="O321" s="146" t="str">
        <f>IF(VLOOKUP($A321,Sheet1!$A$3:$AW$699,10,FALSE)="■","x","")</f>
        <v/>
      </c>
      <c r="P321" s="9" t="str">
        <f>IF(VLOOKUP($A321,Sheet1!$A$3:$AW$699,2,FALSE)="","",VLOOKUP($A321,Sheet1!$A$3:$AW$699,2,FALSE))</f>
        <v>P7.098</v>
      </c>
    </row>
    <row r="322" spans="1:16" ht="20.399999999999999" x14ac:dyDescent="0.3">
      <c r="A322" s="9">
        <v>596</v>
      </c>
      <c r="B322" s="9" t="str">
        <f>IF(VLOOKUP($A322,Sheet1!$A$3:$AW$699,20,FALSE)="","",VLOOKUP($A322,Sheet1!$A$3:$AW$699,20,FALSE))</f>
        <v>PRCmd99Data</v>
      </c>
      <c r="C322" s="9" t="str">
        <f>IF(VLOOKUP($A322,Sheet1!$A$3:$AW$699,25,FALSE)="","",VLOOKUP($A322,Sheet1!$A$3:$AW$699,25,FALSE))</f>
        <v>PR/IO</v>
      </c>
      <c r="D322" s="142">
        <f>IF(VLOOKUP($A322,Sheet1!$A$3:$AW$699,15,FALSE)="","",VLOOKUP($A322,Sheet1!$A$3:$AW$699,15,FALSE))</f>
        <v>-2147483648</v>
      </c>
      <c r="E322" s="142">
        <f>IF(VLOOKUP($A322,Sheet1!$A$3:$AW$699,16,FALSE)="","",VLOOKUP($A322,Sheet1!$A$3:$AW$699,16,FALSE))</f>
        <v>2147483647</v>
      </c>
      <c r="F322" s="142">
        <f>IF(VLOOKUP($A322,Sheet1!$A$3:$AW$699,17,FALSE)="","",VLOOKUP($A322,Sheet1!$A$3:$AW$699,17,FALSE))</f>
        <v>0</v>
      </c>
      <c r="G322" s="142" t="str">
        <f>IF(VLOOKUP($A322,Sheet1!$A$3:$AW$699,18,FALSE)="","",VLOOKUP($A322,Sheet1!$A$3:$AW$699,18,FALSE))</f>
        <v/>
      </c>
      <c r="H322" s="142" t="str">
        <f>IF(VLOOKUP($A322,Sheet1!$A$3:$AW$699,19,FALSE)="","",VLOOKUP($A322,Sheet1!$A$3:$AW$699,19,FALSE))</f>
        <v/>
      </c>
      <c r="I322" s="9" t="str">
        <f>IF(VLOOKUP($A322,Sheet1!$A$3:$AW$699,5,FALSE)="","",VLOOKUP($A322,Sheet1!$A$3:$AW$699,5,FALSE))</f>
        <v>DINT</v>
      </c>
      <c r="J322" s="9" t="s">
        <v>856</v>
      </c>
      <c r="K322" s="9" t="s">
        <v>658</v>
      </c>
      <c r="L322" s="146" t="str">
        <f>IF(VLOOKUP($A322,Sheet1!$A$3:$AW$699,7,FALSE)="★","x","")</f>
        <v/>
      </c>
      <c r="M322" s="146" t="str">
        <f>IF(VLOOKUP($A322,Sheet1!$A$3:$AW$699,8,FALSE)="▲","x","")</f>
        <v/>
      </c>
      <c r="N322" s="146" t="str">
        <f>IF(VLOOKUP($A322,Sheet1!$A$3:$AW$699,9,FALSE)="●","x","")</f>
        <v/>
      </c>
      <c r="O322" s="146" t="str">
        <f>IF(VLOOKUP($A322,Sheet1!$A$3:$AW$699,10,FALSE)="■","x","")</f>
        <v/>
      </c>
      <c r="P322" s="9" t="str">
        <f>IF(VLOOKUP($A322,Sheet1!$A$3:$AW$699,2,FALSE)="","",VLOOKUP($A322,Sheet1!$A$3:$AW$699,2,FALSE))</f>
        <v>P7.099</v>
      </c>
    </row>
    <row r="323" spans="1:16" ht="40.799999999999997" x14ac:dyDescent="0.3">
      <c r="A323" s="9">
        <v>687</v>
      </c>
      <c r="B323" s="9" t="str">
        <f>IF(VLOOKUP($A323,Sheet1!$A$3:$AW$699,20,FALSE)="","",VLOOKUP($A323,Sheet1!$A$3:$AW$699,20,FALSE))</f>
        <v>PRCmdFilterTime</v>
      </c>
      <c r="C323" s="9" t="str">
        <f>IF(VLOOKUP($A323,Sheet1!$A$3:$AW$699,25,FALSE)="","",VLOOKUP($A323,Sheet1!$A$3:$AW$699,25,FALSE))</f>
        <v>PR</v>
      </c>
      <c r="D323" s="142" t="str">
        <f>IF(VLOOKUP($A323,Sheet1!$A$3:$AW$699,15,FALSE)="","",VLOOKUP($A323,Sheet1!$A$3:$AW$699,15,FALSE))</f>
        <v>0x0000</v>
      </c>
      <c r="E323" s="142" t="str">
        <f>IF(VLOOKUP($A323,Sheet1!$A$3:$AW$699,16,FALSE)="","",VLOOKUP($A323,Sheet1!$A$3:$AW$699,16,FALSE))</f>
        <v>0x107F</v>
      </c>
      <c r="F323" s="142" t="str">
        <f>IF(VLOOKUP($A323,Sheet1!$A$3:$AW$699,17,FALSE)="","",VLOOKUP($A323,Sheet1!$A$3:$AW$699,17,FALSE))</f>
        <v>0x0000</v>
      </c>
      <c r="G323" s="142" t="str">
        <f>IF(VLOOKUP($A323,Sheet1!$A$3:$AW$699,18,FALSE)="","",VLOOKUP($A323,Sheet1!$A$3:$AW$699,18,FALSE))</f>
        <v/>
      </c>
      <c r="H323" s="142" t="str">
        <f>IF(VLOOKUP($A323,Sheet1!$A$3:$AW$699,19,FALSE)="","",VLOOKUP($A323,Sheet1!$A$3:$AW$699,19,FALSE))</f>
        <v>10ms</v>
      </c>
      <c r="I323" s="9" t="str">
        <f>IF(VLOOKUP($A323,Sheet1!$A$3:$AW$699,5,FALSE)="","",VLOOKUP($A323,Sheet1!$A$3:$AW$699,5,FALSE))</f>
        <v>UINT</v>
      </c>
      <c r="J323" s="9" t="s">
        <v>857</v>
      </c>
      <c r="K323" s="9" t="s">
        <v>658</v>
      </c>
      <c r="L323" s="146" t="str">
        <f>IF(VLOOKUP($A323,Sheet1!$A$3:$AW$699,7,FALSE)="★","x","")</f>
        <v/>
      </c>
      <c r="M323" s="146" t="str">
        <f>IF(VLOOKUP($A323,Sheet1!$A$3:$AW$699,8,FALSE)="▲","x","")</f>
        <v/>
      </c>
      <c r="N323" s="146" t="str">
        <f>IF(VLOOKUP($A323,Sheet1!$A$3:$AW$699,9,FALSE)="●","x","")</f>
        <v/>
      </c>
      <c r="O323" s="146" t="str">
        <f>IF(VLOOKUP($A323,Sheet1!$A$3:$AW$699,10,FALSE)="■","x","")</f>
        <v/>
      </c>
      <c r="P323" s="9" t="str">
        <f>IF(VLOOKUP($A323,Sheet1!$A$3:$AW$699,2,FALSE)="","",VLOOKUP($A323,Sheet1!$A$3:$AW$699,2,FALSE))</f>
        <v>P1.022</v>
      </c>
    </row>
  </sheetData>
  <autoFilter ref="A4:P122" xr:uid="{8F6E9D64-BEA1-485C-AE7E-AEFDBC3E6D59}">
    <filterColumn colId="1">
      <filters>
        <filter val="PresetVelocity0"/>
        <filter val="PresetVelocity1"/>
        <filter val="PresetVelocity10"/>
        <filter val="PresetVelocity11"/>
        <filter val="PresetVelocity12"/>
        <filter val="PresetVelocity13"/>
        <filter val="PresetVelocity14"/>
        <filter val="PresetVelocity15"/>
        <filter val="PresetVelocity2"/>
        <filter val="PresetVelocity3"/>
        <filter val="PresetVelocity4"/>
        <filter val="PresetVelocity5"/>
        <filter val="PresetVelocity6"/>
        <filter val="PresetVelocity7"/>
        <filter val="PresetVelocity8"/>
        <filter val="PresetVelocity9"/>
      </filters>
    </filterColumn>
  </autoFilter>
  <mergeCells count="2">
    <mergeCell ref="A1:B1"/>
    <mergeCell ref="A2:B2"/>
  </mergeCells>
  <hyperlinks>
    <hyperlink ref="J102" location="'Detailed Definitions'!B21" display="'Detailed Definitions'!B21" xr:uid="{FD872E04-C797-4807-8CC0-6F2E83665701}"/>
    <hyperlink ref="A2" r:id="rId1" display="Kinetix 5100 Servo Drive User Manual, publication 2198-UM004" xr:uid="{FF87B894-7DD3-41E1-85C7-7FF89B3AD64C}"/>
    <hyperlink ref="J125" location="'Detailed Definitions'!D25" display="'Detailed Definitions'!D25" xr:uid="{4A109739-889E-4DA3-8335-C3FF3D6CDD81}"/>
  </hyperlinks>
  <pageMargins left="0.7" right="0.7" top="0.75" bottom="0.75" header="0.3" footer="0.3"/>
  <pageSetup paperSize="17" scale="86" fitToHeight="0" orientation="landscape"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2622E-5F33-4E1B-89E5-CA8102C7922E}">
  <dimension ref="A1:BC1076"/>
  <sheetViews>
    <sheetView topLeftCell="A678" zoomScale="70" zoomScaleNormal="70" workbookViewId="0">
      <selection activeCell="T689" sqref="T689"/>
    </sheetView>
  </sheetViews>
  <sheetFormatPr defaultColWidth="9.109375" defaultRowHeight="13.2" x14ac:dyDescent="0.25"/>
  <cols>
    <col min="1" max="1" width="12.109375" style="210" customWidth="1"/>
    <col min="2" max="2" width="9.6640625" style="121" customWidth="1"/>
    <col min="3" max="3" width="9" style="210" customWidth="1"/>
    <col min="4" max="4" width="10.33203125" style="210" customWidth="1"/>
    <col min="5" max="5" width="11.33203125" style="210" customWidth="1"/>
    <col min="6" max="6" width="11.88671875" style="210" customWidth="1"/>
    <col min="7" max="13" width="2.6640625" style="210" customWidth="1"/>
    <col min="14" max="14" width="8.33203125" style="210" customWidth="1"/>
    <col min="15" max="15" width="12.88671875" style="156" customWidth="1"/>
    <col min="16" max="16" width="11.44140625" style="156" customWidth="1"/>
    <col min="17" max="17" width="13.88671875" style="156" customWidth="1"/>
    <col min="18" max="18" width="11.6640625" style="156" customWidth="1"/>
    <col min="19" max="19" width="17.5546875" style="157" customWidth="1"/>
    <col min="20" max="20" width="29.6640625" style="158" customWidth="1"/>
    <col min="21" max="21" width="29.33203125" style="157" customWidth="1"/>
    <col min="22" max="22" width="45.88671875" style="157" hidden="1" customWidth="1"/>
    <col min="23" max="23" width="11.33203125" style="159" customWidth="1"/>
    <col min="24" max="24" width="6" style="208" hidden="1" customWidth="1"/>
    <col min="25" max="25" width="10.33203125" style="160" customWidth="1"/>
    <col min="26" max="26" width="41.33203125" style="161" customWidth="1"/>
    <col min="27" max="27" width="43" style="162" customWidth="1"/>
    <col min="28" max="28" width="9.33203125" style="163" customWidth="1"/>
    <col min="29" max="30" width="6" style="209" customWidth="1"/>
    <col min="31" max="31" width="9.6640625" style="209" hidden="1" customWidth="1"/>
    <col min="32" max="32" width="9" style="209" hidden="1" customWidth="1"/>
    <col min="33" max="33" width="6" style="209" customWidth="1"/>
    <col min="34" max="34" width="4.88671875" style="210" customWidth="1"/>
    <col min="35" max="49" width="4.5546875" style="210" customWidth="1"/>
    <col min="50" max="16384" width="9.109375" style="121"/>
  </cols>
  <sheetData>
    <row r="1" spans="1:49" ht="13.8" x14ac:dyDescent="0.3">
      <c r="A1" s="154" t="s">
        <v>858</v>
      </c>
      <c r="C1" s="214"/>
      <c r="D1" s="214"/>
      <c r="E1" s="214"/>
      <c r="F1" s="214"/>
      <c r="G1" s="214"/>
      <c r="H1" s="214"/>
      <c r="I1" s="214"/>
      <c r="J1" s="214"/>
      <c r="K1" s="214"/>
      <c r="L1" s="214"/>
      <c r="M1" s="214"/>
      <c r="N1" s="214"/>
      <c r="O1" s="155"/>
      <c r="W1" s="159" t="s">
        <v>859</v>
      </c>
      <c r="X1" s="157"/>
      <c r="AC1" s="214"/>
      <c r="AD1" s="214"/>
      <c r="AE1" s="214"/>
      <c r="AF1" s="214"/>
      <c r="AG1" s="214"/>
      <c r="AH1" s="214"/>
      <c r="AI1" s="214"/>
      <c r="AJ1" s="214"/>
      <c r="AK1" s="214"/>
      <c r="AL1" s="214"/>
      <c r="AM1" s="214"/>
      <c r="AN1" s="214"/>
      <c r="AO1" s="214"/>
      <c r="AP1" s="214"/>
      <c r="AQ1" s="214"/>
      <c r="AR1" s="214"/>
      <c r="AS1" s="214"/>
      <c r="AT1" s="214"/>
      <c r="AU1" s="214"/>
      <c r="AV1" s="214"/>
      <c r="AW1" s="214"/>
    </row>
    <row r="2" spans="1:49" ht="13.8" thickBot="1" x14ac:dyDescent="0.35">
      <c r="A2" s="214"/>
      <c r="B2" s="214" t="s">
        <v>860</v>
      </c>
      <c r="C2" s="214"/>
      <c r="D2" s="214"/>
      <c r="E2" s="214"/>
      <c r="F2" s="214"/>
      <c r="G2" s="229" t="s">
        <v>861</v>
      </c>
      <c r="H2" s="229"/>
      <c r="I2" s="229"/>
      <c r="J2" s="229"/>
      <c r="K2" s="229"/>
      <c r="L2" s="229"/>
      <c r="M2" s="229"/>
      <c r="N2" s="214"/>
      <c r="X2" s="157"/>
      <c r="AC2" s="214"/>
      <c r="AD2" s="214" t="s">
        <v>861</v>
      </c>
      <c r="AE2" s="214"/>
      <c r="AF2" s="214"/>
      <c r="AG2" s="214"/>
      <c r="AH2" s="214"/>
      <c r="AI2" s="214"/>
      <c r="AJ2" s="214"/>
      <c r="AK2" s="214"/>
      <c r="AL2" s="214"/>
      <c r="AM2" s="214"/>
      <c r="AN2" s="214"/>
      <c r="AO2" s="214"/>
      <c r="AP2" s="214"/>
      <c r="AQ2" s="214"/>
      <c r="AR2" s="214"/>
      <c r="AS2" s="214"/>
      <c r="AT2" s="214"/>
      <c r="AU2" s="214"/>
      <c r="AV2" s="214"/>
      <c r="AW2" s="214"/>
    </row>
    <row r="3" spans="1:49" s="171" customFormat="1" ht="32.25" customHeight="1" thickBot="1" x14ac:dyDescent="0.35">
      <c r="A3" s="164" t="s">
        <v>862</v>
      </c>
      <c r="B3" s="165" t="s">
        <v>863</v>
      </c>
      <c r="C3" s="165" t="s">
        <v>864</v>
      </c>
      <c r="D3" s="165" t="s">
        <v>865</v>
      </c>
      <c r="E3" s="166" t="s">
        <v>866</v>
      </c>
      <c r="F3" s="164" t="s">
        <v>867</v>
      </c>
      <c r="G3" s="165" t="s">
        <v>868</v>
      </c>
      <c r="H3" s="165" t="s">
        <v>869</v>
      </c>
      <c r="I3" s="165" t="s">
        <v>870</v>
      </c>
      <c r="J3" s="165" t="s">
        <v>871</v>
      </c>
      <c r="K3" s="167" t="s">
        <v>872</v>
      </c>
      <c r="L3" s="167" t="s">
        <v>873</v>
      </c>
      <c r="M3" s="167" t="s">
        <v>874</v>
      </c>
      <c r="N3" s="165" t="s">
        <v>875</v>
      </c>
      <c r="O3" s="165" t="s">
        <v>876</v>
      </c>
      <c r="P3" s="165" t="s">
        <v>877</v>
      </c>
      <c r="Q3" s="165" t="s">
        <v>878</v>
      </c>
      <c r="R3" s="165" t="s">
        <v>37</v>
      </c>
      <c r="S3" s="168" t="s">
        <v>879</v>
      </c>
      <c r="T3" s="168" t="s">
        <v>32</v>
      </c>
      <c r="U3" s="168" t="s">
        <v>880</v>
      </c>
      <c r="V3" s="168" t="s">
        <v>881</v>
      </c>
      <c r="W3" s="168" t="s">
        <v>882</v>
      </c>
      <c r="X3" s="168" t="s">
        <v>883</v>
      </c>
      <c r="Y3" s="168" t="s">
        <v>33</v>
      </c>
      <c r="Z3" s="168" t="s">
        <v>884</v>
      </c>
      <c r="AA3" s="167" t="s">
        <v>885</v>
      </c>
      <c r="AB3" s="165"/>
      <c r="AC3" s="165" t="s">
        <v>886</v>
      </c>
      <c r="AD3" s="169" t="s">
        <v>887</v>
      </c>
      <c r="AE3" s="165" t="s">
        <v>888</v>
      </c>
      <c r="AF3" s="165" t="s">
        <v>889</v>
      </c>
      <c r="AG3" s="165"/>
      <c r="AH3" s="165" t="s">
        <v>890</v>
      </c>
      <c r="AI3" s="165" t="s">
        <v>891</v>
      </c>
      <c r="AJ3" s="165" t="s">
        <v>892</v>
      </c>
      <c r="AK3" s="165" t="s">
        <v>893</v>
      </c>
      <c r="AL3" s="165" t="s">
        <v>894</v>
      </c>
      <c r="AM3" s="165" t="s">
        <v>895</v>
      </c>
      <c r="AN3" s="165" t="s">
        <v>896</v>
      </c>
      <c r="AO3" s="165" t="s">
        <v>897</v>
      </c>
      <c r="AP3" s="165" t="s">
        <v>898</v>
      </c>
      <c r="AQ3" s="165" t="s">
        <v>899</v>
      </c>
      <c r="AR3" s="165" t="s">
        <v>900</v>
      </c>
      <c r="AS3" s="165" t="s">
        <v>901</v>
      </c>
      <c r="AT3" s="165" t="s">
        <v>902</v>
      </c>
      <c r="AU3" s="165" t="s">
        <v>903</v>
      </c>
      <c r="AV3" s="165" t="s">
        <v>904</v>
      </c>
      <c r="AW3" s="170" t="s">
        <v>905</v>
      </c>
    </row>
    <row r="4" spans="1:49" s="157" customFormat="1" ht="66" x14ac:dyDescent="0.3">
      <c r="A4" s="172">
        <v>1</v>
      </c>
      <c r="B4" s="173" t="s">
        <v>906</v>
      </c>
      <c r="C4" s="172">
        <v>6</v>
      </c>
      <c r="D4" s="172" t="s">
        <v>907</v>
      </c>
      <c r="E4" s="172" t="s">
        <v>908</v>
      </c>
      <c r="F4" s="172" t="s">
        <v>909</v>
      </c>
      <c r="G4" s="172"/>
      <c r="H4" s="172" t="s">
        <v>869</v>
      </c>
      <c r="I4" s="172" t="s">
        <v>870</v>
      </c>
      <c r="J4" s="172"/>
      <c r="K4" s="172" t="s">
        <v>872</v>
      </c>
      <c r="L4" s="172"/>
      <c r="M4" s="172"/>
      <c r="N4" s="172">
        <v>1</v>
      </c>
      <c r="O4" s="174">
        <v>0</v>
      </c>
      <c r="P4" s="174">
        <v>3</v>
      </c>
      <c r="Q4" s="174">
        <v>0</v>
      </c>
      <c r="R4" s="174"/>
      <c r="S4" s="174"/>
      <c r="T4" s="175" t="s">
        <v>910</v>
      </c>
      <c r="U4" s="173" t="s">
        <v>911</v>
      </c>
      <c r="V4" s="173" t="s">
        <v>912</v>
      </c>
      <c r="W4" s="172" t="str">
        <f>CONCATENATE("0x",TEXT(DEC2HEX(HEX2DEC("FD")*256+(0)*2),"0000"))</f>
        <v>0xFD00</v>
      </c>
      <c r="X4" s="174">
        <v>16</v>
      </c>
      <c r="Y4" s="176" t="s">
        <v>913</v>
      </c>
      <c r="Z4" s="177" t="s">
        <v>914</v>
      </c>
      <c r="AA4" s="178"/>
      <c r="AB4" s="176"/>
      <c r="AC4" s="172">
        <v>8</v>
      </c>
      <c r="AD4" s="172" t="s">
        <v>887</v>
      </c>
      <c r="AE4" s="172"/>
      <c r="AF4" s="172"/>
      <c r="AG4" s="172"/>
      <c r="AH4" s="106" t="s">
        <v>915</v>
      </c>
      <c r="AI4" s="172"/>
      <c r="AJ4" s="106"/>
      <c r="AK4" s="172"/>
      <c r="AL4" s="106"/>
      <c r="AM4" s="172"/>
      <c r="AN4" s="106"/>
      <c r="AO4" s="172"/>
      <c r="AP4" s="106"/>
      <c r="AQ4" s="172"/>
      <c r="AR4" s="106"/>
      <c r="AS4" s="172"/>
      <c r="AT4" s="106"/>
      <c r="AU4" s="172"/>
      <c r="AV4" s="106"/>
      <c r="AW4" s="172"/>
    </row>
    <row r="5" spans="1:49" s="157" customFormat="1" x14ac:dyDescent="0.3">
      <c r="A5" s="114">
        <v>2</v>
      </c>
      <c r="B5" s="179" t="s">
        <v>916</v>
      </c>
      <c r="C5" s="114">
        <v>6</v>
      </c>
      <c r="D5" s="114" t="s">
        <v>917</v>
      </c>
      <c r="E5" s="114" t="s">
        <v>918</v>
      </c>
      <c r="F5" s="114" t="s">
        <v>909</v>
      </c>
      <c r="G5" s="114"/>
      <c r="H5" s="114" t="s">
        <v>869</v>
      </c>
      <c r="I5" s="114"/>
      <c r="J5" s="114"/>
      <c r="K5" s="114" t="s">
        <v>872</v>
      </c>
      <c r="L5" s="114"/>
      <c r="M5" s="114"/>
      <c r="N5" s="114">
        <v>1</v>
      </c>
      <c r="O5" s="180"/>
      <c r="P5" s="180"/>
      <c r="Q5" s="180"/>
      <c r="R5" s="180"/>
      <c r="S5" s="180"/>
      <c r="T5" s="181" t="s">
        <v>919</v>
      </c>
      <c r="U5" s="179" t="s">
        <v>920</v>
      </c>
      <c r="V5" s="179" t="s">
        <v>921</v>
      </c>
      <c r="W5" s="114" t="str">
        <f>CONCATENATE("0x",TEXT(DEC2HEX(HEX2DEC("FC")*256+(10)*2),"0000"))</f>
        <v>0xFC14</v>
      </c>
      <c r="X5" s="179"/>
      <c r="Y5" s="182" t="s">
        <v>913</v>
      </c>
      <c r="Z5" s="183" t="s">
        <v>49</v>
      </c>
      <c r="AA5" s="184"/>
      <c r="AB5" s="182"/>
      <c r="AC5" s="114">
        <v>8</v>
      </c>
      <c r="AD5" s="172" t="s">
        <v>887</v>
      </c>
      <c r="AE5" s="114">
        <v>0</v>
      </c>
      <c r="AF5" s="114">
        <v>16</v>
      </c>
      <c r="AG5" s="114"/>
      <c r="AH5" s="106" t="s">
        <v>915</v>
      </c>
      <c r="AI5" s="114"/>
      <c r="AJ5" s="106"/>
      <c r="AK5" s="114"/>
      <c r="AL5" s="106"/>
      <c r="AM5" s="114"/>
      <c r="AN5" s="106"/>
      <c r="AO5" s="114"/>
      <c r="AP5" s="106"/>
      <c r="AQ5" s="114"/>
      <c r="AR5" s="106"/>
      <c r="AS5" s="114"/>
      <c r="AT5" s="106"/>
      <c r="AU5" s="114"/>
      <c r="AV5" s="106"/>
      <c r="AW5" s="114"/>
    </row>
    <row r="6" spans="1:49" s="157" customFormat="1" ht="26.4" x14ac:dyDescent="0.3">
      <c r="A6" s="114">
        <v>3</v>
      </c>
      <c r="B6" s="179"/>
      <c r="C6" s="114">
        <v>6</v>
      </c>
      <c r="D6" s="114" t="s">
        <v>922</v>
      </c>
      <c r="E6" s="114" t="s">
        <v>918</v>
      </c>
      <c r="F6" s="114" t="s">
        <v>923</v>
      </c>
      <c r="G6" s="114" t="s">
        <v>868</v>
      </c>
      <c r="H6" s="114"/>
      <c r="I6" s="114"/>
      <c r="J6" s="114"/>
      <c r="K6" s="114" t="s">
        <v>872</v>
      </c>
      <c r="L6" s="114"/>
      <c r="M6" s="114"/>
      <c r="N6" s="114">
        <v>1</v>
      </c>
      <c r="O6" s="180"/>
      <c r="P6" s="180"/>
      <c r="Q6" s="180"/>
      <c r="R6" s="180"/>
      <c r="S6" s="179"/>
      <c r="T6" s="181" t="s">
        <v>924</v>
      </c>
      <c r="U6" s="179" t="s">
        <v>925</v>
      </c>
      <c r="V6" s="179"/>
      <c r="W6" s="114"/>
      <c r="X6" s="179"/>
      <c r="Y6" s="182" t="s">
        <v>913</v>
      </c>
      <c r="Z6" s="183" t="s">
        <v>926</v>
      </c>
      <c r="AA6" s="185"/>
      <c r="AB6" s="182"/>
      <c r="AC6" s="114"/>
      <c r="AD6" s="114"/>
      <c r="AE6" s="114">
        <v>0</v>
      </c>
      <c r="AF6" s="114">
        <v>32</v>
      </c>
      <c r="AG6" s="114"/>
      <c r="AH6" s="106"/>
      <c r="AI6" s="114"/>
      <c r="AJ6" s="106"/>
      <c r="AK6" s="114"/>
      <c r="AL6" s="106"/>
      <c r="AM6" s="114"/>
      <c r="AN6" s="106"/>
      <c r="AO6" s="114"/>
      <c r="AP6" s="106"/>
      <c r="AQ6" s="114"/>
      <c r="AR6" s="106"/>
      <c r="AS6" s="114"/>
      <c r="AT6" s="106"/>
      <c r="AU6" s="114"/>
      <c r="AV6" s="106"/>
      <c r="AW6" s="114"/>
    </row>
    <row r="7" spans="1:49" s="157" customFormat="1" ht="277.2" x14ac:dyDescent="0.3">
      <c r="A7" s="114">
        <v>4</v>
      </c>
      <c r="B7" s="179" t="s">
        <v>927</v>
      </c>
      <c r="C7" s="114">
        <v>6</v>
      </c>
      <c r="D7" s="114" t="s">
        <v>928</v>
      </c>
      <c r="E7" s="114" t="s">
        <v>929</v>
      </c>
      <c r="F7" s="114" t="s">
        <v>909</v>
      </c>
      <c r="G7" s="114"/>
      <c r="H7" s="114" t="s">
        <v>869</v>
      </c>
      <c r="I7" s="114" t="s">
        <v>870</v>
      </c>
      <c r="J7" s="114"/>
      <c r="K7" s="114" t="s">
        <v>872</v>
      </c>
      <c r="L7" s="114"/>
      <c r="M7" s="114"/>
      <c r="N7" s="114">
        <v>1</v>
      </c>
      <c r="O7" s="180">
        <v>0</v>
      </c>
      <c r="P7" s="180">
        <v>65535</v>
      </c>
      <c r="Q7" s="180">
        <v>260</v>
      </c>
      <c r="R7" s="180">
        <v>0.01</v>
      </c>
      <c r="S7" s="180" t="s">
        <v>930</v>
      </c>
      <c r="T7" s="181" t="s">
        <v>931</v>
      </c>
      <c r="U7" s="179" t="s">
        <v>932</v>
      </c>
      <c r="V7" s="179" t="s">
        <v>933</v>
      </c>
      <c r="W7" s="114" t="str">
        <f>CONCATENATE("0x",TEXT(DEC2HEX(HEX2DEC("FD")*256+(29)*2),"0000"))</f>
        <v>0xFD3A</v>
      </c>
      <c r="X7" s="179">
        <v>16</v>
      </c>
      <c r="Y7" s="182" t="s">
        <v>913</v>
      </c>
      <c r="Z7" s="183" t="s">
        <v>934</v>
      </c>
      <c r="AA7" s="184" t="s">
        <v>935</v>
      </c>
      <c r="AB7" s="182"/>
      <c r="AC7" s="114">
        <v>8</v>
      </c>
      <c r="AD7" s="172" t="s">
        <v>887</v>
      </c>
      <c r="AE7" s="114"/>
      <c r="AF7" s="114"/>
      <c r="AG7" s="114"/>
      <c r="AH7" s="106" t="s">
        <v>915</v>
      </c>
      <c r="AI7" s="114"/>
      <c r="AJ7" s="106"/>
      <c r="AK7" s="114"/>
      <c r="AL7" s="106"/>
      <c r="AM7" s="114"/>
      <c r="AN7" s="106"/>
      <c r="AO7" s="114"/>
      <c r="AP7" s="106"/>
      <c r="AQ7" s="114"/>
      <c r="AR7" s="106"/>
      <c r="AS7" s="114"/>
      <c r="AT7" s="106"/>
      <c r="AU7" s="114"/>
      <c r="AV7" s="106"/>
      <c r="AW7" s="114"/>
    </row>
    <row r="8" spans="1:49" s="157" customFormat="1" x14ac:dyDescent="0.3">
      <c r="A8" s="114">
        <v>5</v>
      </c>
      <c r="B8" s="179" t="s">
        <v>936</v>
      </c>
      <c r="C8" s="114">
        <v>6</v>
      </c>
      <c r="D8" s="114" t="s">
        <v>937</v>
      </c>
      <c r="E8" s="114" t="s">
        <v>929</v>
      </c>
      <c r="F8" s="114" t="s">
        <v>909</v>
      </c>
      <c r="G8" s="114"/>
      <c r="H8" s="114" t="s">
        <v>869</v>
      </c>
      <c r="I8" s="114"/>
      <c r="J8" s="114"/>
      <c r="K8" s="114" t="s">
        <v>872</v>
      </c>
      <c r="L8" s="114"/>
      <c r="M8" s="114"/>
      <c r="N8" s="114">
        <v>1</v>
      </c>
      <c r="O8" s="180">
        <v>0</v>
      </c>
      <c r="P8" s="180">
        <v>65535</v>
      </c>
      <c r="Q8" s="180">
        <v>220</v>
      </c>
      <c r="R8" s="180"/>
      <c r="S8" s="180" t="s">
        <v>938</v>
      </c>
      <c r="T8" s="181" t="s">
        <v>939</v>
      </c>
      <c r="U8" s="179" t="s">
        <v>53</v>
      </c>
      <c r="V8" s="179" t="s">
        <v>940</v>
      </c>
      <c r="W8" s="114" t="str">
        <f>CONCATENATE("0x",TEXT(DEC2HEX(HEX2DEC("FD")*256+(65)*2),"0000"))</f>
        <v>0xFD82</v>
      </c>
      <c r="X8" s="179">
        <v>16</v>
      </c>
      <c r="Y8" s="182" t="s">
        <v>913</v>
      </c>
      <c r="Z8" s="183" t="s">
        <v>941</v>
      </c>
      <c r="AA8" s="184"/>
      <c r="AB8" s="182"/>
      <c r="AC8" s="114">
        <v>1</v>
      </c>
      <c r="AD8" s="172" t="s">
        <v>887</v>
      </c>
      <c r="AE8" s="114"/>
      <c r="AF8" s="114"/>
      <c r="AG8" s="114"/>
      <c r="AH8" s="106"/>
      <c r="AI8" s="114"/>
      <c r="AJ8" s="106"/>
      <c r="AK8" s="114"/>
      <c r="AL8" s="106"/>
      <c r="AM8" s="114"/>
      <c r="AN8" s="106"/>
      <c r="AO8" s="114"/>
      <c r="AP8" s="106"/>
      <c r="AQ8" s="114"/>
      <c r="AR8" s="106"/>
      <c r="AS8" s="114"/>
      <c r="AT8" s="106"/>
      <c r="AU8" s="114"/>
      <c r="AV8" s="106"/>
      <c r="AW8" s="114"/>
    </row>
    <row r="9" spans="1:49" s="157" customFormat="1" ht="105.6" x14ac:dyDescent="0.3">
      <c r="A9" s="114">
        <v>6</v>
      </c>
      <c r="B9" s="179" t="s">
        <v>942</v>
      </c>
      <c r="C9" s="114">
        <v>6</v>
      </c>
      <c r="D9" s="114" t="s">
        <v>943</v>
      </c>
      <c r="E9" s="114" t="s">
        <v>944</v>
      </c>
      <c r="F9" s="114" t="s">
        <v>909</v>
      </c>
      <c r="G9" s="114"/>
      <c r="H9" s="114"/>
      <c r="I9" s="114"/>
      <c r="J9" s="114"/>
      <c r="K9" s="114" t="s">
        <v>872</v>
      </c>
      <c r="L9" s="114"/>
      <c r="M9" s="114"/>
      <c r="N9" s="114">
        <v>1</v>
      </c>
      <c r="O9" s="180">
        <v>0</v>
      </c>
      <c r="P9" s="180">
        <v>655350</v>
      </c>
      <c r="Q9" s="180">
        <v>40</v>
      </c>
      <c r="R9" s="180">
        <v>0.01</v>
      </c>
      <c r="S9" s="180" t="s">
        <v>945</v>
      </c>
      <c r="T9" s="181" t="s">
        <v>946</v>
      </c>
      <c r="U9" s="179" t="s">
        <v>54</v>
      </c>
      <c r="V9" s="179"/>
      <c r="W9" s="114" t="str">
        <f>CONCATENATE("0x",TEXT(DEC2HEX(HEX2DEC("FD")*256+(67)*2),"0000"))</f>
        <v>0xFD86</v>
      </c>
      <c r="X9" s="179">
        <v>16</v>
      </c>
      <c r="Y9" s="182" t="s">
        <v>913</v>
      </c>
      <c r="Z9" s="183" t="s">
        <v>947</v>
      </c>
      <c r="AA9" s="184"/>
      <c r="AB9" s="182"/>
      <c r="AC9" s="114">
        <v>1</v>
      </c>
      <c r="AD9" s="172" t="s">
        <v>887</v>
      </c>
      <c r="AE9" s="114"/>
      <c r="AF9" s="114"/>
      <c r="AG9" s="114"/>
      <c r="AH9" s="106"/>
      <c r="AI9" s="114"/>
      <c r="AJ9" s="106"/>
      <c r="AK9" s="114"/>
      <c r="AL9" s="106"/>
      <c r="AM9" s="114"/>
      <c r="AN9" s="106"/>
      <c r="AO9" s="114"/>
      <c r="AP9" s="106"/>
      <c r="AQ9" s="114"/>
      <c r="AR9" s="106"/>
      <c r="AS9" s="114"/>
      <c r="AT9" s="106"/>
      <c r="AU9" s="114"/>
      <c r="AV9" s="106"/>
      <c r="AW9" s="114"/>
    </row>
    <row r="10" spans="1:49" s="157" customFormat="1" ht="15.6" x14ac:dyDescent="0.3">
      <c r="A10" s="114">
        <v>7</v>
      </c>
      <c r="B10" s="179"/>
      <c r="C10" s="114">
        <v>6</v>
      </c>
      <c r="D10" s="114" t="s">
        <v>948</v>
      </c>
      <c r="E10" s="114" t="s">
        <v>929</v>
      </c>
      <c r="F10" s="114" t="s">
        <v>923</v>
      </c>
      <c r="G10" s="114" t="s">
        <v>868</v>
      </c>
      <c r="H10" s="114"/>
      <c r="I10" s="114"/>
      <c r="J10" s="114"/>
      <c r="K10" s="114" t="s">
        <v>872</v>
      </c>
      <c r="L10" s="114"/>
      <c r="M10" s="114"/>
      <c r="N10" s="114">
        <v>1</v>
      </c>
      <c r="O10" s="180">
        <v>0</v>
      </c>
      <c r="P10" s="180">
        <v>100</v>
      </c>
      <c r="Q10" s="180">
        <v>80</v>
      </c>
      <c r="R10" s="180"/>
      <c r="S10" s="107" t="s">
        <v>949</v>
      </c>
      <c r="T10" s="181" t="s">
        <v>950</v>
      </c>
      <c r="U10" s="179" t="s">
        <v>55</v>
      </c>
      <c r="V10" s="179"/>
      <c r="W10" s="114"/>
      <c r="X10" s="179"/>
      <c r="Y10" s="182" t="s">
        <v>913</v>
      </c>
      <c r="Z10" s="183" t="s">
        <v>951</v>
      </c>
      <c r="AA10" s="184"/>
      <c r="AB10" s="182"/>
      <c r="AC10" s="114"/>
      <c r="AD10" s="114"/>
      <c r="AE10" s="114"/>
      <c r="AF10" s="114"/>
      <c r="AG10" s="114"/>
      <c r="AH10" s="106"/>
      <c r="AI10" s="114"/>
      <c r="AJ10" s="106"/>
      <c r="AK10" s="114"/>
      <c r="AL10" s="106"/>
      <c r="AM10" s="114"/>
      <c r="AN10" s="106"/>
      <c r="AO10" s="114"/>
      <c r="AP10" s="106"/>
      <c r="AQ10" s="114"/>
      <c r="AR10" s="106"/>
      <c r="AS10" s="114"/>
      <c r="AT10" s="106"/>
      <c r="AU10" s="114"/>
      <c r="AV10" s="106"/>
      <c r="AW10" s="114"/>
    </row>
    <row r="11" spans="1:49" s="157" customFormat="1" ht="105.6" x14ac:dyDescent="0.3">
      <c r="A11" s="114">
        <v>8</v>
      </c>
      <c r="B11" s="179" t="s">
        <v>952</v>
      </c>
      <c r="C11" s="114">
        <v>6</v>
      </c>
      <c r="D11" s="114" t="s">
        <v>953</v>
      </c>
      <c r="E11" s="114" t="s">
        <v>929</v>
      </c>
      <c r="F11" s="114" t="s">
        <v>909</v>
      </c>
      <c r="G11" s="114"/>
      <c r="H11" s="114" t="s">
        <v>869</v>
      </c>
      <c r="I11" s="114" t="s">
        <v>870</v>
      </c>
      <c r="J11" s="114"/>
      <c r="K11" s="114" t="s">
        <v>872</v>
      </c>
      <c r="L11" s="114"/>
      <c r="M11" s="114"/>
      <c r="N11" s="114">
        <v>1</v>
      </c>
      <c r="O11" s="180">
        <v>0</v>
      </c>
      <c r="P11" s="127">
        <v>28500</v>
      </c>
      <c r="Q11" s="180">
        <v>8000</v>
      </c>
      <c r="R11" s="180"/>
      <c r="S11" s="180" t="s">
        <v>954</v>
      </c>
      <c r="T11" s="181" t="s">
        <v>955</v>
      </c>
      <c r="U11" s="179" t="s">
        <v>56</v>
      </c>
      <c r="V11" s="179" t="s">
        <v>956</v>
      </c>
      <c r="W11" s="114" t="str">
        <f>CONCATENATE("0x",TEXT(DEC2HEX(HEX2DEC("FD")*256+(32)*2),"0000"))</f>
        <v>0xFD40</v>
      </c>
      <c r="X11" s="180">
        <v>16</v>
      </c>
      <c r="Y11" s="182" t="s">
        <v>913</v>
      </c>
      <c r="Z11" s="183" t="s">
        <v>957</v>
      </c>
      <c r="AA11" s="184"/>
      <c r="AB11" s="182"/>
      <c r="AC11" s="114">
        <v>1</v>
      </c>
      <c r="AD11" s="172" t="s">
        <v>887</v>
      </c>
      <c r="AE11" s="114"/>
      <c r="AF11" s="114"/>
      <c r="AG11" s="114"/>
      <c r="AH11" s="106"/>
      <c r="AI11" s="114"/>
      <c r="AJ11" s="106"/>
      <c r="AK11" s="114"/>
      <c r="AL11" s="106"/>
      <c r="AM11" s="114"/>
      <c r="AN11" s="106"/>
      <c r="AO11" s="114"/>
      <c r="AP11" s="106"/>
      <c r="AQ11" s="114"/>
      <c r="AR11" s="106"/>
      <c r="AS11" s="114"/>
      <c r="AT11" s="106"/>
      <c r="AU11" s="114"/>
      <c r="AV11" s="106"/>
      <c r="AW11" s="114"/>
    </row>
    <row r="12" spans="1:49" s="157" customFormat="1" ht="39.6" x14ac:dyDescent="0.3">
      <c r="A12" s="114">
        <v>9</v>
      </c>
      <c r="B12" s="179" t="s">
        <v>958</v>
      </c>
      <c r="C12" s="114">
        <v>6</v>
      </c>
      <c r="D12" s="114" t="s">
        <v>959</v>
      </c>
      <c r="E12" s="114" t="s">
        <v>929</v>
      </c>
      <c r="F12" s="114" t="s">
        <v>909</v>
      </c>
      <c r="G12" s="114"/>
      <c r="H12" s="114" t="s">
        <v>869</v>
      </c>
      <c r="I12" s="114" t="s">
        <v>870</v>
      </c>
      <c r="J12" s="114"/>
      <c r="K12" s="114" t="s">
        <v>872</v>
      </c>
      <c r="L12" s="114"/>
      <c r="M12" s="114"/>
      <c r="N12" s="114">
        <v>1</v>
      </c>
      <c r="O12" s="180">
        <v>0</v>
      </c>
      <c r="P12" s="180">
        <v>500</v>
      </c>
      <c r="Q12" s="180">
        <v>10</v>
      </c>
      <c r="R12" s="180"/>
      <c r="S12" s="180" t="s">
        <v>960</v>
      </c>
      <c r="T12" s="181" t="s">
        <v>961</v>
      </c>
      <c r="U12" s="179" t="s">
        <v>57</v>
      </c>
      <c r="V12" s="179" t="s">
        <v>962</v>
      </c>
      <c r="W12" s="114" t="str">
        <f>CONCATENATE("0x",TEXT(DEC2HEX(HEX2DEC("FD")*256+(28)*2),"0000"))</f>
        <v>0xFD38</v>
      </c>
      <c r="X12" s="180">
        <v>16</v>
      </c>
      <c r="Y12" s="182" t="s">
        <v>913</v>
      </c>
      <c r="Z12" s="183" t="s">
        <v>963</v>
      </c>
      <c r="AA12" s="184"/>
      <c r="AB12" s="182"/>
      <c r="AC12" s="114">
        <v>8</v>
      </c>
      <c r="AD12" s="172" t="s">
        <v>887</v>
      </c>
      <c r="AE12" s="114"/>
      <c r="AF12" s="114"/>
      <c r="AG12" s="114"/>
      <c r="AH12" s="106" t="s">
        <v>915</v>
      </c>
      <c r="AI12" s="114"/>
      <c r="AJ12" s="106"/>
      <c r="AK12" s="114"/>
      <c r="AL12" s="106"/>
      <c r="AM12" s="114"/>
      <c r="AN12" s="106"/>
      <c r="AO12" s="114"/>
      <c r="AP12" s="106"/>
      <c r="AQ12" s="114"/>
      <c r="AR12" s="106"/>
      <c r="AS12" s="114"/>
      <c r="AT12" s="106"/>
      <c r="AU12" s="114"/>
      <c r="AV12" s="106"/>
      <c r="AW12" s="114"/>
    </row>
    <row r="13" spans="1:49" s="157" customFormat="1" ht="52.8" x14ac:dyDescent="0.3">
      <c r="A13" s="114">
        <v>10</v>
      </c>
      <c r="B13" s="179" t="s">
        <v>964</v>
      </c>
      <c r="C13" s="114">
        <v>6</v>
      </c>
      <c r="D13" s="114" t="s">
        <v>965</v>
      </c>
      <c r="E13" s="114" t="s">
        <v>966</v>
      </c>
      <c r="F13" s="114" t="s">
        <v>909</v>
      </c>
      <c r="G13" s="114"/>
      <c r="H13" s="114" t="s">
        <v>869</v>
      </c>
      <c r="I13" s="114"/>
      <c r="J13" s="114"/>
      <c r="K13" s="114" t="s">
        <v>872</v>
      </c>
      <c r="L13" s="114"/>
      <c r="M13" s="114"/>
      <c r="N13" s="114">
        <v>1</v>
      </c>
      <c r="O13" s="180">
        <v>0</v>
      </c>
      <c r="P13" s="180">
        <v>65535</v>
      </c>
      <c r="Q13" s="180">
        <v>0</v>
      </c>
      <c r="R13" s="180">
        <v>1E-3</v>
      </c>
      <c r="S13" s="107" t="s">
        <v>967</v>
      </c>
      <c r="T13" s="181" t="s">
        <v>968</v>
      </c>
      <c r="U13" s="179" t="s">
        <v>58</v>
      </c>
      <c r="V13" s="179" t="s">
        <v>969</v>
      </c>
      <c r="W13" s="114" t="str">
        <f>CONCATENATE("0x",TEXT(DEC2HEX(HEX2DEC("FD")*256+(33)*2),"0000"))</f>
        <v>0xFD42</v>
      </c>
      <c r="X13" s="179">
        <v>16</v>
      </c>
      <c r="Y13" s="182" t="s">
        <v>913</v>
      </c>
      <c r="Z13" s="183" t="s">
        <v>970</v>
      </c>
      <c r="AA13" s="184" t="s">
        <v>971</v>
      </c>
      <c r="AB13" s="182"/>
      <c r="AC13" s="114">
        <v>1</v>
      </c>
      <c r="AD13" s="172" t="s">
        <v>887</v>
      </c>
      <c r="AE13" s="114"/>
      <c r="AF13" s="114"/>
      <c r="AG13" s="114"/>
      <c r="AH13" s="106"/>
      <c r="AI13" s="114"/>
      <c r="AJ13" s="106"/>
      <c r="AK13" s="114"/>
      <c r="AL13" s="106"/>
      <c r="AM13" s="114"/>
      <c r="AN13" s="106"/>
      <c r="AO13" s="114"/>
      <c r="AP13" s="106"/>
      <c r="AQ13" s="114"/>
      <c r="AR13" s="106"/>
      <c r="AS13" s="114"/>
      <c r="AT13" s="106"/>
      <c r="AU13" s="114"/>
      <c r="AV13" s="106"/>
      <c r="AW13" s="114"/>
    </row>
    <row r="14" spans="1:49" s="157" customFormat="1" x14ac:dyDescent="0.3">
      <c r="A14" s="114">
        <v>11</v>
      </c>
      <c r="B14" s="179" t="s">
        <v>972</v>
      </c>
      <c r="C14" s="114">
        <v>6</v>
      </c>
      <c r="D14" s="114" t="s">
        <v>973</v>
      </c>
      <c r="E14" s="114" t="s">
        <v>966</v>
      </c>
      <c r="F14" s="114" t="s">
        <v>909</v>
      </c>
      <c r="G14" s="114"/>
      <c r="H14" s="114" t="s">
        <v>869</v>
      </c>
      <c r="I14" s="114"/>
      <c r="J14" s="114"/>
      <c r="K14" s="114" t="s">
        <v>872</v>
      </c>
      <c r="L14" s="114"/>
      <c r="M14" s="114"/>
      <c r="N14" s="114">
        <v>1</v>
      </c>
      <c r="O14" s="180">
        <v>0</v>
      </c>
      <c r="P14" s="180">
        <v>2147483647</v>
      </c>
      <c r="Q14" s="180">
        <v>0</v>
      </c>
      <c r="R14" s="180">
        <v>1E-3</v>
      </c>
      <c r="S14" s="107" t="s">
        <v>974</v>
      </c>
      <c r="T14" s="181" t="s">
        <v>975</v>
      </c>
      <c r="U14" s="179" t="s">
        <v>59</v>
      </c>
      <c r="V14" s="179" t="s">
        <v>976</v>
      </c>
      <c r="W14" s="114" t="str">
        <f>CONCATENATE("0x",TEXT(DEC2HEX(HEX2DEC("FD")*256+(34)*2),"0000"))</f>
        <v>0xFD44</v>
      </c>
      <c r="X14" s="180">
        <v>32</v>
      </c>
      <c r="Y14" s="182" t="s">
        <v>913</v>
      </c>
      <c r="Z14" s="183" t="s">
        <v>977</v>
      </c>
      <c r="AA14" s="184"/>
      <c r="AB14" s="182"/>
      <c r="AC14" s="114">
        <v>1</v>
      </c>
      <c r="AD14" s="172" t="s">
        <v>887</v>
      </c>
      <c r="AE14" s="114"/>
      <c r="AF14" s="114"/>
      <c r="AG14" s="114"/>
      <c r="AH14" s="106"/>
      <c r="AI14" s="114"/>
      <c r="AJ14" s="106"/>
      <c r="AK14" s="114"/>
      <c r="AL14" s="106"/>
      <c r="AM14" s="114"/>
      <c r="AN14" s="106"/>
      <c r="AO14" s="114"/>
      <c r="AP14" s="106"/>
      <c r="AQ14" s="114"/>
      <c r="AR14" s="106"/>
      <c r="AS14" s="114"/>
      <c r="AT14" s="106"/>
      <c r="AU14" s="114"/>
      <c r="AV14" s="106"/>
      <c r="AW14" s="114"/>
    </row>
    <row r="15" spans="1:49" s="157" customFormat="1" ht="39.6" x14ac:dyDescent="0.3">
      <c r="A15" s="114">
        <v>12</v>
      </c>
      <c r="B15" s="179" t="s">
        <v>978</v>
      </c>
      <c r="C15" s="114">
        <v>6</v>
      </c>
      <c r="D15" s="114" t="s">
        <v>979</v>
      </c>
      <c r="E15" s="114" t="s">
        <v>980</v>
      </c>
      <c r="F15" s="114" t="s">
        <v>909</v>
      </c>
      <c r="G15" s="114"/>
      <c r="H15" s="114" t="s">
        <v>869</v>
      </c>
      <c r="I15" s="114" t="s">
        <v>870</v>
      </c>
      <c r="J15" s="114"/>
      <c r="K15" s="114" t="s">
        <v>872</v>
      </c>
      <c r="L15" s="114"/>
      <c r="M15" s="114"/>
      <c r="N15" s="114">
        <v>1</v>
      </c>
      <c r="O15" s="180">
        <v>0</v>
      </c>
      <c r="P15" s="127">
        <v>28500</v>
      </c>
      <c r="Q15" s="180">
        <v>8000</v>
      </c>
      <c r="R15" s="180"/>
      <c r="S15" s="180" t="s">
        <v>954</v>
      </c>
      <c r="T15" s="181" t="s">
        <v>981</v>
      </c>
      <c r="U15" s="179" t="s">
        <v>60</v>
      </c>
      <c r="V15" s="179" t="s">
        <v>982</v>
      </c>
      <c r="W15" s="114" t="str">
        <f>CONCATENATE("0x",TEXT(DEC2HEX(HEX2DEC("FD")*256+(31)*2),"0000"))</f>
        <v>0xFD3E</v>
      </c>
      <c r="X15" s="179">
        <v>16</v>
      </c>
      <c r="Y15" s="182" t="s">
        <v>913</v>
      </c>
      <c r="Z15" s="183" t="s">
        <v>983</v>
      </c>
      <c r="AA15" s="184"/>
      <c r="AB15" s="182"/>
      <c r="AC15" s="114">
        <v>1</v>
      </c>
      <c r="AD15" s="172" t="s">
        <v>887</v>
      </c>
      <c r="AE15" s="114"/>
      <c r="AF15" s="114"/>
      <c r="AG15" s="114"/>
      <c r="AH15" s="106"/>
      <c r="AI15" s="114"/>
      <c r="AJ15" s="106"/>
      <c r="AK15" s="114"/>
      <c r="AL15" s="106"/>
      <c r="AM15" s="114"/>
      <c r="AN15" s="106"/>
      <c r="AO15" s="114"/>
      <c r="AP15" s="106"/>
      <c r="AQ15" s="114"/>
      <c r="AR15" s="106"/>
      <c r="AS15" s="114"/>
      <c r="AT15" s="106"/>
      <c r="AU15" s="114"/>
      <c r="AV15" s="106"/>
      <c r="AW15" s="114"/>
    </row>
    <row r="16" spans="1:49" s="157" customFormat="1" x14ac:dyDescent="0.3">
      <c r="A16" s="114">
        <v>13</v>
      </c>
      <c r="B16" s="179" t="s">
        <v>984</v>
      </c>
      <c r="C16" s="114">
        <v>6</v>
      </c>
      <c r="D16" s="114" t="s">
        <v>985</v>
      </c>
      <c r="E16" s="114" t="s">
        <v>986</v>
      </c>
      <c r="F16" s="114" t="s">
        <v>923</v>
      </c>
      <c r="G16" s="114" t="s">
        <v>868</v>
      </c>
      <c r="H16" s="114"/>
      <c r="I16" s="114"/>
      <c r="J16" s="114" t="s">
        <v>871</v>
      </c>
      <c r="K16" s="114" t="s">
        <v>872</v>
      </c>
      <c r="L16" s="114"/>
      <c r="M16" s="114"/>
      <c r="N16" s="114">
        <v>1</v>
      </c>
      <c r="O16" s="180"/>
      <c r="P16" s="180"/>
      <c r="Q16" s="180"/>
      <c r="R16" s="180"/>
      <c r="S16" s="180"/>
      <c r="T16" s="181" t="s">
        <v>987</v>
      </c>
      <c r="U16" s="179" t="s">
        <v>988</v>
      </c>
      <c r="V16" s="179" t="s">
        <v>989</v>
      </c>
      <c r="W16" s="114" t="str">
        <f>CONCATENATE("0x",TEXT(DEC2HEX(HEX2DEC("FC")*256+(40)*2),"0000"))</f>
        <v>0xFC50</v>
      </c>
      <c r="X16" s="179"/>
      <c r="Y16" s="182" t="s">
        <v>913</v>
      </c>
      <c r="Z16" s="183" t="s">
        <v>990</v>
      </c>
      <c r="AA16" s="184"/>
      <c r="AB16" s="182"/>
      <c r="AC16" s="114"/>
      <c r="AD16" s="114"/>
      <c r="AE16" s="114">
        <v>0</v>
      </c>
      <c r="AF16" s="114">
        <v>10</v>
      </c>
      <c r="AG16" s="114"/>
      <c r="AH16" s="106"/>
      <c r="AI16" s="114"/>
      <c r="AJ16" s="106"/>
      <c r="AK16" s="114"/>
      <c r="AL16" s="106"/>
      <c r="AM16" s="114"/>
      <c r="AN16" s="106"/>
      <c r="AO16" s="114"/>
      <c r="AP16" s="106"/>
      <c r="AQ16" s="114"/>
      <c r="AR16" s="106"/>
      <c r="AS16" s="114"/>
      <c r="AT16" s="106"/>
      <c r="AU16" s="114"/>
      <c r="AV16" s="106"/>
      <c r="AW16" s="114"/>
    </row>
    <row r="17" spans="1:55" ht="39.6" x14ac:dyDescent="0.3">
      <c r="A17" s="114">
        <v>14</v>
      </c>
      <c r="B17" s="179"/>
      <c r="C17" s="114">
        <v>0</v>
      </c>
      <c r="D17" s="114" t="s">
        <v>991</v>
      </c>
      <c r="E17" s="114" t="s">
        <v>908</v>
      </c>
      <c r="F17" s="114" t="s">
        <v>923</v>
      </c>
      <c r="G17" s="114" t="s">
        <v>868</v>
      </c>
      <c r="H17" s="114"/>
      <c r="I17" s="114"/>
      <c r="J17" s="114"/>
      <c r="K17" s="114" t="s">
        <v>872</v>
      </c>
      <c r="L17" s="114"/>
      <c r="M17" s="114"/>
      <c r="N17" s="114">
        <v>2</v>
      </c>
      <c r="O17" s="180">
        <v>0</v>
      </c>
      <c r="P17" s="180">
        <v>1</v>
      </c>
      <c r="Q17" s="180">
        <v>0</v>
      </c>
      <c r="R17" s="180"/>
      <c r="S17" s="179"/>
      <c r="T17" s="181" t="s">
        <v>866</v>
      </c>
      <c r="U17" s="179" t="s">
        <v>39</v>
      </c>
      <c r="V17" s="179"/>
      <c r="W17" s="114"/>
      <c r="X17" s="179"/>
      <c r="Y17" s="186" t="s">
        <v>913</v>
      </c>
      <c r="Z17" s="183" t="s">
        <v>992</v>
      </c>
      <c r="AA17" s="184"/>
      <c r="AB17" s="182"/>
      <c r="AC17" s="114"/>
      <c r="AD17" s="114"/>
      <c r="AE17" s="114"/>
      <c r="AF17" s="114"/>
      <c r="AG17" s="114"/>
      <c r="AH17" s="106"/>
      <c r="AI17" s="114"/>
      <c r="AJ17" s="106"/>
      <c r="AK17" s="114"/>
      <c r="AL17" s="106"/>
      <c r="AM17" s="114"/>
      <c r="AN17" s="106"/>
      <c r="AO17" s="114"/>
      <c r="AP17" s="106"/>
      <c r="AQ17" s="114"/>
      <c r="AR17" s="106"/>
      <c r="AS17" s="114"/>
      <c r="AT17" s="106"/>
      <c r="AU17" s="114"/>
      <c r="AV17" s="106"/>
      <c r="AW17" s="114"/>
      <c r="AX17" s="157"/>
      <c r="AY17" s="157"/>
      <c r="AZ17" s="157"/>
      <c r="BA17" s="157"/>
      <c r="BB17" s="157"/>
      <c r="BC17" s="157"/>
    </row>
    <row r="18" spans="1:55" ht="39.6" x14ac:dyDescent="0.3">
      <c r="A18" s="114">
        <v>15</v>
      </c>
      <c r="B18" s="179"/>
      <c r="C18" s="114">
        <v>0</v>
      </c>
      <c r="D18" s="114" t="s">
        <v>991</v>
      </c>
      <c r="E18" s="114" t="s">
        <v>908</v>
      </c>
      <c r="F18" s="114" t="s">
        <v>923</v>
      </c>
      <c r="G18" s="114" t="s">
        <v>868</v>
      </c>
      <c r="H18" s="114"/>
      <c r="I18" s="114"/>
      <c r="J18" s="114"/>
      <c r="K18" s="114" t="s">
        <v>872</v>
      </c>
      <c r="L18" s="114"/>
      <c r="M18" s="114"/>
      <c r="N18" s="114">
        <v>2</v>
      </c>
      <c r="O18" s="180">
        <v>0</v>
      </c>
      <c r="P18" s="180">
        <v>0</v>
      </c>
      <c r="Q18" s="180">
        <v>0</v>
      </c>
      <c r="R18" s="180"/>
      <c r="S18" s="179"/>
      <c r="T18" s="181" t="s">
        <v>993</v>
      </c>
      <c r="U18" s="182" t="s">
        <v>994</v>
      </c>
      <c r="V18" s="179"/>
      <c r="W18" s="114"/>
      <c r="X18" s="179"/>
      <c r="Y18" s="186" t="s">
        <v>913</v>
      </c>
      <c r="Z18" s="183" t="s">
        <v>995</v>
      </c>
      <c r="AA18" s="184"/>
      <c r="AB18" s="182"/>
      <c r="AC18" s="114"/>
      <c r="AD18" s="114"/>
      <c r="AE18" s="114"/>
      <c r="AF18" s="114"/>
      <c r="AG18" s="114"/>
      <c r="AH18" s="106"/>
      <c r="AI18" s="114"/>
      <c r="AJ18" s="106"/>
      <c r="AK18" s="114"/>
      <c r="AL18" s="106"/>
      <c r="AM18" s="114"/>
      <c r="AN18" s="106"/>
      <c r="AO18" s="114"/>
      <c r="AP18" s="106"/>
      <c r="AQ18" s="114"/>
      <c r="AR18" s="106"/>
      <c r="AS18" s="114"/>
      <c r="AT18" s="106"/>
      <c r="AU18" s="114"/>
      <c r="AV18" s="106"/>
      <c r="AW18" s="114"/>
      <c r="AX18" s="157"/>
      <c r="AY18" s="157"/>
      <c r="AZ18" s="157"/>
      <c r="BA18" s="157"/>
      <c r="BB18" s="157"/>
      <c r="BC18" s="157"/>
    </row>
    <row r="19" spans="1:55" ht="52.8" x14ac:dyDescent="0.3">
      <c r="A19" s="114">
        <v>16</v>
      </c>
      <c r="B19" s="179"/>
      <c r="C19" s="114">
        <v>0</v>
      </c>
      <c r="D19" s="114" t="s">
        <v>991</v>
      </c>
      <c r="E19" s="114" t="s">
        <v>908</v>
      </c>
      <c r="F19" s="114" t="s">
        <v>923</v>
      </c>
      <c r="G19" s="114" t="s">
        <v>868</v>
      </c>
      <c r="H19" s="114"/>
      <c r="I19" s="114"/>
      <c r="J19" s="114"/>
      <c r="K19" s="114" t="s">
        <v>872</v>
      </c>
      <c r="L19" s="114"/>
      <c r="M19" s="114"/>
      <c r="N19" s="114">
        <v>2</v>
      </c>
      <c r="O19" s="180">
        <v>0</v>
      </c>
      <c r="P19" s="180">
        <v>6</v>
      </c>
      <c r="Q19" s="180">
        <v>1</v>
      </c>
      <c r="R19" s="180"/>
      <c r="S19" s="179"/>
      <c r="T19" s="181" t="s">
        <v>996</v>
      </c>
      <c r="U19" s="182" t="s">
        <v>997</v>
      </c>
      <c r="V19" s="179"/>
      <c r="W19" s="114"/>
      <c r="X19" s="179"/>
      <c r="Y19" s="186" t="s">
        <v>913</v>
      </c>
      <c r="Z19" s="183" t="s">
        <v>998</v>
      </c>
      <c r="AA19" s="184"/>
      <c r="AB19" s="182"/>
      <c r="AC19" s="114"/>
      <c r="AD19" s="114"/>
      <c r="AE19" s="114"/>
      <c r="AF19" s="114"/>
      <c r="AG19" s="114"/>
      <c r="AH19" s="106"/>
      <c r="AI19" s="114"/>
      <c r="AJ19" s="106"/>
      <c r="AK19" s="114"/>
      <c r="AL19" s="106"/>
      <c r="AM19" s="114"/>
      <c r="AN19" s="106"/>
      <c r="AO19" s="114"/>
      <c r="AP19" s="106"/>
      <c r="AQ19" s="114"/>
      <c r="AR19" s="106"/>
      <c r="AS19" s="114"/>
      <c r="AT19" s="106"/>
      <c r="AU19" s="114"/>
      <c r="AV19" s="106"/>
      <c r="AW19" s="114"/>
      <c r="AX19" s="157"/>
      <c r="AY19" s="157"/>
      <c r="AZ19" s="157"/>
      <c r="BA19" s="157"/>
      <c r="BB19" s="157"/>
      <c r="BC19" s="157"/>
    </row>
    <row r="20" spans="1:55" ht="66" x14ac:dyDescent="0.3">
      <c r="A20" s="114">
        <v>17</v>
      </c>
      <c r="B20" s="179"/>
      <c r="C20" s="114">
        <v>0</v>
      </c>
      <c r="D20" s="114" t="s">
        <v>991</v>
      </c>
      <c r="E20" s="114" t="s">
        <v>908</v>
      </c>
      <c r="F20" s="114" t="s">
        <v>923</v>
      </c>
      <c r="G20" s="114" t="s">
        <v>868</v>
      </c>
      <c r="H20" s="114"/>
      <c r="I20" s="114"/>
      <c r="J20" s="114"/>
      <c r="K20" s="114" t="s">
        <v>872</v>
      </c>
      <c r="L20" s="114"/>
      <c r="M20" s="114"/>
      <c r="N20" s="114">
        <v>2</v>
      </c>
      <c r="O20" s="180">
        <v>0</v>
      </c>
      <c r="P20" s="180">
        <v>6</v>
      </c>
      <c r="Q20" s="180">
        <v>1</v>
      </c>
      <c r="R20" s="180"/>
      <c r="S20" s="179"/>
      <c r="T20" s="181" t="s">
        <v>999</v>
      </c>
      <c r="U20" s="182" t="s">
        <v>1000</v>
      </c>
      <c r="V20" s="179"/>
      <c r="W20" s="114"/>
      <c r="X20" s="179"/>
      <c r="Y20" s="186" t="s">
        <v>913</v>
      </c>
      <c r="Z20" s="183" t="s">
        <v>1001</v>
      </c>
      <c r="AA20" s="184"/>
      <c r="AB20" s="182"/>
      <c r="AC20" s="114"/>
      <c r="AD20" s="114"/>
      <c r="AE20" s="114"/>
      <c r="AF20" s="114"/>
      <c r="AG20" s="114"/>
      <c r="AH20" s="106"/>
      <c r="AI20" s="114"/>
      <c r="AJ20" s="106"/>
      <c r="AK20" s="114"/>
      <c r="AL20" s="106"/>
      <c r="AM20" s="114"/>
      <c r="AN20" s="106"/>
      <c r="AO20" s="114"/>
      <c r="AP20" s="106"/>
      <c r="AQ20" s="114"/>
      <c r="AR20" s="106"/>
      <c r="AS20" s="114"/>
      <c r="AT20" s="106"/>
      <c r="AU20" s="114"/>
      <c r="AV20" s="106"/>
      <c r="AW20" s="114"/>
      <c r="AX20" s="157"/>
      <c r="AY20" s="157"/>
      <c r="AZ20" s="157"/>
      <c r="BA20" s="157"/>
      <c r="BB20" s="157"/>
      <c r="BC20" s="157"/>
    </row>
    <row r="21" spans="1:55" ht="79.2" x14ac:dyDescent="0.3">
      <c r="A21" s="114">
        <v>18</v>
      </c>
      <c r="B21" s="179"/>
      <c r="C21" s="114">
        <v>0</v>
      </c>
      <c r="D21" s="114" t="s">
        <v>991</v>
      </c>
      <c r="E21" s="114" t="s">
        <v>908</v>
      </c>
      <c r="F21" s="114" t="s">
        <v>923</v>
      </c>
      <c r="G21" s="114" t="s">
        <v>868</v>
      </c>
      <c r="H21" s="114"/>
      <c r="I21" s="114"/>
      <c r="J21" s="114"/>
      <c r="K21" s="114" t="s">
        <v>872</v>
      </c>
      <c r="L21" s="114"/>
      <c r="M21" s="114"/>
      <c r="N21" s="114">
        <v>2</v>
      </c>
      <c r="O21" s="180">
        <v>0</v>
      </c>
      <c r="P21" s="180">
        <v>1</v>
      </c>
      <c r="Q21" s="180">
        <v>1</v>
      </c>
      <c r="R21" s="180"/>
      <c r="S21" s="179"/>
      <c r="T21" s="181" t="s">
        <v>1002</v>
      </c>
      <c r="U21" s="182" t="s">
        <v>1003</v>
      </c>
      <c r="V21" s="179"/>
      <c r="W21" s="114"/>
      <c r="X21" s="179"/>
      <c r="Y21" s="186" t="s">
        <v>913</v>
      </c>
      <c r="Z21" s="183" t="s">
        <v>1004</v>
      </c>
      <c r="AA21" s="184"/>
      <c r="AB21" s="182"/>
      <c r="AC21" s="114"/>
      <c r="AD21" s="114"/>
      <c r="AE21" s="114"/>
      <c r="AF21" s="114"/>
      <c r="AG21" s="114"/>
      <c r="AH21" s="106"/>
      <c r="AI21" s="114"/>
      <c r="AJ21" s="106"/>
      <c r="AK21" s="114"/>
      <c r="AL21" s="106"/>
      <c r="AM21" s="114"/>
      <c r="AN21" s="106"/>
      <c r="AO21" s="114"/>
      <c r="AP21" s="106"/>
      <c r="AQ21" s="114"/>
      <c r="AR21" s="106"/>
      <c r="AS21" s="114"/>
      <c r="AT21" s="106"/>
      <c r="AU21" s="114"/>
      <c r="AV21" s="106"/>
      <c r="AW21" s="114"/>
      <c r="AX21" s="157"/>
      <c r="AY21" s="157"/>
      <c r="AZ21" s="157"/>
      <c r="BA21" s="157"/>
      <c r="BB21" s="157"/>
      <c r="BC21" s="157"/>
    </row>
    <row r="22" spans="1:55" ht="26.4" x14ac:dyDescent="0.3">
      <c r="A22" s="114">
        <v>19</v>
      </c>
      <c r="B22" s="179"/>
      <c r="C22" s="114">
        <v>0</v>
      </c>
      <c r="D22" s="114" t="s">
        <v>991</v>
      </c>
      <c r="E22" s="114" t="s">
        <v>908</v>
      </c>
      <c r="F22" s="114" t="s">
        <v>923</v>
      </c>
      <c r="G22" s="114" t="s">
        <v>868</v>
      </c>
      <c r="H22" s="114"/>
      <c r="I22" s="114"/>
      <c r="J22" s="114"/>
      <c r="K22" s="114" t="s">
        <v>872</v>
      </c>
      <c r="L22" s="114"/>
      <c r="M22" s="114"/>
      <c r="N22" s="114">
        <v>2</v>
      </c>
      <c r="O22" s="180">
        <v>0</v>
      </c>
      <c r="P22" s="180">
        <v>1</v>
      </c>
      <c r="Q22" s="180">
        <v>0</v>
      </c>
      <c r="R22" s="180"/>
      <c r="S22" s="179"/>
      <c r="T22" s="181" t="s">
        <v>1005</v>
      </c>
      <c r="U22" s="182" t="s">
        <v>1006</v>
      </c>
      <c r="V22" s="179"/>
      <c r="W22" s="114"/>
      <c r="X22" s="179"/>
      <c r="Y22" s="186" t="s">
        <v>913</v>
      </c>
      <c r="Z22" s="183" t="s">
        <v>1007</v>
      </c>
      <c r="AA22" s="184"/>
      <c r="AB22" s="182"/>
      <c r="AC22" s="114"/>
      <c r="AD22" s="114"/>
      <c r="AE22" s="114"/>
      <c r="AF22" s="114"/>
      <c r="AG22" s="114"/>
      <c r="AH22" s="106"/>
      <c r="AI22" s="114"/>
      <c r="AJ22" s="106"/>
      <c r="AK22" s="114"/>
      <c r="AL22" s="106"/>
      <c r="AM22" s="114"/>
      <c r="AN22" s="106"/>
      <c r="AO22" s="114"/>
      <c r="AP22" s="106"/>
      <c r="AQ22" s="114"/>
      <c r="AR22" s="106"/>
      <c r="AS22" s="114"/>
      <c r="AT22" s="106"/>
      <c r="AU22" s="114"/>
      <c r="AV22" s="106"/>
      <c r="AW22" s="114"/>
      <c r="AX22" s="157"/>
      <c r="AY22" s="157"/>
      <c r="AZ22" s="157"/>
      <c r="BA22" s="157"/>
      <c r="BB22" s="157"/>
      <c r="BC22" s="157"/>
    </row>
    <row r="23" spans="1:55" ht="13.8" x14ac:dyDescent="0.3">
      <c r="A23" s="114">
        <v>20</v>
      </c>
      <c r="B23" s="179"/>
      <c r="C23" s="114">
        <v>0</v>
      </c>
      <c r="D23" s="114" t="s">
        <v>991</v>
      </c>
      <c r="E23" s="114" t="s">
        <v>1008</v>
      </c>
      <c r="F23" s="114" t="s">
        <v>909</v>
      </c>
      <c r="G23" s="114"/>
      <c r="H23" s="114"/>
      <c r="I23" s="114"/>
      <c r="J23" s="114"/>
      <c r="K23" s="114" t="s">
        <v>872</v>
      </c>
      <c r="L23" s="114" t="s">
        <v>1009</v>
      </c>
      <c r="M23" s="114"/>
      <c r="N23" s="114">
        <v>2</v>
      </c>
      <c r="O23" s="180">
        <v>0</v>
      </c>
      <c r="P23" s="180">
        <v>6</v>
      </c>
      <c r="Q23" s="180">
        <v>0</v>
      </c>
      <c r="R23" s="180"/>
      <c r="S23" s="179"/>
      <c r="T23" s="181" t="s">
        <v>1010</v>
      </c>
      <c r="U23" s="182" t="s">
        <v>1011</v>
      </c>
      <c r="V23" s="179"/>
      <c r="W23" s="114"/>
      <c r="X23" s="179"/>
      <c r="Y23" s="186" t="s">
        <v>1012</v>
      </c>
      <c r="Z23" s="183"/>
      <c r="AA23" s="184"/>
      <c r="AB23" s="182"/>
      <c r="AC23" s="114"/>
      <c r="AD23" s="114"/>
      <c r="AE23" s="114"/>
      <c r="AF23" s="114"/>
      <c r="AG23" s="114"/>
      <c r="AH23" s="106"/>
      <c r="AI23" s="114"/>
      <c r="AJ23" s="106"/>
      <c r="AK23" s="114"/>
      <c r="AL23" s="106"/>
      <c r="AM23" s="114"/>
      <c r="AN23" s="106"/>
      <c r="AO23" s="114"/>
      <c r="AP23" s="106"/>
      <c r="AQ23" s="114"/>
      <c r="AR23" s="106"/>
      <c r="AS23" s="114"/>
      <c r="AT23" s="106"/>
      <c r="AU23" s="114"/>
      <c r="AV23" s="106"/>
      <c r="AW23" s="114"/>
      <c r="AX23" s="157"/>
      <c r="AY23" s="157"/>
      <c r="AZ23" s="157"/>
      <c r="BA23" s="157"/>
      <c r="BB23" s="157"/>
      <c r="BC23" s="157"/>
    </row>
    <row r="24" spans="1:55" ht="13.8" x14ac:dyDescent="0.3">
      <c r="A24" s="114">
        <v>21</v>
      </c>
      <c r="B24" s="179"/>
      <c r="C24" s="114">
        <v>0</v>
      </c>
      <c r="D24" s="114" t="s">
        <v>991</v>
      </c>
      <c r="E24" s="114" t="s">
        <v>1013</v>
      </c>
      <c r="F24" s="114" t="s">
        <v>909</v>
      </c>
      <c r="G24" s="114"/>
      <c r="H24" s="114"/>
      <c r="I24" s="114"/>
      <c r="J24" s="114"/>
      <c r="K24" s="114" t="s">
        <v>872</v>
      </c>
      <c r="L24" s="114" t="s">
        <v>1009</v>
      </c>
      <c r="M24" s="114"/>
      <c r="N24" s="114">
        <v>2</v>
      </c>
      <c r="O24" s="180">
        <v>0</v>
      </c>
      <c r="P24" s="180">
        <v>1</v>
      </c>
      <c r="Q24" s="180">
        <v>0</v>
      </c>
      <c r="R24" s="180"/>
      <c r="S24" s="179"/>
      <c r="T24" s="181" t="s">
        <v>1014</v>
      </c>
      <c r="U24" s="182" t="s">
        <v>1015</v>
      </c>
      <c r="V24" s="179"/>
      <c r="W24" s="114"/>
      <c r="X24" s="179"/>
      <c r="Y24" s="186" t="s">
        <v>1012</v>
      </c>
      <c r="Z24" s="183"/>
      <c r="AA24" s="184"/>
      <c r="AB24" s="182"/>
      <c r="AC24" s="114"/>
      <c r="AD24" s="114"/>
      <c r="AE24" s="114"/>
      <c r="AF24" s="114"/>
      <c r="AG24" s="114"/>
      <c r="AH24" s="106"/>
      <c r="AI24" s="114"/>
      <c r="AJ24" s="106"/>
      <c r="AK24" s="114"/>
      <c r="AL24" s="106"/>
      <c r="AM24" s="114"/>
      <c r="AN24" s="106"/>
      <c r="AO24" s="114"/>
      <c r="AP24" s="106"/>
      <c r="AQ24" s="114"/>
      <c r="AR24" s="106"/>
      <c r="AS24" s="114"/>
      <c r="AT24" s="106"/>
      <c r="AU24" s="114"/>
      <c r="AV24" s="106"/>
      <c r="AW24" s="114"/>
      <c r="AX24" s="157"/>
      <c r="AY24" s="157"/>
      <c r="AZ24" s="157"/>
      <c r="BA24" s="157"/>
      <c r="BB24" s="157"/>
      <c r="BC24" s="157"/>
    </row>
    <row r="25" spans="1:55" ht="13.8" x14ac:dyDescent="0.3">
      <c r="A25" s="114">
        <v>22</v>
      </c>
      <c r="B25" s="179"/>
      <c r="C25" s="114">
        <v>0</v>
      </c>
      <c r="D25" s="114" t="s">
        <v>991</v>
      </c>
      <c r="E25" s="114" t="s">
        <v>1013</v>
      </c>
      <c r="F25" s="114" t="s">
        <v>909</v>
      </c>
      <c r="G25" s="114"/>
      <c r="H25" s="114"/>
      <c r="I25" s="114"/>
      <c r="J25" s="114"/>
      <c r="K25" s="114" t="s">
        <v>872</v>
      </c>
      <c r="L25" s="114" t="s">
        <v>1009</v>
      </c>
      <c r="M25" s="114"/>
      <c r="N25" s="114">
        <v>2</v>
      </c>
      <c r="O25" s="180">
        <v>0</v>
      </c>
      <c r="P25" s="180">
        <v>1</v>
      </c>
      <c r="Q25" s="180">
        <v>0</v>
      </c>
      <c r="R25" s="180"/>
      <c r="S25" s="179"/>
      <c r="T25" s="181" t="s">
        <v>1016</v>
      </c>
      <c r="U25" s="182" t="s">
        <v>1017</v>
      </c>
      <c r="V25" s="179"/>
      <c r="W25" s="114"/>
      <c r="X25" s="179"/>
      <c r="Y25" s="186" t="s">
        <v>1012</v>
      </c>
      <c r="Z25" s="183"/>
      <c r="AA25" s="184"/>
      <c r="AB25" s="182"/>
      <c r="AC25" s="114"/>
      <c r="AD25" s="114"/>
      <c r="AE25" s="114"/>
      <c r="AF25" s="114"/>
      <c r="AG25" s="114"/>
      <c r="AH25" s="106"/>
      <c r="AI25" s="114"/>
      <c r="AJ25" s="106"/>
      <c r="AK25" s="114"/>
      <c r="AL25" s="106"/>
      <c r="AM25" s="114"/>
      <c r="AN25" s="106"/>
      <c r="AO25" s="114"/>
      <c r="AP25" s="106"/>
      <c r="AQ25" s="114"/>
      <c r="AR25" s="106"/>
      <c r="AS25" s="114"/>
      <c r="AT25" s="106"/>
      <c r="AU25" s="114"/>
      <c r="AV25" s="106"/>
      <c r="AW25" s="114"/>
      <c r="AX25" s="157"/>
      <c r="AY25" s="157"/>
      <c r="AZ25" s="157"/>
      <c r="BA25" s="157"/>
      <c r="BB25" s="157"/>
      <c r="BC25" s="157"/>
    </row>
    <row r="26" spans="1:55" ht="13.8" x14ac:dyDescent="0.3">
      <c r="A26" s="114">
        <v>23</v>
      </c>
      <c r="B26" s="179"/>
      <c r="C26" s="114">
        <v>0</v>
      </c>
      <c r="D26" s="114" t="s">
        <v>991</v>
      </c>
      <c r="E26" s="114" t="s">
        <v>1013</v>
      </c>
      <c r="F26" s="114" t="s">
        <v>909</v>
      </c>
      <c r="G26" s="114"/>
      <c r="H26" s="114"/>
      <c r="I26" s="114"/>
      <c r="J26" s="114"/>
      <c r="K26" s="114" t="s">
        <v>872</v>
      </c>
      <c r="L26" s="114" t="s">
        <v>1009</v>
      </c>
      <c r="M26" s="114"/>
      <c r="N26" s="114">
        <v>2</v>
      </c>
      <c r="O26" s="180">
        <v>0</v>
      </c>
      <c r="P26" s="180">
        <v>1</v>
      </c>
      <c r="Q26" s="180">
        <v>0</v>
      </c>
      <c r="R26" s="180"/>
      <c r="S26" s="179"/>
      <c r="T26" s="181" t="s">
        <v>1018</v>
      </c>
      <c r="U26" s="182" t="s">
        <v>1019</v>
      </c>
      <c r="V26" s="179"/>
      <c r="W26" s="114"/>
      <c r="X26" s="179"/>
      <c r="Y26" s="186" t="s">
        <v>1012</v>
      </c>
      <c r="Z26" s="183"/>
      <c r="AA26" s="184"/>
      <c r="AB26" s="182"/>
      <c r="AC26" s="114"/>
      <c r="AD26" s="114"/>
      <c r="AE26" s="114"/>
      <c r="AF26" s="114"/>
      <c r="AG26" s="114"/>
      <c r="AH26" s="106"/>
      <c r="AI26" s="114"/>
      <c r="AJ26" s="106"/>
      <c r="AK26" s="114"/>
      <c r="AL26" s="106"/>
      <c r="AM26" s="114"/>
      <c r="AN26" s="106"/>
      <c r="AO26" s="114"/>
      <c r="AP26" s="106"/>
      <c r="AQ26" s="114"/>
      <c r="AR26" s="106"/>
      <c r="AS26" s="114"/>
      <c r="AT26" s="106"/>
      <c r="AU26" s="114"/>
      <c r="AV26" s="106"/>
      <c r="AW26" s="114"/>
      <c r="AX26" s="157"/>
      <c r="AY26" s="157"/>
      <c r="AZ26" s="157"/>
      <c r="BA26" s="157"/>
      <c r="BB26" s="157"/>
      <c r="BC26" s="157"/>
    </row>
    <row r="27" spans="1:55" ht="13.8" x14ac:dyDescent="0.3">
      <c r="A27" s="114">
        <v>24</v>
      </c>
      <c r="B27" s="179"/>
      <c r="C27" s="114">
        <v>0</v>
      </c>
      <c r="D27" s="114" t="s">
        <v>991</v>
      </c>
      <c r="E27" s="114" t="s">
        <v>1013</v>
      </c>
      <c r="F27" s="114" t="s">
        <v>909</v>
      </c>
      <c r="G27" s="114"/>
      <c r="H27" s="114"/>
      <c r="I27" s="114"/>
      <c r="J27" s="114"/>
      <c r="K27" s="114" t="s">
        <v>872</v>
      </c>
      <c r="L27" s="114" t="s">
        <v>1009</v>
      </c>
      <c r="M27" s="114"/>
      <c r="N27" s="114">
        <v>2</v>
      </c>
      <c r="O27" s="180">
        <v>0</v>
      </c>
      <c r="P27" s="180">
        <v>1</v>
      </c>
      <c r="Q27" s="180">
        <v>0</v>
      </c>
      <c r="R27" s="180"/>
      <c r="S27" s="179"/>
      <c r="T27" s="181" t="s">
        <v>1020</v>
      </c>
      <c r="U27" s="182" t="s">
        <v>1021</v>
      </c>
      <c r="V27" s="179"/>
      <c r="W27" s="114"/>
      <c r="X27" s="179"/>
      <c r="Y27" s="186" t="s">
        <v>1012</v>
      </c>
      <c r="Z27" s="183"/>
      <c r="AA27" s="184"/>
      <c r="AB27" s="182"/>
      <c r="AC27" s="114"/>
      <c r="AD27" s="114"/>
      <c r="AE27" s="114"/>
      <c r="AF27" s="114"/>
      <c r="AG27" s="114"/>
      <c r="AH27" s="106"/>
      <c r="AI27" s="114"/>
      <c r="AJ27" s="106"/>
      <c r="AK27" s="114"/>
      <c r="AL27" s="106"/>
      <c r="AM27" s="114"/>
      <c r="AN27" s="106"/>
      <c r="AO27" s="114"/>
      <c r="AP27" s="106"/>
      <c r="AQ27" s="114"/>
      <c r="AR27" s="106"/>
      <c r="AS27" s="114"/>
      <c r="AT27" s="106"/>
      <c r="AU27" s="114"/>
      <c r="AV27" s="106"/>
      <c r="AW27" s="114"/>
      <c r="AX27" s="157"/>
      <c r="AY27" s="157"/>
      <c r="AZ27" s="157"/>
      <c r="BA27" s="157"/>
      <c r="BB27" s="157"/>
      <c r="BC27" s="157"/>
    </row>
    <row r="28" spans="1:55" ht="13.8" x14ac:dyDescent="0.3">
      <c r="A28" s="114">
        <v>25</v>
      </c>
      <c r="B28" s="179"/>
      <c r="C28" s="114">
        <v>0</v>
      </c>
      <c r="D28" s="114" t="s">
        <v>991</v>
      </c>
      <c r="E28" s="114" t="s">
        <v>1013</v>
      </c>
      <c r="F28" s="114" t="s">
        <v>909</v>
      </c>
      <c r="G28" s="114"/>
      <c r="H28" s="114"/>
      <c r="I28" s="114"/>
      <c r="J28" s="114"/>
      <c r="K28" s="114" t="s">
        <v>872</v>
      </c>
      <c r="L28" s="114" t="s">
        <v>1009</v>
      </c>
      <c r="M28" s="114"/>
      <c r="N28" s="114">
        <v>2</v>
      </c>
      <c r="O28" s="180">
        <v>0</v>
      </c>
      <c r="P28" s="180">
        <v>1</v>
      </c>
      <c r="Q28" s="180">
        <v>0</v>
      </c>
      <c r="R28" s="180"/>
      <c r="S28" s="179"/>
      <c r="T28" s="181" t="s">
        <v>1022</v>
      </c>
      <c r="U28" s="182" t="s">
        <v>1023</v>
      </c>
      <c r="V28" s="179"/>
      <c r="W28" s="114"/>
      <c r="X28" s="179"/>
      <c r="Y28" s="186" t="s">
        <v>1012</v>
      </c>
      <c r="Z28" s="183"/>
      <c r="AA28" s="184"/>
      <c r="AB28" s="182"/>
      <c r="AC28" s="114"/>
      <c r="AD28" s="114"/>
      <c r="AE28" s="114"/>
      <c r="AF28" s="114"/>
      <c r="AG28" s="114"/>
      <c r="AH28" s="106"/>
      <c r="AI28" s="114"/>
      <c r="AJ28" s="106"/>
      <c r="AK28" s="114"/>
      <c r="AL28" s="106"/>
      <c r="AM28" s="114"/>
      <c r="AN28" s="106"/>
      <c r="AO28" s="114"/>
      <c r="AP28" s="106"/>
      <c r="AQ28" s="114"/>
      <c r="AR28" s="106"/>
      <c r="AS28" s="114"/>
      <c r="AT28" s="106"/>
      <c r="AU28" s="114"/>
      <c r="AV28" s="106"/>
      <c r="AW28" s="114"/>
      <c r="AX28" s="157"/>
      <c r="AY28" s="157"/>
      <c r="AZ28" s="157"/>
      <c r="BA28" s="157"/>
      <c r="BB28" s="157"/>
      <c r="BC28" s="157"/>
    </row>
    <row r="29" spans="1:55" ht="13.8" x14ac:dyDescent="0.3">
      <c r="A29" s="114">
        <v>26</v>
      </c>
      <c r="B29" s="179"/>
      <c r="C29" s="114">
        <v>0</v>
      </c>
      <c r="D29" s="114" t="s">
        <v>991</v>
      </c>
      <c r="E29" s="114" t="s">
        <v>966</v>
      </c>
      <c r="F29" s="114" t="s">
        <v>909</v>
      </c>
      <c r="G29" s="114"/>
      <c r="H29" s="114"/>
      <c r="I29" s="114"/>
      <c r="J29" s="114"/>
      <c r="K29" s="114" t="s">
        <v>872</v>
      </c>
      <c r="L29" s="114" t="s">
        <v>1009</v>
      </c>
      <c r="M29" s="114"/>
      <c r="N29" s="114">
        <v>2</v>
      </c>
      <c r="O29" s="180">
        <v>-80000</v>
      </c>
      <c r="P29" s="180">
        <v>80000</v>
      </c>
      <c r="Q29" s="180">
        <v>0</v>
      </c>
      <c r="R29" s="180"/>
      <c r="S29" s="180" t="s">
        <v>1024</v>
      </c>
      <c r="T29" s="181" t="s">
        <v>1025</v>
      </c>
      <c r="U29" s="182" t="s">
        <v>127</v>
      </c>
      <c r="V29" s="179"/>
      <c r="W29" s="114"/>
      <c r="X29" s="179"/>
      <c r="Y29" s="186" t="s">
        <v>1012</v>
      </c>
      <c r="Z29" s="183" t="s">
        <v>1026</v>
      </c>
      <c r="AA29" s="184"/>
      <c r="AB29" s="182"/>
      <c r="AC29" s="114"/>
      <c r="AD29" s="114"/>
      <c r="AE29" s="114"/>
      <c r="AF29" s="114"/>
      <c r="AG29" s="114"/>
      <c r="AH29" s="106"/>
      <c r="AI29" s="114"/>
      <c r="AJ29" s="106"/>
      <c r="AK29" s="114"/>
      <c r="AL29" s="106"/>
      <c r="AM29" s="114"/>
      <c r="AN29" s="106"/>
      <c r="AO29" s="114"/>
      <c r="AP29" s="106"/>
      <c r="AQ29" s="114"/>
      <c r="AR29" s="106"/>
      <c r="AS29" s="114"/>
      <c r="AT29" s="106"/>
      <c r="AU29" s="114"/>
      <c r="AV29" s="106"/>
      <c r="AW29" s="114"/>
      <c r="AX29" s="157"/>
      <c r="AY29" s="157"/>
      <c r="AZ29" s="157"/>
      <c r="BA29" s="157"/>
      <c r="BB29" s="157"/>
      <c r="BC29" s="157"/>
    </row>
    <row r="30" spans="1:55" ht="13.8" x14ac:dyDescent="0.3">
      <c r="A30" s="114">
        <v>27</v>
      </c>
      <c r="B30" s="179"/>
      <c r="C30" s="114">
        <v>0</v>
      </c>
      <c r="D30" s="114" t="s">
        <v>991</v>
      </c>
      <c r="E30" s="114" t="s">
        <v>966</v>
      </c>
      <c r="F30" s="114" t="s">
        <v>909</v>
      </c>
      <c r="G30" s="114"/>
      <c r="H30" s="114"/>
      <c r="I30" s="114"/>
      <c r="J30" s="114"/>
      <c r="K30" s="114" t="s">
        <v>872</v>
      </c>
      <c r="L30" s="114" t="s">
        <v>1009</v>
      </c>
      <c r="M30" s="114"/>
      <c r="N30" s="114">
        <v>2</v>
      </c>
      <c r="O30" s="180">
        <v>458</v>
      </c>
      <c r="P30" s="180">
        <v>30000000</v>
      </c>
      <c r="Q30" s="180">
        <v>150000</v>
      </c>
      <c r="R30" s="180"/>
      <c r="S30" s="180" t="s">
        <v>1027</v>
      </c>
      <c r="T30" s="181" t="s">
        <v>1028</v>
      </c>
      <c r="U30" s="182" t="s">
        <v>1029</v>
      </c>
      <c r="V30" s="179"/>
      <c r="W30" s="114"/>
      <c r="X30" s="179"/>
      <c r="Y30" s="186" t="s">
        <v>1012</v>
      </c>
      <c r="Z30" s="183" t="s">
        <v>1030</v>
      </c>
      <c r="AA30" s="184"/>
      <c r="AB30" s="182"/>
      <c r="AC30" s="114"/>
      <c r="AD30" s="114"/>
      <c r="AE30" s="114"/>
      <c r="AF30" s="114"/>
      <c r="AG30" s="114"/>
      <c r="AH30" s="106"/>
      <c r="AI30" s="114"/>
      <c r="AJ30" s="106"/>
      <c r="AK30" s="114"/>
      <c r="AL30" s="106"/>
      <c r="AM30" s="114"/>
      <c r="AN30" s="106"/>
      <c r="AO30" s="114"/>
      <c r="AP30" s="106"/>
      <c r="AQ30" s="114"/>
      <c r="AR30" s="106"/>
      <c r="AS30" s="114"/>
      <c r="AT30" s="106"/>
      <c r="AU30" s="114"/>
      <c r="AV30" s="106"/>
      <c r="AW30" s="114"/>
      <c r="AX30" s="157"/>
      <c r="AY30" s="157"/>
      <c r="AZ30" s="157"/>
      <c r="BA30" s="157"/>
      <c r="BB30" s="157"/>
      <c r="BC30" s="157"/>
    </row>
    <row r="31" spans="1:55" ht="13.8" x14ac:dyDescent="0.3">
      <c r="A31" s="114">
        <v>28</v>
      </c>
      <c r="B31" s="179"/>
      <c r="C31" s="114">
        <v>0</v>
      </c>
      <c r="D31" s="114" t="s">
        <v>991</v>
      </c>
      <c r="E31" s="114" t="s">
        <v>966</v>
      </c>
      <c r="F31" s="114" t="s">
        <v>909</v>
      </c>
      <c r="G31" s="114"/>
      <c r="H31" s="114"/>
      <c r="I31" s="114"/>
      <c r="J31" s="114"/>
      <c r="K31" s="114" t="s">
        <v>872</v>
      </c>
      <c r="L31" s="114" t="s">
        <v>1009</v>
      </c>
      <c r="M31" s="114"/>
      <c r="N31" s="114">
        <v>2</v>
      </c>
      <c r="O31" s="180">
        <v>458</v>
      </c>
      <c r="P31" s="180">
        <v>30000000</v>
      </c>
      <c r="Q31" s="180">
        <v>150000</v>
      </c>
      <c r="R31" s="180"/>
      <c r="S31" s="180" t="s">
        <v>1027</v>
      </c>
      <c r="T31" s="181" t="s">
        <v>1031</v>
      </c>
      <c r="U31" s="182" t="s">
        <v>1032</v>
      </c>
      <c r="V31" s="179"/>
      <c r="W31" s="114"/>
      <c r="X31" s="179"/>
      <c r="Y31" s="186" t="s">
        <v>1012</v>
      </c>
      <c r="Z31" s="183" t="s">
        <v>1030</v>
      </c>
      <c r="AA31" s="184"/>
      <c r="AB31" s="182"/>
      <c r="AC31" s="114"/>
      <c r="AD31" s="114"/>
      <c r="AE31" s="114"/>
      <c r="AF31" s="114"/>
      <c r="AG31" s="114"/>
      <c r="AH31" s="106"/>
      <c r="AI31" s="114"/>
      <c r="AJ31" s="106"/>
      <c r="AK31" s="114"/>
      <c r="AL31" s="106"/>
      <c r="AM31" s="114"/>
      <c r="AN31" s="106"/>
      <c r="AO31" s="114"/>
      <c r="AP31" s="106"/>
      <c r="AQ31" s="114"/>
      <c r="AR31" s="106"/>
      <c r="AS31" s="114"/>
      <c r="AT31" s="106"/>
      <c r="AU31" s="114"/>
      <c r="AV31" s="106"/>
      <c r="AW31" s="114"/>
      <c r="AX31" s="157"/>
      <c r="AY31" s="157"/>
      <c r="AZ31" s="157"/>
      <c r="BA31" s="157"/>
      <c r="BB31" s="157"/>
      <c r="BC31" s="157"/>
    </row>
    <row r="32" spans="1:55" ht="13.8" x14ac:dyDescent="0.3">
      <c r="A32" s="114">
        <v>29</v>
      </c>
      <c r="B32" s="179"/>
      <c r="C32" s="114">
        <v>0</v>
      </c>
      <c r="D32" s="114" t="s">
        <v>991</v>
      </c>
      <c r="E32" s="114" t="s">
        <v>1008</v>
      </c>
      <c r="F32" s="114" t="s">
        <v>909</v>
      </c>
      <c r="G32" s="114"/>
      <c r="H32" s="114"/>
      <c r="I32" s="114"/>
      <c r="J32" s="114"/>
      <c r="K32" s="114" t="s">
        <v>872</v>
      </c>
      <c r="L32" s="114" t="s">
        <v>1009</v>
      </c>
      <c r="M32" s="114"/>
      <c r="N32" s="114">
        <v>2</v>
      </c>
      <c r="O32" s="180">
        <v>0</v>
      </c>
      <c r="P32" s="180">
        <v>38</v>
      </c>
      <c r="Q32" s="180">
        <v>0</v>
      </c>
      <c r="R32" s="180"/>
      <c r="S32" s="179"/>
      <c r="T32" s="181" t="s">
        <v>1033</v>
      </c>
      <c r="U32" s="182" t="s">
        <v>1034</v>
      </c>
      <c r="V32" s="179"/>
      <c r="W32" s="114"/>
      <c r="X32" s="179"/>
      <c r="Y32" s="186" t="s">
        <v>1012</v>
      </c>
      <c r="Z32" s="183"/>
      <c r="AA32" s="184"/>
      <c r="AB32" s="182"/>
      <c r="AC32" s="114"/>
      <c r="AD32" s="114"/>
      <c r="AE32" s="114"/>
      <c r="AF32" s="114"/>
      <c r="AG32" s="114"/>
      <c r="AH32" s="106"/>
      <c r="AI32" s="114"/>
      <c r="AJ32" s="106"/>
      <c r="AK32" s="114"/>
      <c r="AL32" s="106"/>
      <c r="AM32" s="114"/>
      <c r="AN32" s="106"/>
      <c r="AO32" s="114"/>
      <c r="AP32" s="106"/>
      <c r="AQ32" s="114"/>
      <c r="AR32" s="106"/>
      <c r="AS32" s="114"/>
      <c r="AT32" s="106"/>
      <c r="AU32" s="114"/>
      <c r="AV32" s="106"/>
      <c r="AW32" s="114"/>
      <c r="AX32" s="157"/>
      <c r="AY32" s="157"/>
      <c r="AZ32" s="157"/>
      <c r="BA32" s="157"/>
      <c r="BB32" s="157"/>
      <c r="BC32" s="157"/>
    </row>
    <row r="33" spans="1:55" ht="13.8" x14ac:dyDescent="0.3">
      <c r="A33" s="114">
        <v>30</v>
      </c>
      <c r="B33" s="179"/>
      <c r="C33" s="114">
        <v>0</v>
      </c>
      <c r="D33" s="114" t="s">
        <v>991</v>
      </c>
      <c r="E33" s="114" t="s">
        <v>966</v>
      </c>
      <c r="F33" s="114" t="s">
        <v>909</v>
      </c>
      <c r="G33" s="114"/>
      <c r="H33" s="114"/>
      <c r="I33" s="114"/>
      <c r="J33" s="114"/>
      <c r="K33" s="114" t="s">
        <v>872</v>
      </c>
      <c r="L33" s="114" t="s">
        <v>1009</v>
      </c>
      <c r="M33" s="114"/>
      <c r="N33" s="114">
        <v>2</v>
      </c>
      <c r="O33" s="187" t="s">
        <v>1035</v>
      </c>
      <c r="P33" s="180">
        <v>2147483647</v>
      </c>
      <c r="Q33" s="180">
        <v>0</v>
      </c>
      <c r="R33" s="180"/>
      <c r="S33" s="180" t="s">
        <v>1036</v>
      </c>
      <c r="T33" s="181" t="s">
        <v>1037</v>
      </c>
      <c r="U33" s="182" t="s">
        <v>1038</v>
      </c>
      <c r="V33" s="179"/>
      <c r="W33" s="114"/>
      <c r="X33" s="179"/>
      <c r="Y33" s="186" t="s">
        <v>1012</v>
      </c>
      <c r="Z33" s="183"/>
      <c r="AA33" s="184"/>
      <c r="AB33" s="182"/>
      <c r="AC33" s="114"/>
      <c r="AD33" s="114"/>
      <c r="AE33" s="114"/>
      <c r="AF33" s="114"/>
      <c r="AG33" s="114"/>
      <c r="AH33" s="106"/>
      <c r="AI33" s="114"/>
      <c r="AJ33" s="106"/>
      <c r="AK33" s="114"/>
      <c r="AL33" s="106"/>
      <c r="AM33" s="114"/>
      <c r="AN33" s="106"/>
      <c r="AO33" s="114"/>
      <c r="AP33" s="106"/>
      <c r="AQ33" s="114"/>
      <c r="AR33" s="106"/>
      <c r="AS33" s="114"/>
      <c r="AT33" s="106"/>
      <c r="AU33" s="114"/>
      <c r="AV33" s="106"/>
      <c r="AW33" s="114"/>
      <c r="AX33" s="157"/>
      <c r="AY33" s="157"/>
      <c r="AZ33" s="157"/>
      <c r="BA33" s="157"/>
      <c r="BB33" s="157"/>
      <c r="BC33" s="157"/>
    </row>
    <row r="34" spans="1:55" ht="13.8" x14ac:dyDescent="0.3">
      <c r="A34" s="114">
        <v>31</v>
      </c>
      <c r="B34" s="179"/>
      <c r="C34" s="114">
        <v>0</v>
      </c>
      <c r="D34" s="114" t="s">
        <v>991</v>
      </c>
      <c r="E34" s="114" t="s">
        <v>966</v>
      </c>
      <c r="F34" s="114" t="s">
        <v>909</v>
      </c>
      <c r="G34" s="114"/>
      <c r="H34" s="114"/>
      <c r="I34" s="114"/>
      <c r="J34" s="114"/>
      <c r="K34" s="114" t="s">
        <v>872</v>
      </c>
      <c r="L34" s="114" t="s">
        <v>1009</v>
      </c>
      <c r="M34" s="114"/>
      <c r="N34" s="114">
        <v>2</v>
      </c>
      <c r="O34" s="180">
        <v>1</v>
      </c>
      <c r="P34" s="180">
        <v>5000</v>
      </c>
      <c r="Q34" s="180">
        <v>200</v>
      </c>
      <c r="R34" s="180"/>
      <c r="S34" s="180" t="s">
        <v>1024</v>
      </c>
      <c r="T34" s="181" t="s">
        <v>1039</v>
      </c>
      <c r="U34" s="182" t="s">
        <v>1040</v>
      </c>
      <c r="V34" s="179"/>
      <c r="W34" s="114"/>
      <c r="X34" s="179"/>
      <c r="Y34" s="186" t="s">
        <v>1012</v>
      </c>
      <c r="Z34" s="183" t="s">
        <v>1026</v>
      </c>
      <c r="AA34" s="184"/>
      <c r="AB34" s="182"/>
      <c r="AC34" s="114"/>
      <c r="AD34" s="114"/>
      <c r="AE34" s="114"/>
      <c r="AF34" s="114"/>
      <c r="AG34" s="114"/>
      <c r="AH34" s="106"/>
      <c r="AI34" s="114"/>
      <c r="AJ34" s="106"/>
      <c r="AK34" s="114"/>
      <c r="AL34" s="106"/>
      <c r="AM34" s="114"/>
      <c r="AN34" s="106"/>
      <c r="AO34" s="114"/>
      <c r="AP34" s="106"/>
      <c r="AQ34" s="114"/>
      <c r="AR34" s="106"/>
      <c r="AS34" s="114"/>
      <c r="AT34" s="106"/>
      <c r="AU34" s="114"/>
      <c r="AV34" s="106"/>
      <c r="AW34" s="114"/>
      <c r="AX34" s="157"/>
      <c r="AY34" s="157"/>
      <c r="AZ34" s="157"/>
      <c r="BA34" s="157"/>
      <c r="BB34" s="157"/>
      <c r="BC34" s="157"/>
    </row>
    <row r="35" spans="1:55" ht="13.8" x14ac:dyDescent="0.3">
      <c r="A35" s="114">
        <v>32</v>
      </c>
      <c r="B35" s="179"/>
      <c r="C35" s="114">
        <v>0</v>
      </c>
      <c r="D35" s="114" t="s">
        <v>991</v>
      </c>
      <c r="E35" s="114" t="s">
        <v>1008</v>
      </c>
      <c r="F35" s="114" t="s">
        <v>909</v>
      </c>
      <c r="G35" s="114"/>
      <c r="H35" s="114"/>
      <c r="I35" s="114"/>
      <c r="J35" s="114"/>
      <c r="K35" s="114" t="s">
        <v>872</v>
      </c>
      <c r="L35" s="114" t="s">
        <v>1009</v>
      </c>
      <c r="M35" s="114"/>
      <c r="N35" s="114">
        <v>2</v>
      </c>
      <c r="O35" s="180">
        <v>0</v>
      </c>
      <c r="P35" s="180">
        <v>3</v>
      </c>
      <c r="Q35" s="180">
        <v>0</v>
      </c>
      <c r="R35" s="180"/>
      <c r="S35" s="180"/>
      <c r="T35" s="181" t="s">
        <v>1041</v>
      </c>
      <c r="U35" s="182" t="s">
        <v>1042</v>
      </c>
      <c r="V35" s="179"/>
      <c r="W35" s="114"/>
      <c r="X35" s="179"/>
      <c r="Y35" s="186" t="s">
        <v>1012</v>
      </c>
      <c r="Z35" s="183"/>
      <c r="AA35" s="184"/>
      <c r="AB35" s="182"/>
      <c r="AC35" s="114"/>
      <c r="AD35" s="114"/>
      <c r="AE35" s="114"/>
      <c r="AF35" s="114"/>
      <c r="AG35" s="114"/>
      <c r="AH35" s="106"/>
      <c r="AI35" s="114"/>
      <c r="AJ35" s="106"/>
      <c r="AK35" s="114"/>
      <c r="AL35" s="106"/>
      <c r="AM35" s="114"/>
      <c r="AN35" s="106"/>
      <c r="AO35" s="114"/>
      <c r="AP35" s="106"/>
      <c r="AQ35" s="114"/>
      <c r="AR35" s="106"/>
      <c r="AS35" s="114"/>
      <c r="AT35" s="106"/>
      <c r="AU35" s="114"/>
      <c r="AV35" s="106"/>
      <c r="AW35" s="114"/>
      <c r="AX35" s="157"/>
      <c r="AY35" s="157"/>
      <c r="AZ35" s="157"/>
      <c r="BA35" s="157"/>
      <c r="BB35" s="157"/>
      <c r="BC35" s="157"/>
    </row>
    <row r="36" spans="1:55" ht="13.8" x14ac:dyDescent="0.3">
      <c r="A36" s="114">
        <v>33</v>
      </c>
      <c r="B36" s="179"/>
      <c r="C36" s="114">
        <v>0</v>
      </c>
      <c r="D36" s="114" t="s">
        <v>991</v>
      </c>
      <c r="E36" s="114" t="s">
        <v>966</v>
      </c>
      <c r="F36" s="114" t="s">
        <v>909</v>
      </c>
      <c r="G36" s="114"/>
      <c r="H36" s="114"/>
      <c r="I36" s="114"/>
      <c r="J36" s="114"/>
      <c r="K36" s="114" t="s">
        <v>872</v>
      </c>
      <c r="L36" s="114" t="s">
        <v>1009</v>
      </c>
      <c r="M36" s="114"/>
      <c r="N36" s="114">
        <v>2</v>
      </c>
      <c r="O36" s="187" t="s">
        <v>1043</v>
      </c>
      <c r="P36" s="180">
        <v>4000</v>
      </c>
      <c r="Q36" s="180">
        <v>0</v>
      </c>
      <c r="R36" s="180"/>
      <c r="S36" s="180" t="s">
        <v>1044</v>
      </c>
      <c r="T36" s="181" t="s">
        <v>1045</v>
      </c>
      <c r="U36" s="182" t="s">
        <v>1046</v>
      </c>
      <c r="V36" s="179"/>
      <c r="W36" s="114"/>
      <c r="X36" s="179"/>
      <c r="Y36" s="186" t="s">
        <v>1012</v>
      </c>
      <c r="Z36" s="183"/>
      <c r="AA36" s="184"/>
      <c r="AB36" s="182"/>
      <c r="AC36" s="114"/>
      <c r="AD36" s="114"/>
      <c r="AE36" s="114"/>
      <c r="AF36" s="114"/>
      <c r="AG36" s="114"/>
      <c r="AH36" s="106"/>
      <c r="AI36" s="114"/>
      <c r="AJ36" s="106"/>
      <c r="AK36" s="114"/>
      <c r="AL36" s="106"/>
      <c r="AM36" s="114"/>
      <c r="AN36" s="106"/>
      <c r="AO36" s="114"/>
      <c r="AP36" s="106"/>
      <c r="AQ36" s="114"/>
      <c r="AR36" s="106"/>
      <c r="AS36" s="114"/>
      <c r="AT36" s="106"/>
      <c r="AU36" s="114"/>
      <c r="AV36" s="106"/>
      <c r="AW36" s="114"/>
      <c r="AX36" s="157"/>
      <c r="AY36" s="157"/>
      <c r="AZ36" s="157"/>
      <c r="BA36" s="157"/>
      <c r="BB36" s="157"/>
      <c r="BC36" s="157"/>
    </row>
    <row r="37" spans="1:55" ht="13.8" x14ac:dyDescent="0.3">
      <c r="A37" s="114">
        <f>A36+1</f>
        <v>34</v>
      </c>
      <c r="B37" s="179"/>
      <c r="C37" s="114">
        <v>0</v>
      </c>
      <c r="D37" s="114" t="s">
        <v>991</v>
      </c>
      <c r="E37" s="114" t="s">
        <v>966</v>
      </c>
      <c r="F37" s="114" t="s">
        <v>909</v>
      </c>
      <c r="G37" s="114"/>
      <c r="H37" s="114"/>
      <c r="I37" s="114"/>
      <c r="J37" s="114"/>
      <c r="K37" s="114" t="s">
        <v>872</v>
      </c>
      <c r="L37" s="114" t="s">
        <v>1009</v>
      </c>
      <c r="M37" s="114"/>
      <c r="N37" s="114">
        <v>2</v>
      </c>
      <c r="O37" s="187">
        <v>1</v>
      </c>
      <c r="P37" s="180">
        <v>65500</v>
      </c>
      <c r="Q37" s="180">
        <v>1000</v>
      </c>
      <c r="R37" s="180"/>
      <c r="S37" s="180" t="s">
        <v>1047</v>
      </c>
      <c r="T37" s="181" t="s">
        <v>1048</v>
      </c>
      <c r="U37" s="182" t="s">
        <v>1049</v>
      </c>
      <c r="V37" s="179"/>
      <c r="W37" s="114"/>
      <c r="X37" s="179"/>
      <c r="Y37" s="186" t="s">
        <v>1012</v>
      </c>
      <c r="Z37" s="183"/>
      <c r="AA37" s="184"/>
      <c r="AB37" s="182"/>
      <c r="AC37" s="114"/>
      <c r="AD37" s="114"/>
      <c r="AE37" s="114"/>
      <c r="AF37" s="114"/>
      <c r="AG37" s="114"/>
      <c r="AH37" s="106"/>
      <c r="AI37" s="114"/>
      <c r="AJ37" s="106"/>
      <c r="AK37" s="114"/>
      <c r="AL37" s="106"/>
      <c r="AM37" s="114"/>
      <c r="AN37" s="106"/>
      <c r="AO37" s="114"/>
      <c r="AP37" s="106"/>
      <c r="AQ37" s="114"/>
      <c r="AR37" s="106"/>
      <c r="AS37" s="114"/>
      <c r="AT37" s="106"/>
      <c r="AU37" s="114"/>
      <c r="AV37" s="106"/>
      <c r="AW37" s="114"/>
      <c r="AX37" s="157"/>
      <c r="AY37" s="157"/>
      <c r="AZ37" s="157"/>
      <c r="BA37" s="157"/>
      <c r="BB37" s="157"/>
      <c r="BC37" s="157"/>
    </row>
    <row r="38" spans="1:55" ht="13.8" x14ac:dyDescent="0.3">
      <c r="A38" s="114">
        <f t="shared" ref="A38:A57" si="0">A37+1</f>
        <v>35</v>
      </c>
      <c r="B38" s="179"/>
      <c r="C38" s="114">
        <v>0</v>
      </c>
      <c r="D38" s="114" t="s">
        <v>991</v>
      </c>
      <c r="E38" s="114" t="s">
        <v>1013</v>
      </c>
      <c r="F38" s="114" t="s">
        <v>909</v>
      </c>
      <c r="G38" s="114"/>
      <c r="H38" s="114"/>
      <c r="I38" s="114"/>
      <c r="J38" s="114"/>
      <c r="K38" s="114" t="s">
        <v>872</v>
      </c>
      <c r="L38" s="114" t="s">
        <v>1009</v>
      </c>
      <c r="M38" s="114"/>
      <c r="N38" s="114">
        <v>2</v>
      </c>
      <c r="O38" s="180">
        <v>0</v>
      </c>
      <c r="P38" s="180">
        <v>1</v>
      </c>
      <c r="Q38" s="180">
        <v>0</v>
      </c>
      <c r="R38" s="180"/>
      <c r="S38" s="179"/>
      <c r="T38" s="181" t="s">
        <v>1050</v>
      </c>
      <c r="U38" s="182" t="s">
        <v>1051</v>
      </c>
      <c r="V38" s="179"/>
      <c r="W38" s="114"/>
      <c r="X38" s="179"/>
      <c r="Y38" s="186" t="s">
        <v>1012</v>
      </c>
      <c r="Z38" s="183" t="s">
        <v>1052</v>
      </c>
      <c r="AA38" s="184"/>
      <c r="AB38" s="182"/>
      <c r="AC38" s="114"/>
      <c r="AD38" s="114"/>
      <c r="AE38" s="114"/>
      <c r="AF38" s="114"/>
      <c r="AG38" s="114"/>
      <c r="AH38" s="106"/>
      <c r="AI38" s="114"/>
      <c r="AJ38" s="106"/>
      <c r="AK38" s="114"/>
      <c r="AL38" s="106"/>
      <c r="AM38" s="114"/>
      <c r="AN38" s="106"/>
      <c r="AO38" s="114"/>
      <c r="AP38" s="106"/>
      <c r="AQ38" s="114"/>
      <c r="AR38" s="106"/>
      <c r="AS38" s="114"/>
      <c r="AT38" s="106"/>
      <c r="AU38" s="114"/>
      <c r="AV38" s="106"/>
      <c r="AW38" s="114"/>
      <c r="AX38" s="157"/>
      <c r="AY38" s="157"/>
      <c r="AZ38" s="157"/>
      <c r="BA38" s="157"/>
      <c r="BB38" s="157"/>
      <c r="BC38" s="157"/>
    </row>
    <row r="39" spans="1:55" ht="13.8" x14ac:dyDescent="0.3">
      <c r="A39" s="114">
        <f t="shared" si="0"/>
        <v>36</v>
      </c>
      <c r="B39" s="179"/>
      <c r="C39" s="114">
        <v>0</v>
      </c>
      <c r="D39" s="114" t="s">
        <v>991</v>
      </c>
      <c r="E39" s="114" t="s">
        <v>1013</v>
      </c>
      <c r="F39" s="114" t="s">
        <v>909</v>
      </c>
      <c r="G39" s="114"/>
      <c r="H39" s="114"/>
      <c r="I39" s="114"/>
      <c r="J39" s="114"/>
      <c r="K39" s="114" t="s">
        <v>872</v>
      </c>
      <c r="L39" s="114" t="s">
        <v>1009</v>
      </c>
      <c r="M39" s="114"/>
      <c r="N39" s="114">
        <v>2</v>
      </c>
      <c r="O39" s="180">
        <v>0</v>
      </c>
      <c r="P39" s="180">
        <v>1</v>
      </c>
      <c r="Q39" s="180">
        <v>0</v>
      </c>
      <c r="R39" s="180"/>
      <c r="S39" s="179"/>
      <c r="T39" s="181" t="s">
        <v>1053</v>
      </c>
      <c r="U39" s="182" t="s">
        <v>1054</v>
      </c>
      <c r="V39" s="179"/>
      <c r="W39" s="114"/>
      <c r="X39" s="179"/>
      <c r="Y39" s="186" t="s">
        <v>1012</v>
      </c>
      <c r="Z39" s="183" t="s">
        <v>1052</v>
      </c>
      <c r="AA39" s="184"/>
      <c r="AB39" s="182"/>
      <c r="AC39" s="114"/>
      <c r="AD39" s="114"/>
      <c r="AE39" s="114"/>
      <c r="AF39" s="114"/>
      <c r="AG39" s="114"/>
      <c r="AH39" s="106"/>
      <c r="AI39" s="114"/>
      <c r="AJ39" s="106"/>
      <c r="AK39" s="114"/>
      <c r="AL39" s="106"/>
      <c r="AM39" s="114"/>
      <c r="AN39" s="106"/>
      <c r="AO39" s="114"/>
      <c r="AP39" s="106"/>
      <c r="AQ39" s="114"/>
      <c r="AR39" s="106"/>
      <c r="AS39" s="114"/>
      <c r="AT39" s="106"/>
      <c r="AU39" s="114"/>
      <c r="AV39" s="106"/>
      <c r="AW39" s="114"/>
      <c r="AX39" s="157"/>
      <c r="AY39" s="157"/>
      <c r="AZ39" s="157"/>
      <c r="BA39" s="157"/>
      <c r="BB39" s="157"/>
      <c r="BC39" s="157"/>
    </row>
    <row r="40" spans="1:55" ht="13.8" x14ac:dyDescent="0.3">
      <c r="A40" s="114">
        <f t="shared" si="0"/>
        <v>37</v>
      </c>
      <c r="B40" s="179"/>
      <c r="C40" s="114">
        <v>0</v>
      </c>
      <c r="D40" s="114" t="s">
        <v>991</v>
      </c>
      <c r="E40" s="114" t="s">
        <v>1008</v>
      </c>
      <c r="F40" s="114" t="s">
        <v>909</v>
      </c>
      <c r="G40" s="114"/>
      <c r="H40" s="114"/>
      <c r="I40" s="114"/>
      <c r="J40" s="114"/>
      <c r="K40" s="114" t="s">
        <v>872</v>
      </c>
      <c r="L40" s="114" t="s">
        <v>1009</v>
      </c>
      <c r="M40" s="114"/>
      <c r="N40" s="114">
        <v>2</v>
      </c>
      <c r="O40" s="180">
        <v>0</v>
      </c>
      <c r="P40" s="180">
        <v>10</v>
      </c>
      <c r="Q40" s="180">
        <v>2</v>
      </c>
      <c r="R40" s="180"/>
      <c r="S40" s="179"/>
      <c r="T40" s="181" t="s">
        <v>1055</v>
      </c>
      <c r="U40" s="182" t="s">
        <v>1056</v>
      </c>
      <c r="V40" s="179"/>
      <c r="W40" s="114"/>
      <c r="X40" s="179"/>
      <c r="Y40" s="186" t="s">
        <v>1012</v>
      </c>
      <c r="Z40" s="183" t="s">
        <v>1052</v>
      </c>
      <c r="AA40" s="184"/>
      <c r="AB40" s="182"/>
      <c r="AC40" s="114"/>
      <c r="AD40" s="114"/>
      <c r="AE40" s="114"/>
      <c r="AF40" s="114"/>
      <c r="AG40" s="114"/>
      <c r="AH40" s="106"/>
      <c r="AI40" s="114"/>
      <c r="AJ40" s="106"/>
      <c r="AK40" s="114"/>
      <c r="AL40" s="106"/>
      <c r="AM40" s="114"/>
      <c r="AN40" s="106"/>
      <c r="AO40" s="114"/>
      <c r="AP40" s="106"/>
      <c r="AQ40" s="114"/>
      <c r="AR40" s="106"/>
      <c r="AS40" s="114"/>
      <c r="AT40" s="106"/>
      <c r="AU40" s="114"/>
      <c r="AV40" s="106"/>
      <c r="AW40" s="114"/>
      <c r="AX40" s="157"/>
      <c r="AY40" s="157"/>
      <c r="AZ40" s="157"/>
      <c r="BA40" s="157"/>
      <c r="BB40" s="157"/>
      <c r="BC40" s="157"/>
    </row>
    <row r="41" spans="1:55" ht="13.8" x14ac:dyDescent="0.3">
      <c r="A41" s="114">
        <f t="shared" si="0"/>
        <v>38</v>
      </c>
      <c r="B41" s="179"/>
      <c r="C41" s="114">
        <v>0</v>
      </c>
      <c r="D41" s="114" t="s">
        <v>991</v>
      </c>
      <c r="E41" s="114" t="s">
        <v>1008</v>
      </c>
      <c r="F41" s="114" t="s">
        <v>909</v>
      </c>
      <c r="G41" s="114"/>
      <c r="H41" s="114"/>
      <c r="I41" s="114"/>
      <c r="J41" s="114"/>
      <c r="K41" s="114" t="s">
        <v>872</v>
      </c>
      <c r="L41" s="114" t="s">
        <v>1009</v>
      </c>
      <c r="M41" s="114"/>
      <c r="N41" s="114">
        <v>2</v>
      </c>
      <c r="O41" s="180">
        <v>0</v>
      </c>
      <c r="P41" s="180">
        <v>2</v>
      </c>
      <c r="Q41" s="180">
        <v>0</v>
      </c>
      <c r="R41" s="180"/>
      <c r="S41" s="179"/>
      <c r="T41" s="181" t="s">
        <v>1057</v>
      </c>
      <c r="U41" s="182" t="s">
        <v>1058</v>
      </c>
      <c r="V41" s="179"/>
      <c r="W41" s="114"/>
      <c r="X41" s="179"/>
      <c r="Y41" s="186" t="s">
        <v>1012</v>
      </c>
      <c r="Z41" s="183"/>
      <c r="AA41" s="184"/>
      <c r="AB41" s="182"/>
      <c r="AC41" s="114"/>
      <c r="AD41" s="114"/>
      <c r="AE41" s="114"/>
      <c r="AF41" s="114"/>
      <c r="AG41" s="114"/>
      <c r="AH41" s="106"/>
      <c r="AI41" s="114"/>
      <c r="AJ41" s="106"/>
      <c r="AK41" s="114"/>
      <c r="AL41" s="106"/>
      <c r="AM41" s="114"/>
      <c r="AN41" s="106"/>
      <c r="AO41" s="114"/>
      <c r="AP41" s="106"/>
      <c r="AQ41" s="114"/>
      <c r="AR41" s="106"/>
      <c r="AS41" s="114"/>
      <c r="AT41" s="106"/>
      <c r="AU41" s="114"/>
      <c r="AV41" s="106"/>
      <c r="AW41" s="114"/>
      <c r="AX41" s="157"/>
      <c r="AY41" s="157"/>
      <c r="AZ41" s="157"/>
      <c r="BA41" s="157"/>
      <c r="BB41" s="157"/>
      <c r="BC41" s="157"/>
    </row>
    <row r="42" spans="1:55" ht="13.8" x14ac:dyDescent="0.3">
      <c r="A42" s="114">
        <f t="shared" si="0"/>
        <v>39</v>
      </c>
      <c r="B42" s="179"/>
      <c r="C42" s="114">
        <v>0</v>
      </c>
      <c r="D42" s="114" t="s">
        <v>991</v>
      </c>
      <c r="E42" s="114" t="s">
        <v>1013</v>
      </c>
      <c r="F42" s="114" t="s">
        <v>909</v>
      </c>
      <c r="G42" s="114"/>
      <c r="H42" s="114"/>
      <c r="I42" s="114"/>
      <c r="J42" s="114"/>
      <c r="K42" s="114" t="s">
        <v>872</v>
      </c>
      <c r="L42" s="114" t="s">
        <v>1009</v>
      </c>
      <c r="M42" s="114"/>
      <c r="N42" s="114">
        <v>2</v>
      </c>
      <c r="O42" s="180">
        <v>0</v>
      </c>
      <c r="P42" s="180">
        <v>1</v>
      </c>
      <c r="Q42" s="180">
        <v>0</v>
      </c>
      <c r="R42" s="180"/>
      <c r="S42" s="179"/>
      <c r="T42" s="181" t="s">
        <v>1059</v>
      </c>
      <c r="U42" s="182" t="s">
        <v>1060</v>
      </c>
      <c r="V42" s="179"/>
      <c r="W42" s="114"/>
      <c r="X42" s="179"/>
      <c r="Y42" s="186" t="s">
        <v>1012</v>
      </c>
      <c r="Z42" s="183"/>
      <c r="AA42" s="184"/>
      <c r="AB42" s="182"/>
      <c r="AC42" s="114"/>
      <c r="AD42" s="114"/>
      <c r="AE42" s="114"/>
      <c r="AF42" s="114"/>
      <c r="AG42" s="114"/>
      <c r="AH42" s="106"/>
      <c r="AI42" s="114"/>
      <c r="AJ42" s="106"/>
      <c r="AK42" s="114"/>
      <c r="AL42" s="106"/>
      <c r="AM42" s="114"/>
      <c r="AN42" s="106"/>
      <c r="AO42" s="114"/>
      <c r="AP42" s="106"/>
      <c r="AQ42" s="114"/>
      <c r="AR42" s="106"/>
      <c r="AS42" s="114"/>
      <c r="AT42" s="106"/>
      <c r="AU42" s="114"/>
      <c r="AV42" s="106"/>
      <c r="AW42" s="114"/>
      <c r="AX42" s="157"/>
      <c r="AY42" s="157"/>
      <c r="AZ42" s="157"/>
      <c r="BA42" s="157"/>
      <c r="BB42" s="157"/>
      <c r="BC42" s="157"/>
    </row>
    <row r="43" spans="1:55" s="188" customFormat="1" ht="13.8" x14ac:dyDescent="0.3">
      <c r="A43" s="114">
        <f>A42+1</f>
        <v>40</v>
      </c>
      <c r="B43" s="179"/>
      <c r="C43" s="114">
        <v>0</v>
      </c>
      <c r="D43" s="114" t="s">
        <v>991</v>
      </c>
      <c r="E43" s="114" t="s">
        <v>1008</v>
      </c>
      <c r="F43" s="114" t="s">
        <v>909</v>
      </c>
      <c r="G43" s="114"/>
      <c r="H43" s="114"/>
      <c r="I43" s="114"/>
      <c r="J43" s="114"/>
      <c r="K43" s="114" t="s">
        <v>872</v>
      </c>
      <c r="L43" s="114" t="s">
        <v>1009</v>
      </c>
      <c r="M43" s="114"/>
      <c r="N43" s="114">
        <v>2</v>
      </c>
      <c r="O43" s="180">
        <v>0</v>
      </c>
      <c r="P43" s="180">
        <v>99</v>
      </c>
      <c r="Q43" s="180">
        <v>0</v>
      </c>
      <c r="R43" s="180"/>
      <c r="S43" s="179"/>
      <c r="T43" s="181" t="s">
        <v>1061</v>
      </c>
      <c r="U43" s="182" t="s">
        <v>1062</v>
      </c>
      <c r="V43" s="179"/>
      <c r="W43" s="114"/>
      <c r="X43" s="179"/>
      <c r="Y43" s="186" t="s">
        <v>1012</v>
      </c>
      <c r="Z43" s="183"/>
      <c r="AA43" s="184"/>
      <c r="AB43" s="182"/>
      <c r="AC43" s="114"/>
      <c r="AD43" s="114"/>
      <c r="AE43" s="114"/>
      <c r="AF43" s="114"/>
      <c r="AG43" s="114"/>
      <c r="AH43" s="106"/>
      <c r="AI43" s="114"/>
      <c r="AJ43" s="106"/>
      <c r="AK43" s="114"/>
      <c r="AL43" s="106"/>
      <c r="AM43" s="114"/>
      <c r="AN43" s="106"/>
      <c r="AO43" s="114"/>
      <c r="AP43" s="106"/>
      <c r="AQ43" s="114"/>
      <c r="AR43" s="106"/>
      <c r="AS43" s="114"/>
      <c r="AT43" s="106"/>
      <c r="AU43" s="114"/>
      <c r="AV43" s="106"/>
      <c r="AW43" s="114"/>
      <c r="AX43" s="157"/>
      <c r="AY43" s="157"/>
      <c r="AZ43" s="157"/>
      <c r="BA43" s="157"/>
      <c r="BB43" s="157"/>
      <c r="BC43" s="157"/>
    </row>
    <row r="44" spans="1:55" ht="13.8" x14ac:dyDescent="0.3">
      <c r="A44" s="114">
        <f t="shared" si="0"/>
        <v>41</v>
      </c>
      <c r="B44" s="179"/>
      <c r="C44" s="114">
        <v>0</v>
      </c>
      <c r="D44" s="114" t="s">
        <v>991</v>
      </c>
      <c r="E44" s="114" t="s">
        <v>1008</v>
      </c>
      <c r="F44" s="114" t="s">
        <v>923</v>
      </c>
      <c r="G44" s="114" t="s">
        <v>868</v>
      </c>
      <c r="H44" s="114"/>
      <c r="I44" s="114"/>
      <c r="J44" s="114"/>
      <c r="K44" s="114" t="s">
        <v>872</v>
      </c>
      <c r="L44" s="114" t="s">
        <v>1009</v>
      </c>
      <c r="M44" s="114"/>
      <c r="N44" s="114">
        <v>2</v>
      </c>
      <c r="O44" s="180">
        <v>0</v>
      </c>
      <c r="P44" s="180">
        <v>1</v>
      </c>
      <c r="Q44" s="180">
        <v>0</v>
      </c>
      <c r="R44" s="180"/>
      <c r="S44" s="179"/>
      <c r="T44" s="181" t="s">
        <v>1063</v>
      </c>
      <c r="U44" s="182" t="s">
        <v>1064</v>
      </c>
      <c r="V44" s="179"/>
      <c r="W44" s="114"/>
      <c r="X44" s="179"/>
      <c r="Y44" s="186" t="s">
        <v>1012</v>
      </c>
      <c r="Z44" s="183"/>
      <c r="AA44" s="184"/>
      <c r="AB44" s="182"/>
      <c r="AC44" s="114"/>
      <c r="AD44" s="114"/>
      <c r="AE44" s="114"/>
      <c r="AF44" s="114"/>
      <c r="AG44" s="114"/>
      <c r="AH44" s="106"/>
      <c r="AI44" s="114"/>
      <c r="AJ44" s="106"/>
      <c r="AK44" s="114"/>
      <c r="AL44" s="106"/>
      <c r="AM44" s="114"/>
      <c r="AN44" s="106"/>
      <c r="AO44" s="114"/>
      <c r="AP44" s="106"/>
      <c r="AQ44" s="114"/>
      <c r="AR44" s="106"/>
      <c r="AS44" s="114"/>
      <c r="AT44" s="106"/>
      <c r="AU44" s="114"/>
      <c r="AV44" s="106"/>
      <c r="AW44" s="114"/>
      <c r="AX44" s="157"/>
      <c r="AY44" s="157"/>
      <c r="AZ44" s="157"/>
      <c r="BA44" s="157"/>
      <c r="BB44" s="157"/>
      <c r="BC44" s="157"/>
    </row>
    <row r="45" spans="1:55" ht="26.4" x14ac:dyDescent="0.3">
      <c r="A45" s="114">
        <f t="shared" si="0"/>
        <v>42</v>
      </c>
      <c r="B45" s="179"/>
      <c r="C45" s="114">
        <v>0</v>
      </c>
      <c r="D45" s="114" t="s">
        <v>991</v>
      </c>
      <c r="E45" s="114" t="s">
        <v>1008</v>
      </c>
      <c r="F45" s="114" t="s">
        <v>923</v>
      </c>
      <c r="G45" s="114" t="s">
        <v>868</v>
      </c>
      <c r="H45" s="114"/>
      <c r="I45" s="114"/>
      <c r="J45" s="114"/>
      <c r="K45" s="114" t="s">
        <v>872</v>
      </c>
      <c r="L45" s="114" t="s">
        <v>1009</v>
      </c>
      <c r="M45" s="114"/>
      <c r="N45" s="114">
        <v>2</v>
      </c>
      <c r="O45" s="180">
        <v>0</v>
      </c>
      <c r="P45" s="180">
        <v>6</v>
      </c>
      <c r="Q45" s="180">
        <v>0</v>
      </c>
      <c r="R45" s="180"/>
      <c r="S45" s="179"/>
      <c r="T45" s="181" t="s">
        <v>1065</v>
      </c>
      <c r="U45" s="182" t="s">
        <v>1066</v>
      </c>
      <c r="V45" s="179"/>
      <c r="W45" s="114"/>
      <c r="X45" s="179"/>
      <c r="Y45" s="186" t="s">
        <v>1012</v>
      </c>
      <c r="Z45" s="189" t="s">
        <v>1067</v>
      </c>
      <c r="AA45" s="184"/>
      <c r="AB45" s="182"/>
      <c r="AC45" s="114"/>
      <c r="AD45" s="114"/>
      <c r="AE45" s="114"/>
      <c r="AF45" s="114"/>
      <c r="AG45" s="114"/>
      <c r="AH45" s="106"/>
      <c r="AI45" s="114"/>
      <c r="AJ45" s="106"/>
      <c r="AK45" s="114"/>
      <c r="AL45" s="106"/>
      <c r="AM45" s="114"/>
      <c r="AN45" s="106"/>
      <c r="AO45" s="114"/>
      <c r="AP45" s="106"/>
      <c r="AQ45" s="114"/>
      <c r="AR45" s="106"/>
      <c r="AS45" s="114"/>
      <c r="AT45" s="106"/>
      <c r="AU45" s="114"/>
      <c r="AV45" s="106"/>
      <c r="AW45" s="114"/>
      <c r="AX45" s="157"/>
      <c r="AY45" s="157"/>
      <c r="AZ45" s="157"/>
      <c r="BA45" s="157"/>
      <c r="BB45" s="157"/>
      <c r="BC45" s="157"/>
    </row>
    <row r="46" spans="1:55" ht="13.8" x14ac:dyDescent="0.3">
      <c r="A46" s="114">
        <f t="shared" si="0"/>
        <v>43</v>
      </c>
      <c r="B46" s="179"/>
      <c r="C46" s="114">
        <v>0</v>
      </c>
      <c r="D46" s="114" t="s">
        <v>991</v>
      </c>
      <c r="E46" s="114" t="s">
        <v>1013</v>
      </c>
      <c r="F46" s="114" t="s">
        <v>923</v>
      </c>
      <c r="G46" s="114" t="s">
        <v>868</v>
      </c>
      <c r="H46" s="114"/>
      <c r="I46" s="114"/>
      <c r="J46" s="114"/>
      <c r="K46" s="114" t="s">
        <v>872</v>
      </c>
      <c r="L46" s="114" t="s">
        <v>1009</v>
      </c>
      <c r="M46" s="114"/>
      <c r="N46" s="114">
        <v>2</v>
      </c>
      <c r="O46" s="180">
        <v>0</v>
      </c>
      <c r="P46" s="180">
        <v>1</v>
      </c>
      <c r="Q46" s="180">
        <v>0</v>
      </c>
      <c r="R46" s="180"/>
      <c r="S46" s="179"/>
      <c r="T46" s="181" t="s">
        <v>1068</v>
      </c>
      <c r="U46" s="182" t="s">
        <v>1069</v>
      </c>
      <c r="V46" s="179"/>
      <c r="W46" s="114"/>
      <c r="X46" s="179"/>
      <c r="Y46" s="186" t="s">
        <v>1012</v>
      </c>
      <c r="Z46" s="183"/>
      <c r="AA46" s="184"/>
      <c r="AB46" s="182"/>
      <c r="AC46" s="114"/>
      <c r="AD46" s="114"/>
      <c r="AE46" s="114"/>
      <c r="AF46" s="114"/>
      <c r="AG46" s="114"/>
      <c r="AH46" s="106"/>
      <c r="AI46" s="114"/>
      <c r="AJ46" s="106"/>
      <c r="AK46" s="114"/>
      <c r="AL46" s="106"/>
      <c r="AM46" s="114"/>
      <c r="AN46" s="106"/>
      <c r="AO46" s="114"/>
      <c r="AP46" s="106"/>
      <c r="AQ46" s="114"/>
      <c r="AR46" s="106"/>
      <c r="AS46" s="114"/>
      <c r="AT46" s="106"/>
      <c r="AU46" s="114"/>
      <c r="AV46" s="106"/>
      <c r="AW46" s="114"/>
      <c r="AX46" s="157"/>
      <c r="AY46" s="157"/>
      <c r="AZ46" s="157"/>
      <c r="BA46" s="157"/>
      <c r="BB46" s="157"/>
      <c r="BC46" s="157"/>
    </row>
    <row r="47" spans="1:55" ht="13.8" x14ac:dyDescent="0.3">
      <c r="A47" s="114">
        <f t="shared" si="0"/>
        <v>44</v>
      </c>
      <c r="B47" s="179"/>
      <c r="C47" s="114">
        <v>0</v>
      </c>
      <c r="D47" s="114" t="s">
        <v>991</v>
      </c>
      <c r="E47" s="114" t="s">
        <v>1013</v>
      </c>
      <c r="F47" s="114" t="s">
        <v>923</v>
      </c>
      <c r="G47" s="114" t="s">
        <v>868</v>
      </c>
      <c r="H47" s="114"/>
      <c r="I47" s="114"/>
      <c r="J47" s="114"/>
      <c r="K47" s="114" t="s">
        <v>872</v>
      </c>
      <c r="L47" s="114" t="s">
        <v>1009</v>
      </c>
      <c r="M47" s="114"/>
      <c r="N47" s="114">
        <v>2</v>
      </c>
      <c r="O47" s="180">
        <v>0</v>
      </c>
      <c r="P47" s="180">
        <v>1</v>
      </c>
      <c r="Q47" s="180">
        <v>0</v>
      </c>
      <c r="R47" s="180"/>
      <c r="S47" s="179"/>
      <c r="T47" s="181" t="s">
        <v>1070</v>
      </c>
      <c r="U47" s="182" t="s">
        <v>1070</v>
      </c>
      <c r="V47" s="179"/>
      <c r="W47" s="114"/>
      <c r="X47" s="179"/>
      <c r="Y47" s="186" t="s">
        <v>1012</v>
      </c>
      <c r="Z47" s="183"/>
      <c r="AA47" s="184"/>
      <c r="AB47" s="182"/>
      <c r="AC47" s="114"/>
      <c r="AD47" s="114"/>
      <c r="AE47" s="114"/>
      <c r="AF47" s="114"/>
      <c r="AG47" s="114"/>
      <c r="AH47" s="106"/>
      <c r="AI47" s="114"/>
      <c r="AJ47" s="106"/>
      <c r="AK47" s="114"/>
      <c r="AL47" s="106"/>
      <c r="AM47" s="114"/>
      <c r="AN47" s="106"/>
      <c r="AO47" s="114"/>
      <c r="AP47" s="106"/>
      <c r="AQ47" s="114"/>
      <c r="AR47" s="106"/>
      <c r="AS47" s="114"/>
      <c r="AT47" s="106"/>
      <c r="AU47" s="114"/>
      <c r="AV47" s="106"/>
      <c r="AW47" s="114"/>
      <c r="AX47" s="157"/>
      <c r="AY47" s="157"/>
      <c r="AZ47" s="157"/>
      <c r="BA47" s="157"/>
      <c r="BB47" s="157"/>
      <c r="BC47" s="157"/>
    </row>
    <row r="48" spans="1:55" ht="13.8" x14ac:dyDescent="0.3">
      <c r="A48" s="114">
        <f t="shared" si="0"/>
        <v>45</v>
      </c>
      <c r="B48" s="179"/>
      <c r="C48" s="114">
        <v>0</v>
      </c>
      <c r="D48" s="114" t="s">
        <v>991</v>
      </c>
      <c r="E48" s="114" t="s">
        <v>1013</v>
      </c>
      <c r="F48" s="114" t="s">
        <v>923</v>
      </c>
      <c r="G48" s="114" t="s">
        <v>868</v>
      </c>
      <c r="H48" s="114"/>
      <c r="I48" s="114"/>
      <c r="J48" s="114"/>
      <c r="K48" s="114" t="s">
        <v>872</v>
      </c>
      <c r="L48" s="114" t="s">
        <v>1009</v>
      </c>
      <c r="M48" s="114"/>
      <c r="N48" s="114">
        <v>2</v>
      </c>
      <c r="O48" s="180">
        <v>0</v>
      </c>
      <c r="P48" s="180">
        <v>1</v>
      </c>
      <c r="Q48" s="180">
        <v>0</v>
      </c>
      <c r="R48" s="180"/>
      <c r="S48" s="179"/>
      <c r="T48" s="181" t="s">
        <v>1071</v>
      </c>
      <c r="U48" s="182" t="s">
        <v>1071</v>
      </c>
      <c r="V48" s="179"/>
      <c r="W48" s="114"/>
      <c r="X48" s="179"/>
      <c r="Y48" s="186" t="s">
        <v>1012</v>
      </c>
      <c r="Z48" s="183"/>
      <c r="AA48" s="184"/>
      <c r="AB48" s="182"/>
      <c r="AC48" s="114"/>
      <c r="AD48" s="114"/>
      <c r="AE48" s="114"/>
      <c r="AF48" s="114"/>
      <c r="AG48" s="114"/>
      <c r="AH48" s="106"/>
      <c r="AI48" s="114"/>
      <c r="AJ48" s="106"/>
      <c r="AK48" s="114"/>
      <c r="AL48" s="106"/>
      <c r="AM48" s="114"/>
      <c r="AN48" s="106"/>
      <c r="AO48" s="114"/>
      <c r="AP48" s="106"/>
      <c r="AQ48" s="114"/>
      <c r="AR48" s="106"/>
      <c r="AS48" s="114"/>
      <c r="AT48" s="106"/>
      <c r="AU48" s="114"/>
      <c r="AV48" s="106"/>
      <c r="AW48" s="114"/>
      <c r="AX48" s="157"/>
      <c r="AY48" s="157"/>
      <c r="AZ48" s="157"/>
      <c r="BA48" s="157"/>
      <c r="BB48" s="157"/>
      <c r="BC48" s="157"/>
    </row>
    <row r="49" spans="1:55" ht="13.8" x14ac:dyDescent="0.3">
      <c r="A49" s="114">
        <f t="shared" si="0"/>
        <v>46</v>
      </c>
      <c r="B49" s="179"/>
      <c r="C49" s="114">
        <v>0</v>
      </c>
      <c r="D49" s="114" t="s">
        <v>991</v>
      </c>
      <c r="E49" s="114" t="s">
        <v>1013</v>
      </c>
      <c r="F49" s="114" t="s">
        <v>923</v>
      </c>
      <c r="G49" s="114" t="s">
        <v>868</v>
      </c>
      <c r="H49" s="114"/>
      <c r="I49" s="114"/>
      <c r="J49" s="114"/>
      <c r="K49" s="114" t="s">
        <v>872</v>
      </c>
      <c r="L49" s="114" t="s">
        <v>1009</v>
      </c>
      <c r="M49" s="114"/>
      <c r="N49" s="114">
        <v>2</v>
      </c>
      <c r="O49" s="180">
        <v>0</v>
      </c>
      <c r="P49" s="180">
        <v>1</v>
      </c>
      <c r="Q49" s="180">
        <v>0</v>
      </c>
      <c r="R49" s="180"/>
      <c r="S49" s="179"/>
      <c r="T49" s="181" t="s">
        <v>1072</v>
      </c>
      <c r="U49" s="182" t="s">
        <v>1073</v>
      </c>
      <c r="V49" s="179"/>
      <c r="W49" s="114"/>
      <c r="X49" s="179"/>
      <c r="Y49" s="186" t="s">
        <v>1012</v>
      </c>
      <c r="Z49" s="183"/>
      <c r="AA49" s="184"/>
      <c r="AB49" s="182"/>
      <c r="AC49" s="114"/>
      <c r="AD49" s="114"/>
      <c r="AE49" s="114"/>
      <c r="AF49" s="114"/>
      <c r="AG49" s="114"/>
      <c r="AH49" s="106"/>
      <c r="AI49" s="114"/>
      <c r="AJ49" s="106"/>
      <c r="AK49" s="114"/>
      <c r="AL49" s="106"/>
      <c r="AM49" s="114"/>
      <c r="AN49" s="106"/>
      <c r="AO49" s="114"/>
      <c r="AP49" s="106"/>
      <c r="AQ49" s="114"/>
      <c r="AR49" s="106"/>
      <c r="AS49" s="114"/>
      <c r="AT49" s="106"/>
      <c r="AU49" s="114"/>
      <c r="AV49" s="106"/>
      <c r="AW49" s="114"/>
      <c r="AX49" s="157"/>
      <c r="AY49" s="157"/>
      <c r="AZ49" s="157"/>
      <c r="BA49" s="157"/>
      <c r="BB49" s="157"/>
      <c r="BC49" s="157"/>
    </row>
    <row r="50" spans="1:55" ht="13.8" x14ac:dyDescent="0.3">
      <c r="A50" s="114">
        <f t="shared" si="0"/>
        <v>47</v>
      </c>
      <c r="B50" s="179"/>
      <c r="C50" s="114">
        <v>0</v>
      </c>
      <c r="D50" s="114" t="s">
        <v>991</v>
      </c>
      <c r="E50" s="114" t="s">
        <v>1013</v>
      </c>
      <c r="F50" s="114" t="s">
        <v>923</v>
      </c>
      <c r="G50" s="114" t="s">
        <v>868</v>
      </c>
      <c r="H50" s="114"/>
      <c r="I50" s="114"/>
      <c r="J50" s="114"/>
      <c r="K50" s="114" t="s">
        <v>872</v>
      </c>
      <c r="L50" s="114" t="s">
        <v>1009</v>
      </c>
      <c r="M50" s="114"/>
      <c r="N50" s="114">
        <v>2</v>
      </c>
      <c r="O50" s="180">
        <v>0</v>
      </c>
      <c r="P50" s="180">
        <v>1</v>
      </c>
      <c r="Q50" s="180">
        <v>0</v>
      </c>
      <c r="R50" s="180"/>
      <c r="S50" s="179"/>
      <c r="T50" s="181" t="s">
        <v>1074</v>
      </c>
      <c r="U50" s="182" t="s">
        <v>1074</v>
      </c>
      <c r="V50" s="179"/>
      <c r="W50" s="114"/>
      <c r="X50" s="179"/>
      <c r="Y50" s="186" t="s">
        <v>1012</v>
      </c>
      <c r="Z50" s="183" t="s">
        <v>1052</v>
      </c>
      <c r="AA50" s="184"/>
      <c r="AB50" s="182"/>
      <c r="AC50" s="114"/>
      <c r="AD50" s="114"/>
      <c r="AE50" s="114"/>
      <c r="AF50" s="114"/>
      <c r="AG50" s="114"/>
      <c r="AH50" s="106"/>
      <c r="AI50" s="114"/>
      <c r="AJ50" s="106"/>
      <c r="AK50" s="114"/>
      <c r="AL50" s="106"/>
      <c r="AM50" s="114"/>
      <c r="AN50" s="106"/>
      <c r="AO50" s="114"/>
      <c r="AP50" s="106"/>
      <c r="AQ50" s="114"/>
      <c r="AR50" s="106"/>
      <c r="AS50" s="114"/>
      <c r="AT50" s="106"/>
      <c r="AU50" s="114"/>
      <c r="AV50" s="106"/>
      <c r="AW50" s="114"/>
      <c r="AX50" s="157"/>
      <c r="AY50" s="157"/>
      <c r="AZ50" s="157"/>
      <c r="BA50" s="157"/>
      <c r="BB50" s="157"/>
      <c r="BC50" s="157"/>
    </row>
    <row r="51" spans="1:55" ht="13.8" x14ac:dyDescent="0.3">
      <c r="A51" s="114">
        <f t="shared" si="0"/>
        <v>48</v>
      </c>
      <c r="B51" s="179"/>
      <c r="C51" s="114">
        <v>0</v>
      </c>
      <c r="D51" s="114" t="s">
        <v>991</v>
      </c>
      <c r="E51" s="114" t="s">
        <v>1013</v>
      </c>
      <c r="F51" s="114" t="s">
        <v>923</v>
      </c>
      <c r="G51" s="114" t="s">
        <v>868</v>
      </c>
      <c r="H51" s="114"/>
      <c r="I51" s="114"/>
      <c r="J51" s="114"/>
      <c r="K51" s="114" t="s">
        <v>872</v>
      </c>
      <c r="L51" s="114" t="s">
        <v>1009</v>
      </c>
      <c r="M51" s="114"/>
      <c r="N51" s="114">
        <v>2</v>
      </c>
      <c r="O51" s="180">
        <v>0</v>
      </c>
      <c r="P51" s="180">
        <v>1</v>
      </c>
      <c r="Q51" s="180">
        <v>0</v>
      </c>
      <c r="R51" s="180"/>
      <c r="S51" s="179"/>
      <c r="T51" s="181" t="s">
        <v>1075</v>
      </c>
      <c r="U51" s="182" t="s">
        <v>1075</v>
      </c>
      <c r="V51" s="179"/>
      <c r="W51" s="114"/>
      <c r="X51" s="179"/>
      <c r="Y51" s="186" t="s">
        <v>1012</v>
      </c>
      <c r="Z51" s="183"/>
      <c r="AA51" s="184"/>
      <c r="AB51" s="182"/>
      <c r="AC51" s="114"/>
      <c r="AD51" s="114"/>
      <c r="AE51" s="114"/>
      <c r="AF51" s="114"/>
      <c r="AG51" s="114"/>
      <c r="AH51" s="106"/>
      <c r="AI51" s="114"/>
      <c r="AJ51" s="106"/>
      <c r="AK51" s="114"/>
      <c r="AL51" s="106"/>
      <c r="AM51" s="114"/>
      <c r="AN51" s="106"/>
      <c r="AO51" s="114"/>
      <c r="AP51" s="106"/>
      <c r="AQ51" s="114"/>
      <c r="AR51" s="106"/>
      <c r="AS51" s="114"/>
      <c r="AT51" s="106"/>
      <c r="AU51" s="114"/>
      <c r="AV51" s="106"/>
      <c r="AW51" s="114"/>
      <c r="AX51" s="157"/>
      <c r="AY51" s="157"/>
      <c r="AZ51" s="157"/>
      <c r="BA51" s="157"/>
      <c r="BB51" s="157"/>
      <c r="BC51" s="157"/>
    </row>
    <row r="52" spans="1:55" ht="13.8" x14ac:dyDescent="0.3">
      <c r="A52" s="114">
        <f t="shared" si="0"/>
        <v>49</v>
      </c>
      <c r="B52" s="179"/>
      <c r="C52" s="114">
        <v>0</v>
      </c>
      <c r="D52" s="114" t="s">
        <v>991</v>
      </c>
      <c r="E52" s="114" t="s">
        <v>980</v>
      </c>
      <c r="F52" s="114" t="s">
        <v>923</v>
      </c>
      <c r="G52" s="114" t="s">
        <v>868</v>
      </c>
      <c r="H52" s="114"/>
      <c r="I52" s="114"/>
      <c r="J52" s="114"/>
      <c r="K52" s="114" t="s">
        <v>872</v>
      </c>
      <c r="L52" s="114" t="s">
        <v>1009</v>
      </c>
      <c r="M52" s="114"/>
      <c r="N52" s="114">
        <v>2</v>
      </c>
      <c r="O52" s="180">
        <v>0</v>
      </c>
      <c r="P52" s="180">
        <v>32767</v>
      </c>
      <c r="Q52" s="180">
        <v>0</v>
      </c>
      <c r="R52" s="180"/>
      <c r="S52" s="179"/>
      <c r="T52" s="181" t="s">
        <v>1076</v>
      </c>
      <c r="U52" s="182" t="s">
        <v>1077</v>
      </c>
      <c r="V52" s="179"/>
      <c r="W52" s="114"/>
      <c r="X52" s="179"/>
      <c r="Y52" s="186" t="s">
        <v>1012</v>
      </c>
      <c r="Z52" s="183" t="s">
        <v>1052</v>
      </c>
      <c r="AA52" s="184"/>
      <c r="AB52" s="182"/>
      <c r="AC52" s="114"/>
      <c r="AD52" s="114"/>
      <c r="AE52" s="114"/>
      <c r="AF52" s="114"/>
      <c r="AG52" s="114"/>
      <c r="AH52" s="106"/>
      <c r="AI52" s="114"/>
      <c r="AJ52" s="106"/>
      <c r="AK52" s="114"/>
      <c r="AL52" s="106"/>
      <c r="AM52" s="114"/>
      <c r="AN52" s="106"/>
      <c r="AO52" s="114"/>
      <c r="AP52" s="106"/>
      <c r="AQ52" s="114"/>
      <c r="AR52" s="106"/>
      <c r="AS52" s="114"/>
      <c r="AT52" s="106"/>
      <c r="AU52" s="114"/>
      <c r="AV52" s="106"/>
      <c r="AW52" s="114"/>
      <c r="AX52" s="157"/>
      <c r="AY52" s="157"/>
      <c r="AZ52" s="157"/>
      <c r="BA52" s="157"/>
      <c r="BB52" s="157"/>
      <c r="BC52" s="157"/>
    </row>
    <row r="53" spans="1:55" ht="13.8" x14ac:dyDescent="0.3">
      <c r="A53" s="114">
        <f t="shared" si="0"/>
        <v>50</v>
      </c>
      <c r="B53" s="179"/>
      <c r="C53" s="114">
        <v>0</v>
      </c>
      <c r="D53" s="114" t="s">
        <v>991</v>
      </c>
      <c r="E53" s="114" t="s">
        <v>980</v>
      </c>
      <c r="F53" s="114" t="s">
        <v>923</v>
      </c>
      <c r="G53" s="114" t="s">
        <v>868</v>
      </c>
      <c r="H53" s="114"/>
      <c r="I53" s="114"/>
      <c r="J53" s="114"/>
      <c r="K53" s="114" t="s">
        <v>872</v>
      </c>
      <c r="L53" s="114" t="s">
        <v>1009</v>
      </c>
      <c r="M53" s="114"/>
      <c r="N53" s="114">
        <v>2</v>
      </c>
      <c r="O53" s="180">
        <v>0</v>
      </c>
      <c r="P53" s="180">
        <v>32767</v>
      </c>
      <c r="Q53" s="180">
        <v>0</v>
      </c>
      <c r="R53" s="180"/>
      <c r="S53" s="179"/>
      <c r="T53" s="181" t="s">
        <v>1078</v>
      </c>
      <c r="U53" s="182" t="s">
        <v>1079</v>
      </c>
      <c r="V53" s="179"/>
      <c r="W53" s="114"/>
      <c r="X53" s="179"/>
      <c r="Y53" s="186" t="s">
        <v>1012</v>
      </c>
      <c r="Z53" s="183" t="s">
        <v>1052</v>
      </c>
      <c r="AA53" s="184"/>
      <c r="AB53" s="182"/>
      <c r="AC53" s="114"/>
      <c r="AD53" s="114"/>
      <c r="AE53" s="114"/>
      <c r="AF53" s="114"/>
      <c r="AG53" s="114"/>
      <c r="AH53" s="106"/>
      <c r="AI53" s="114"/>
      <c r="AJ53" s="106"/>
      <c r="AK53" s="114"/>
      <c r="AL53" s="106"/>
      <c r="AM53" s="114"/>
      <c r="AN53" s="106"/>
      <c r="AO53" s="114"/>
      <c r="AP53" s="106"/>
      <c r="AQ53" s="114"/>
      <c r="AR53" s="106"/>
      <c r="AS53" s="114"/>
      <c r="AT53" s="106"/>
      <c r="AU53" s="114"/>
      <c r="AV53" s="106"/>
      <c r="AW53" s="114"/>
      <c r="AX53" s="157"/>
      <c r="AY53" s="157"/>
      <c r="AZ53" s="157"/>
      <c r="BA53" s="157"/>
      <c r="BB53" s="157"/>
      <c r="BC53" s="157"/>
    </row>
    <row r="54" spans="1:55" ht="13.8" x14ac:dyDescent="0.3">
      <c r="A54" s="114">
        <f>A53+1</f>
        <v>51</v>
      </c>
      <c r="B54" s="179"/>
      <c r="C54" s="114">
        <v>0</v>
      </c>
      <c r="D54" s="114" t="s">
        <v>991</v>
      </c>
      <c r="E54" s="114" t="s">
        <v>966</v>
      </c>
      <c r="F54" s="114" t="s">
        <v>923</v>
      </c>
      <c r="G54" s="114" t="s">
        <v>868</v>
      </c>
      <c r="H54" s="114"/>
      <c r="I54" s="114"/>
      <c r="J54" s="114"/>
      <c r="K54" s="114" t="s">
        <v>872</v>
      </c>
      <c r="L54" s="114" t="s">
        <v>1009</v>
      </c>
      <c r="M54" s="114"/>
      <c r="N54" s="114">
        <v>2</v>
      </c>
      <c r="O54" s="180">
        <v>-2147483648</v>
      </c>
      <c r="P54" s="180">
        <v>2147483647</v>
      </c>
      <c r="Q54" s="180">
        <v>0</v>
      </c>
      <c r="R54" s="180"/>
      <c r="S54" s="180" t="s">
        <v>1036</v>
      </c>
      <c r="T54" s="181" t="s">
        <v>1080</v>
      </c>
      <c r="U54" s="182" t="s">
        <v>1081</v>
      </c>
      <c r="V54" s="179"/>
      <c r="W54" s="114"/>
      <c r="X54" s="179"/>
      <c r="Y54" s="186" t="s">
        <v>1012</v>
      </c>
      <c r="Z54" s="183"/>
      <c r="AA54" s="184"/>
      <c r="AB54" s="182"/>
      <c r="AC54" s="114"/>
      <c r="AD54" s="114"/>
      <c r="AE54" s="114"/>
      <c r="AF54" s="114"/>
      <c r="AG54" s="114"/>
      <c r="AH54" s="106"/>
      <c r="AI54" s="114"/>
      <c r="AJ54" s="106"/>
      <c r="AK54" s="114"/>
      <c r="AL54" s="106"/>
      <c r="AM54" s="114"/>
      <c r="AN54" s="106"/>
      <c r="AO54" s="114"/>
      <c r="AP54" s="106"/>
      <c r="AQ54" s="114"/>
      <c r="AR54" s="106"/>
      <c r="AS54" s="114"/>
      <c r="AT54" s="106"/>
      <c r="AU54" s="114"/>
      <c r="AV54" s="106"/>
      <c r="AW54" s="114"/>
      <c r="AX54" s="157"/>
      <c r="AY54" s="157"/>
      <c r="AZ54" s="157"/>
      <c r="BA54" s="157"/>
      <c r="BB54" s="157"/>
      <c r="BC54" s="157"/>
    </row>
    <row r="55" spans="1:55" ht="13.8" x14ac:dyDescent="0.3">
      <c r="A55" s="114">
        <f t="shared" si="0"/>
        <v>52</v>
      </c>
      <c r="B55" s="179"/>
      <c r="C55" s="114">
        <v>0</v>
      </c>
      <c r="D55" s="114" t="s">
        <v>991</v>
      </c>
      <c r="E55" s="114" t="s">
        <v>966</v>
      </c>
      <c r="F55" s="114" t="s">
        <v>923</v>
      </c>
      <c r="G55" s="114" t="s">
        <v>868</v>
      </c>
      <c r="H55" s="114"/>
      <c r="I55" s="114"/>
      <c r="J55" s="114"/>
      <c r="K55" s="114" t="s">
        <v>872</v>
      </c>
      <c r="L55" s="114" t="s">
        <v>1009</v>
      </c>
      <c r="M55" s="114"/>
      <c r="N55" s="114">
        <v>2</v>
      </c>
      <c r="O55" s="180">
        <v>-80000</v>
      </c>
      <c r="P55" s="180">
        <v>80000</v>
      </c>
      <c r="Q55" s="180">
        <v>0</v>
      </c>
      <c r="R55" s="180"/>
      <c r="S55" s="180" t="s">
        <v>1024</v>
      </c>
      <c r="T55" s="181" t="s">
        <v>1082</v>
      </c>
      <c r="U55" s="182" t="s">
        <v>1083</v>
      </c>
      <c r="V55" s="179"/>
      <c r="W55" s="114"/>
      <c r="X55" s="179"/>
      <c r="Y55" s="186" t="s">
        <v>1012</v>
      </c>
      <c r="Z55" s="183"/>
      <c r="AA55" s="184"/>
      <c r="AB55" s="182"/>
      <c r="AC55" s="114"/>
      <c r="AD55" s="114"/>
      <c r="AE55" s="114"/>
      <c r="AF55" s="114"/>
      <c r="AG55" s="114"/>
      <c r="AH55" s="106"/>
      <c r="AI55" s="114"/>
      <c r="AJ55" s="106"/>
      <c r="AK55" s="114"/>
      <c r="AL55" s="106"/>
      <c r="AM55" s="114"/>
      <c r="AN55" s="106"/>
      <c r="AO55" s="114"/>
      <c r="AP55" s="106"/>
      <c r="AQ55" s="114"/>
      <c r="AR55" s="106"/>
      <c r="AS55" s="114"/>
      <c r="AT55" s="106"/>
      <c r="AU55" s="114"/>
      <c r="AV55" s="106"/>
      <c r="AW55" s="114"/>
      <c r="AX55" s="157"/>
      <c r="AY55" s="157"/>
      <c r="AZ55" s="157"/>
      <c r="BA55" s="157"/>
      <c r="BB55" s="157"/>
      <c r="BC55" s="157"/>
    </row>
    <row r="56" spans="1:55" ht="13.8" x14ac:dyDescent="0.3">
      <c r="A56" s="114">
        <f t="shared" si="0"/>
        <v>53</v>
      </c>
      <c r="B56" s="179"/>
      <c r="C56" s="114">
        <v>0</v>
      </c>
      <c r="D56" s="114" t="s">
        <v>991</v>
      </c>
      <c r="E56" s="114" t="s">
        <v>966</v>
      </c>
      <c r="F56" s="114" t="s">
        <v>923</v>
      </c>
      <c r="G56" s="114" t="s">
        <v>868</v>
      </c>
      <c r="H56" s="114"/>
      <c r="I56" s="114"/>
      <c r="J56" s="114"/>
      <c r="K56" s="114" t="s">
        <v>872</v>
      </c>
      <c r="L56" s="114" t="s">
        <v>1009</v>
      </c>
      <c r="M56" s="114"/>
      <c r="N56" s="114">
        <v>2</v>
      </c>
      <c r="O56" s="180">
        <v>-4000</v>
      </c>
      <c r="P56" s="180">
        <v>4000</v>
      </c>
      <c r="Q56" s="180">
        <v>0</v>
      </c>
      <c r="R56" s="180"/>
      <c r="S56" s="180" t="s">
        <v>1044</v>
      </c>
      <c r="T56" s="181" t="s">
        <v>1084</v>
      </c>
      <c r="U56" s="182" t="s">
        <v>1085</v>
      </c>
      <c r="V56" s="179"/>
      <c r="W56" s="114"/>
      <c r="X56" s="179"/>
      <c r="Y56" s="186" t="s">
        <v>1012</v>
      </c>
      <c r="Z56" s="183" t="s">
        <v>1026</v>
      </c>
      <c r="AA56" s="184"/>
      <c r="AB56" s="182"/>
      <c r="AC56" s="114"/>
      <c r="AD56" s="114"/>
      <c r="AE56" s="114"/>
      <c r="AF56" s="114"/>
      <c r="AG56" s="114"/>
      <c r="AH56" s="106"/>
      <c r="AI56" s="114"/>
      <c r="AJ56" s="106"/>
      <c r="AK56" s="114"/>
      <c r="AL56" s="106"/>
      <c r="AM56" s="114"/>
      <c r="AN56" s="106"/>
      <c r="AO56" s="114"/>
      <c r="AP56" s="106"/>
      <c r="AQ56" s="114"/>
      <c r="AR56" s="106"/>
      <c r="AS56" s="114"/>
      <c r="AT56" s="106"/>
      <c r="AU56" s="114"/>
      <c r="AV56" s="106"/>
      <c r="AW56" s="114"/>
      <c r="AX56" s="157"/>
      <c r="AY56" s="157"/>
      <c r="AZ56" s="157"/>
      <c r="BA56" s="157"/>
      <c r="BB56" s="157"/>
      <c r="BC56" s="157"/>
    </row>
    <row r="57" spans="1:55" ht="13.8" x14ac:dyDescent="0.3">
      <c r="A57" s="114">
        <f t="shared" si="0"/>
        <v>54</v>
      </c>
      <c r="B57" s="179"/>
      <c r="C57" s="114">
        <v>0</v>
      </c>
      <c r="D57" s="114" t="s">
        <v>991</v>
      </c>
      <c r="E57" s="114" t="s">
        <v>1008</v>
      </c>
      <c r="F57" s="114" t="s">
        <v>923</v>
      </c>
      <c r="G57" s="114" t="s">
        <v>868</v>
      </c>
      <c r="H57" s="114"/>
      <c r="I57" s="114"/>
      <c r="J57" s="114"/>
      <c r="K57" s="114" t="s">
        <v>872</v>
      </c>
      <c r="L57" s="114" t="s">
        <v>1009</v>
      </c>
      <c r="M57" s="114"/>
      <c r="N57" s="114">
        <v>2</v>
      </c>
      <c r="O57" s="180">
        <v>0</v>
      </c>
      <c r="P57" s="180">
        <v>99</v>
      </c>
      <c r="Q57" s="180">
        <v>0</v>
      </c>
      <c r="R57" s="180"/>
      <c r="S57" s="179"/>
      <c r="T57" s="181" t="s">
        <v>1086</v>
      </c>
      <c r="U57" s="182" t="s">
        <v>1087</v>
      </c>
      <c r="V57" s="179"/>
      <c r="W57" s="114"/>
      <c r="X57" s="179"/>
      <c r="Y57" s="186" t="s">
        <v>1012</v>
      </c>
      <c r="Z57" s="183"/>
      <c r="AA57" s="184"/>
      <c r="AB57" s="182"/>
      <c r="AC57" s="114"/>
      <c r="AD57" s="114"/>
      <c r="AE57" s="114"/>
      <c r="AF57" s="114"/>
      <c r="AG57" s="114"/>
      <c r="AH57" s="106"/>
      <c r="AI57" s="114"/>
      <c r="AJ57" s="106"/>
      <c r="AK57" s="114"/>
      <c r="AL57" s="106"/>
      <c r="AM57" s="114"/>
      <c r="AN57" s="106"/>
      <c r="AO57" s="114"/>
      <c r="AP57" s="106"/>
      <c r="AQ57" s="114"/>
      <c r="AR57" s="106"/>
      <c r="AS57" s="114"/>
      <c r="AT57" s="106"/>
      <c r="AU57" s="114"/>
      <c r="AV57" s="106"/>
      <c r="AW57" s="114"/>
      <c r="AX57" s="157"/>
      <c r="AY57" s="157"/>
      <c r="AZ57" s="157"/>
      <c r="BA57" s="157"/>
      <c r="BB57" s="157"/>
      <c r="BC57" s="157"/>
    </row>
    <row r="58" spans="1:55" ht="13.8" x14ac:dyDescent="0.3">
      <c r="A58" s="114">
        <f>A57+1</f>
        <v>55</v>
      </c>
      <c r="B58" s="179" t="s">
        <v>1088</v>
      </c>
      <c r="C58" s="114">
        <v>0</v>
      </c>
      <c r="D58" s="114" t="s">
        <v>991</v>
      </c>
      <c r="E58" s="114" t="s">
        <v>944</v>
      </c>
      <c r="F58" s="114" t="s">
        <v>923</v>
      </c>
      <c r="G58" s="114" t="s">
        <v>868</v>
      </c>
      <c r="H58" s="114"/>
      <c r="I58" s="114"/>
      <c r="J58" s="114" t="s">
        <v>871</v>
      </c>
      <c r="K58" s="114"/>
      <c r="L58" s="114"/>
      <c r="M58" s="114"/>
      <c r="N58" s="114">
        <v>4</v>
      </c>
      <c r="O58" s="180">
        <v>0</v>
      </c>
      <c r="P58" s="180" t="s">
        <v>1089</v>
      </c>
      <c r="Q58" s="180">
        <v>0</v>
      </c>
      <c r="R58" s="180"/>
      <c r="S58" s="180"/>
      <c r="T58" s="181" t="s">
        <v>1090</v>
      </c>
      <c r="U58" s="179" t="s">
        <v>1091</v>
      </c>
      <c r="V58" s="179" t="s">
        <v>1092</v>
      </c>
      <c r="W58" s="114" t="str">
        <f>CONCATENATE("0x",TEXT(DEC2HEX(HEX2DEC("0")*256+(25)*2, 4),"0000"))</f>
        <v>0x0032</v>
      </c>
      <c r="X58" s="180">
        <v>32</v>
      </c>
      <c r="Y58" s="186" t="s">
        <v>913</v>
      </c>
      <c r="Z58" s="183" t="s">
        <v>1093</v>
      </c>
      <c r="AA58" s="184"/>
      <c r="AB58" s="182"/>
      <c r="AC58" s="114"/>
      <c r="AD58" s="114"/>
      <c r="AE58" s="114"/>
      <c r="AF58" s="114"/>
      <c r="AG58" s="114"/>
      <c r="AH58" s="106"/>
      <c r="AI58" s="114"/>
      <c r="AJ58" s="106"/>
      <c r="AK58" s="114"/>
      <c r="AL58" s="106"/>
      <c r="AM58" s="114"/>
      <c r="AN58" s="106"/>
      <c r="AO58" s="114"/>
      <c r="AP58" s="106"/>
      <c r="AQ58" s="114"/>
      <c r="AR58" s="106"/>
      <c r="AS58" s="114"/>
      <c r="AT58" s="106"/>
      <c r="AU58" s="114"/>
      <c r="AV58" s="106"/>
      <c r="AW58" s="114"/>
      <c r="AX58" s="157"/>
      <c r="AY58" s="157"/>
      <c r="AZ58" s="157"/>
      <c r="BA58" s="157"/>
      <c r="BB58" s="157"/>
      <c r="BC58" s="157"/>
    </row>
    <row r="59" spans="1:55" ht="13.8" x14ac:dyDescent="0.3">
      <c r="A59" s="114">
        <f t="shared" ref="A59:A70" si="1">A58+1</f>
        <v>56</v>
      </c>
      <c r="B59" s="179" t="s">
        <v>1094</v>
      </c>
      <c r="C59" s="114">
        <v>0</v>
      </c>
      <c r="D59" s="114" t="s">
        <v>991</v>
      </c>
      <c r="E59" s="114" t="s">
        <v>944</v>
      </c>
      <c r="F59" s="114" t="s">
        <v>923</v>
      </c>
      <c r="G59" s="114" t="s">
        <v>868</v>
      </c>
      <c r="H59" s="114"/>
      <c r="I59" s="114"/>
      <c r="J59" s="114" t="s">
        <v>871</v>
      </c>
      <c r="K59" s="114"/>
      <c r="L59" s="114"/>
      <c r="M59" s="114"/>
      <c r="N59" s="114">
        <v>4</v>
      </c>
      <c r="O59" s="180">
        <v>0</v>
      </c>
      <c r="P59" s="180" t="s">
        <v>1089</v>
      </c>
      <c r="Q59" s="180">
        <v>0</v>
      </c>
      <c r="R59" s="180"/>
      <c r="S59" s="180"/>
      <c r="T59" s="181" t="s">
        <v>1095</v>
      </c>
      <c r="U59" s="179" t="s">
        <v>1096</v>
      </c>
      <c r="V59" s="179" t="s">
        <v>1097</v>
      </c>
      <c r="W59" s="114" t="str">
        <f>CONCATENATE("0x",TEXT(DEC2HEX(HEX2DEC("0")*256+(26)*2, 4),"0000"))</f>
        <v>0x0034</v>
      </c>
      <c r="X59" s="180">
        <v>32</v>
      </c>
      <c r="Y59" s="186" t="s">
        <v>913</v>
      </c>
      <c r="Z59" s="183" t="s">
        <v>1093</v>
      </c>
      <c r="AA59" s="184"/>
      <c r="AB59" s="182"/>
      <c r="AC59" s="114"/>
      <c r="AD59" s="114"/>
      <c r="AE59" s="114"/>
      <c r="AF59" s="114"/>
      <c r="AG59" s="114"/>
      <c r="AH59" s="106"/>
      <c r="AI59" s="114"/>
      <c r="AJ59" s="106"/>
      <c r="AK59" s="114"/>
      <c r="AL59" s="106"/>
      <c r="AM59" s="114"/>
      <c r="AN59" s="106"/>
      <c r="AO59" s="114"/>
      <c r="AP59" s="106"/>
      <c r="AQ59" s="114"/>
      <c r="AR59" s="106"/>
      <c r="AS59" s="114"/>
      <c r="AT59" s="106"/>
      <c r="AU59" s="114"/>
      <c r="AV59" s="106"/>
      <c r="AW59" s="114"/>
      <c r="AX59" s="157"/>
      <c r="AY59" s="157"/>
      <c r="AZ59" s="157"/>
      <c r="BA59" s="157"/>
      <c r="BB59" s="157"/>
      <c r="BC59" s="157"/>
    </row>
    <row r="60" spans="1:55" ht="13.8" x14ac:dyDescent="0.3">
      <c r="A60" s="114">
        <f t="shared" si="1"/>
        <v>57</v>
      </c>
      <c r="B60" s="179" t="s">
        <v>1098</v>
      </c>
      <c r="C60" s="114">
        <v>0</v>
      </c>
      <c r="D60" s="114" t="s">
        <v>991</v>
      </c>
      <c r="E60" s="114" t="s">
        <v>944</v>
      </c>
      <c r="F60" s="114" t="s">
        <v>923</v>
      </c>
      <c r="G60" s="114" t="s">
        <v>868</v>
      </c>
      <c r="H60" s="114"/>
      <c r="I60" s="114"/>
      <c r="J60" s="114" t="s">
        <v>871</v>
      </c>
      <c r="K60" s="114"/>
      <c r="L60" s="114"/>
      <c r="M60" s="114"/>
      <c r="N60" s="114">
        <v>4</v>
      </c>
      <c r="O60" s="180">
        <v>0</v>
      </c>
      <c r="P60" s="180" t="s">
        <v>1089</v>
      </c>
      <c r="Q60" s="180">
        <v>0</v>
      </c>
      <c r="R60" s="180"/>
      <c r="S60" s="180"/>
      <c r="T60" s="181" t="s">
        <v>1099</v>
      </c>
      <c r="U60" s="179" t="s">
        <v>1100</v>
      </c>
      <c r="V60" s="179" t="s">
        <v>1101</v>
      </c>
      <c r="W60" s="114" t="str">
        <f>CONCATENATE("0x",TEXT(DEC2HEX(HEX2DEC("0")*256+(27)*2, 4),"0000"))</f>
        <v>0x0036</v>
      </c>
      <c r="X60" s="180">
        <v>32</v>
      </c>
      <c r="Y60" s="186" t="s">
        <v>913</v>
      </c>
      <c r="Z60" s="183" t="s">
        <v>1093</v>
      </c>
      <c r="AA60" s="184"/>
      <c r="AB60" s="182"/>
      <c r="AC60" s="114"/>
      <c r="AD60" s="114"/>
      <c r="AE60" s="114"/>
      <c r="AF60" s="114"/>
      <c r="AG60" s="114"/>
      <c r="AH60" s="106"/>
      <c r="AI60" s="114"/>
      <c r="AJ60" s="106"/>
      <c r="AK60" s="114"/>
      <c r="AL60" s="106"/>
      <c r="AM60" s="114"/>
      <c r="AN60" s="106"/>
      <c r="AO60" s="114"/>
      <c r="AP60" s="106"/>
      <c r="AQ60" s="114"/>
      <c r="AR60" s="106"/>
      <c r="AS60" s="114"/>
      <c r="AT60" s="106"/>
      <c r="AU60" s="114"/>
      <c r="AV60" s="106"/>
      <c r="AW60" s="114"/>
      <c r="AX60" s="157"/>
      <c r="AY60" s="157"/>
      <c r="AZ60" s="157"/>
      <c r="BA60" s="157"/>
      <c r="BB60" s="157"/>
      <c r="BC60" s="157"/>
    </row>
    <row r="61" spans="1:55" ht="13.8" x14ac:dyDescent="0.3">
      <c r="A61" s="114">
        <f t="shared" si="1"/>
        <v>58</v>
      </c>
      <c r="B61" s="179" t="s">
        <v>1102</v>
      </c>
      <c r="C61" s="114">
        <v>0</v>
      </c>
      <c r="D61" s="114" t="s">
        <v>991</v>
      </c>
      <c r="E61" s="114" t="s">
        <v>944</v>
      </c>
      <c r="F61" s="114" t="s">
        <v>923</v>
      </c>
      <c r="G61" s="114" t="s">
        <v>868</v>
      </c>
      <c r="H61" s="114"/>
      <c r="I61" s="114"/>
      <c r="J61" s="114" t="s">
        <v>871</v>
      </c>
      <c r="K61" s="114"/>
      <c r="L61" s="114"/>
      <c r="M61" s="114"/>
      <c r="N61" s="114">
        <v>4</v>
      </c>
      <c r="O61" s="180">
        <v>0</v>
      </c>
      <c r="P61" s="180" t="s">
        <v>1089</v>
      </c>
      <c r="Q61" s="180">
        <v>0</v>
      </c>
      <c r="R61" s="180"/>
      <c r="S61" s="180"/>
      <c r="T61" s="181" t="s">
        <v>1103</v>
      </c>
      <c r="U61" s="179" t="s">
        <v>1104</v>
      </c>
      <c r="V61" s="179" t="s">
        <v>1105</v>
      </c>
      <c r="W61" s="114" t="str">
        <f>CONCATENATE("0x",TEXT(DEC2HEX(HEX2DEC("0")*256+(28)*2, 4),"0000"))</f>
        <v>0x0038</v>
      </c>
      <c r="X61" s="180">
        <v>32</v>
      </c>
      <c r="Y61" s="186" t="s">
        <v>913</v>
      </c>
      <c r="Z61" s="183" t="s">
        <v>1093</v>
      </c>
      <c r="AA61" s="184"/>
      <c r="AB61" s="182"/>
      <c r="AC61" s="114"/>
      <c r="AD61" s="114"/>
      <c r="AE61" s="114"/>
      <c r="AF61" s="114"/>
      <c r="AG61" s="114"/>
      <c r="AH61" s="106"/>
      <c r="AI61" s="114"/>
      <c r="AJ61" s="106"/>
      <c r="AK61" s="114"/>
      <c r="AL61" s="106"/>
      <c r="AM61" s="114"/>
      <c r="AN61" s="106"/>
      <c r="AO61" s="114"/>
      <c r="AP61" s="106"/>
      <c r="AQ61" s="114"/>
      <c r="AR61" s="106"/>
      <c r="AS61" s="114"/>
      <c r="AT61" s="106"/>
      <c r="AU61" s="114"/>
      <c r="AV61" s="106"/>
      <c r="AW61" s="114"/>
      <c r="AX61" s="157"/>
      <c r="AY61" s="157"/>
      <c r="AZ61" s="157"/>
      <c r="BA61" s="157"/>
      <c r="BB61" s="157"/>
      <c r="BC61" s="157"/>
    </row>
    <row r="62" spans="1:55" x14ac:dyDescent="0.3">
      <c r="A62" s="114">
        <f t="shared" si="1"/>
        <v>59</v>
      </c>
      <c r="B62" s="179" t="s">
        <v>1106</v>
      </c>
      <c r="C62" s="114">
        <v>0</v>
      </c>
      <c r="D62" s="114" t="s">
        <v>991</v>
      </c>
      <c r="E62" s="114" t="s">
        <v>944</v>
      </c>
      <c r="F62" s="114" t="s">
        <v>923</v>
      </c>
      <c r="G62" s="114" t="s">
        <v>868</v>
      </c>
      <c r="H62" s="114"/>
      <c r="I62" s="114"/>
      <c r="J62" s="114" t="s">
        <v>871</v>
      </c>
      <c r="K62" s="114"/>
      <c r="L62" s="114"/>
      <c r="M62" s="114"/>
      <c r="N62" s="114">
        <v>4</v>
      </c>
      <c r="O62" s="180">
        <v>0</v>
      </c>
      <c r="P62" s="180" t="s">
        <v>1089</v>
      </c>
      <c r="Q62" s="180">
        <v>0</v>
      </c>
      <c r="R62" s="180"/>
      <c r="S62" s="180"/>
      <c r="T62" s="181" t="s">
        <v>1107</v>
      </c>
      <c r="U62" s="179" t="s">
        <v>1108</v>
      </c>
      <c r="V62" s="179" t="s">
        <v>1109</v>
      </c>
      <c r="W62" s="114" t="str">
        <f>CONCATENATE("0x",TEXT(DEC2HEX(HEX2DEC("0")*256+(29)*2, 4),"0000"))</f>
        <v>0x003A</v>
      </c>
      <c r="X62" s="180">
        <v>32</v>
      </c>
      <c r="Y62" s="182" t="s">
        <v>913</v>
      </c>
      <c r="Z62" s="183" t="s">
        <v>1093</v>
      </c>
      <c r="AA62" s="184"/>
      <c r="AB62" s="182"/>
      <c r="AC62" s="114"/>
      <c r="AD62" s="114"/>
      <c r="AE62" s="114"/>
      <c r="AF62" s="114"/>
      <c r="AG62" s="114"/>
      <c r="AH62" s="106"/>
      <c r="AI62" s="114"/>
      <c r="AJ62" s="106"/>
      <c r="AK62" s="114"/>
      <c r="AL62" s="106"/>
      <c r="AM62" s="114"/>
      <c r="AN62" s="106"/>
      <c r="AO62" s="114"/>
      <c r="AP62" s="106"/>
      <c r="AQ62" s="114"/>
      <c r="AR62" s="106"/>
      <c r="AS62" s="114"/>
      <c r="AT62" s="106"/>
      <c r="AU62" s="114"/>
      <c r="AV62" s="106"/>
      <c r="AW62" s="114"/>
      <c r="AX62" s="157"/>
      <c r="AY62" s="157"/>
      <c r="AZ62" s="157"/>
      <c r="BA62" s="157"/>
      <c r="BB62" s="157"/>
      <c r="BC62" s="157"/>
    </row>
    <row r="63" spans="1:55" x14ac:dyDescent="0.3">
      <c r="A63" s="114">
        <f t="shared" si="1"/>
        <v>60</v>
      </c>
      <c r="B63" s="179" t="s">
        <v>1110</v>
      </c>
      <c r="C63" s="114">
        <v>0</v>
      </c>
      <c r="D63" s="114" t="s">
        <v>991</v>
      </c>
      <c r="E63" s="114" t="s">
        <v>929</v>
      </c>
      <c r="F63" s="114" t="s">
        <v>909</v>
      </c>
      <c r="G63" s="114"/>
      <c r="H63" s="114"/>
      <c r="I63" s="114"/>
      <c r="J63" s="114"/>
      <c r="K63" s="114"/>
      <c r="L63" s="114"/>
      <c r="M63" s="114"/>
      <c r="N63" s="114">
        <v>4</v>
      </c>
      <c r="O63" s="180">
        <v>1</v>
      </c>
      <c r="P63" s="180">
        <v>687</v>
      </c>
      <c r="Q63" s="180">
        <v>1</v>
      </c>
      <c r="R63" s="180"/>
      <c r="S63" s="180"/>
      <c r="T63" s="181" t="s">
        <v>1111</v>
      </c>
      <c r="U63" s="179" t="s">
        <v>1112</v>
      </c>
      <c r="V63" s="179" t="s">
        <v>1113</v>
      </c>
      <c r="W63" s="114" t="str">
        <f>CONCATENATE("0x",TEXT(DEC2HEX(HEX2DEC("0")*256+(35)*2, 4),"0000"))</f>
        <v>0x0046</v>
      </c>
      <c r="X63" s="179">
        <v>16</v>
      </c>
      <c r="Y63" s="182" t="s">
        <v>913</v>
      </c>
      <c r="Z63" s="183" t="s">
        <v>1093</v>
      </c>
      <c r="AA63" s="184"/>
      <c r="AB63" s="182"/>
      <c r="AC63" s="114">
        <v>1</v>
      </c>
      <c r="AD63" s="172" t="s">
        <v>887</v>
      </c>
      <c r="AE63" s="114"/>
      <c r="AF63" s="114"/>
      <c r="AG63" s="114"/>
      <c r="AH63" s="106"/>
      <c r="AI63" s="114"/>
      <c r="AJ63" s="106"/>
      <c r="AK63" s="114"/>
      <c r="AL63" s="106"/>
      <c r="AM63" s="114"/>
      <c r="AN63" s="106"/>
      <c r="AO63" s="114"/>
      <c r="AP63" s="106"/>
      <c r="AQ63" s="114"/>
      <c r="AR63" s="106"/>
      <c r="AS63" s="114"/>
      <c r="AT63" s="106"/>
      <c r="AU63" s="114"/>
      <c r="AV63" s="106"/>
      <c r="AW63" s="114"/>
      <c r="AX63" s="157"/>
      <c r="AY63" s="157"/>
      <c r="AZ63" s="157"/>
      <c r="BA63" s="157"/>
      <c r="BB63" s="157"/>
      <c r="BC63" s="157"/>
    </row>
    <row r="64" spans="1:55" x14ac:dyDescent="0.3">
      <c r="A64" s="114">
        <f t="shared" si="1"/>
        <v>61</v>
      </c>
      <c r="B64" s="179" t="s">
        <v>1114</v>
      </c>
      <c r="C64" s="114">
        <v>0</v>
      </c>
      <c r="D64" s="114" t="s">
        <v>991</v>
      </c>
      <c r="E64" s="114" t="s">
        <v>929</v>
      </c>
      <c r="F64" s="114" t="s">
        <v>909</v>
      </c>
      <c r="G64" s="114"/>
      <c r="H64" s="114"/>
      <c r="I64" s="114"/>
      <c r="J64" s="114"/>
      <c r="K64" s="114"/>
      <c r="L64" s="114"/>
      <c r="M64" s="114"/>
      <c r="N64" s="114">
        <v>4</v>
      </c>
      <c r="O64" s="180">
        <v>1</v>
      </c>
      <c r="P64" s="180">
        <v>687</v>
      </c>
      <c r="Q64" s="180">
        <v>1</v>
      </c>
      <c r="R64" s="180"/>
      <c r="S64" s="180"/>
      <c r="T64" s="181" t="s">
        <v>1115</v>
      </c>
      <c r="U64" s="179" t="s">
        <v>1116</v>
      </c>
      <c r="V64" s="179" t="s">
        <v>1117</v>
      </c>
      <c r="W64" s="114" t="str">
        <f>CONCATENATE("0x",TEXT(DEC2HEX(HEX2DEC("0")*256+(36)*2, 4),"0000"))</f>
        <v>0x0048</v>
      </c>
      <c r="X64" s="179">
        <v>16</v>
      </c>
      <c r="Y64" s="182" t="s">
        <v>913</v>
      </c>
      <c r="Z64" s="183" t="s">
        <v>1093</v>
      </c>
      <c r="AA64" s="184"/>
      <c r="AB64" s="182"/>
      <c r="AC64" s="114">
        <v>1</v>
      </c>
      <c r="AD64" s="172" t="s">
        <v>887</v>
      </c>
      <c r="AE64" s="114"/>
      <c r="AF64" s="114"/>
      <c r="AG64" s="114"/>
      <c r="AH64" s="106"/>
      <c r="AI64" s="114"/>
      <c r="AJ64" s="106"/>
      <c r="AK64" s="114"/>
      <c r="AL64" s="106"/>
      <c r="AM64" s="114"/>
      <c r="AN64" s="106"/>
      <c r="AO64" s="114"/>
      <c r="AP64" s="106"/>
      <c r="AQ64" s="114"/>
      <c r="AR64" s="106"/>
      <c r="AS64" s="114"/>
      <c r="AT64" s="106"/>
      <c r="AU64" s="114"/>
      <c r="AV64" s="106"/>
      <c r="AW64" s="114"/>
      <c r="AX64" s="157"/>
      <c r="AY64" s="157"/>
      <c r="AZ64" s="157"/>
      <c r="BA64" s="157"/>
      <c r="BB64" s="157"/>
      <c r="BC64" s="157"/>
    </row>
    <row r="65" spans="1:55" x14ac:dyDescent="0.3">
      <c r="A65" s="114">
        <f t="shared" si="1"/>
        <v>62</v>
      </c>
      <c r="B65" s="179" t="s">
        <v>1118</v>
      </c>
      <c r="C65" s="114">
        <v>0</v>
      </c>
      <c r="D65" s="114" t="s">
        <v>991</v>
      </c>
      <c r="E65" s="114" t="s">
        <v>929</v>
      </c>
      <c r="F65" s="114" t="s">
        <v>909</v>
      </c>
      <c r="G65" s="114"/>
      <c r="H65" s="114"/>
      <c r="I65" s="114"/>
      <c r="J65" s="114"/>
      <c r="K65" s="114"/>
      <c r="L65" s="114"/>
      <c r="M65" s="114"/>
      <c r="N65" s="114">
        <v>4</v>
      </c>
      <c r="O65" s="180">
        <v>1</v>
      </c>
      <c r="P65" s="180">
        <v>687</v>
      </c>
      <c r="Q65" s="180">
        <v>1</v>
      </c>
      <c r="R65" s="180"/>
      <c r="S65" s="180"/>
      <c r="T65" s="181" t="s">
        <v>1119</v>
      </c>
      <c r="U65" s="179" t="s">
        <v>1120</v>
      </c>
      <c r="V65" s="179" t="s">
        <v>1121</v>
      </c>
      <c r="W65" s="114" t="str">
        <f>CONCATENATE("0x",TEXT(DEC2HEX(HEX2DEC("0")*256+(37)*2, 4),"0000"))</f>
        <v>0x004A</v>
      </c>
      <c r="X65" s="179">
        <v>16</v>
      </c>
      <c r="Y65" s="182" t="s">
        <v>913</v>
      </c>
      <c r="Z65" s="183" t="s">
        <v>1093</v>
      </c>
      <c r="AA65" s="184"/>
      <c r="AB65" s="182"/>
      <c r="AC65" s="114">
        <v>1</v>
      </c>
      <c r="AD65" s="172" t="s">
        <v>887</v>
      </c>
      <c r="AE65" s="114"/>
      <c r="AF65" s="114"/>
      <c r="AG65" s="114"/>
      <c r="AH65" s="106"/>
      <c r="AI65" s="114"/>
      <c r="AJ65" s="106"/>
      <c r="AK65" s="114"/>
      <c r="AL65" s="106"/>
      <c r="AM65" s="114"/>
      <c r="AN65" s="106"/>
      <c r="AO65" s="114"/>
      <c r="AP65" s="106"/>
      <c r="AQ65" s="114"/>
      <c r="AR65" s="106"/>
      <c r="AS65" s="114"/>
      <c r="AT65" s="106"/>
      <c r="AU65" s="114"/>
      <c r="AV65" s="106"/>
      <c r="AW65" s="114"/>
      <c r="AX65" s="157"/>
      <c r="AY65" s="157"/>
      <c r="AZ65" s="157"/>
      <c r="BA65" s="157"/>
      <c r="BB65" s="157"/>
      <c r="BC65" s="157"/>
    </row>
    <row r="66" spans="1:55" x14ac:dyDescent="0.3">
      <c r="A66" s="114">
        <f t="shared" si="1"/>
        <v>63</v>
      </c>
      <c r="B66" s="179" t="s">
        <v>1122</v>
      </c>
      <c r="C66" s="114">
        <v>0</v>
      </c>
      <c r="D66" s="114" t="s">
        <v>991</v>
      </c>
      <c r="E66" s="114" t="s">
        <v>929</v>
      </c>
      <c r="F66" s="114" t="s">
        <v>909</v>
      </c>
      <c r="G66" s="114"/>
      <c r="H66" s="114"/>
      <c r="I66" s="114"/>
      <c r="J66" s="114"/>
      <c r="K66" s="114"/>
      <c r="L66" s="114"/>
      <c r="M66" s="114"/>
      <c r="N66" s="114">
        <v>4</v>
      </c>
      <c r="O66" s="180">
        <v>1</v>
      </c>
      <c r="P66" s="180">
        <v>687</v>
      </c>
      <c r="Q66" s="180">
        <v>1</v>
      </c>
      <c r="R66" s="180"/>
      <c r="S66" s="180"/>
      <c r="T66" s="181" t="s">
        <v>1123</v>
      </c>
      <c r="U66" s="179" t="s">
        <v>1124</v>
      </c>
      <c r="V66" s="179" t="s">
        <v>1125</v>
      </c>
      <c r="W66" s="114" t="str">
        <f>CONCATENATE("0x",TEXT(DEC2HEX(HEX2DEC("0")*256+(38)*2, 4),"0000"))</f>
        <v>0x004C</v>
      </c>
      <c r="X66" s="179">
        <v>16</v>
      </c>
      <c r="Y66" s="182" t="s">
        <v>913</v>
      </c>
      <c r="Z66" s="183" t="s">
        <v>1093</v>
      </c>
      <c r="AA66" s="184"/>
      <c r="AB66" s="182"/>
      <c r="AC66" s="114">
        <v>1</v>
      </c>
      <c r="AD66" s="172" t="s">
        <v>887</v>
      </c>
      <c r="AE66" s="114"/>
      <c r="AF66" s="114"/>
      <c r="AG66" s="114"/>
      <c r="AH66" s="106"/>
      <c r="AI66" s="114"/>
      <c r="AJ66" s="106"/>
      <c r="AK66" s="114"/>
      <c r="AL66" s="106"/>
      <c r="AM66" s="114"/>
      <c r="AN66" s="106"/>
      <c r="AO66" s="114"/>
      <c r="AP66" s="106"/>
      <c r="AQ66" s="114"/>
      <c r="AR66" s="106"/>
      <c r="AS66" s="114"/>
      <c r="AT66" s="106"/>
      <c r="AU66" s="114"/>
      <c r="AV66" s="106"/>
      <c r="AW66" s="114"/>
      <c r="AX66" s="157"/>
      <c r="AY66" s="157"/>
      <c r="AZ66" s="157"/>
      <c r="BA66" s="157"/>
      <c r="BB66" s="157"/>
      <c r="BC66" s="157"/>
    </row>
    <row r="67" spans="1:55" x14ac:dyDescent="0.3">
      <c r="A67" s="114">
        <f t="shared" si="1"/>
        <v>64</v>
      </c>
      <c r="B67" s="179" t="s">
        <v>1126</v>
      </c>
      <c r="C67" s="114">
        <v>0</v>
      </c>
      <c r="D67" s="114" t="s">
        <v>991</v>
      </c>
      <c r="E67" s="114" t="s">
        <v>929</v>
      </c>
      <c r="F67" s="114" t="s">
        <v>909</v>
      </c>
      <c r="G67" s="114"/>
      <c r="H67" s="114"/>
      <c r="I67" s="114"/>
      <c r="J67" s="114"/>
      <c r="K67" s="114"/>
      <c r="L67" s="114"/>
      <c r="M67" s="114"/>
      <c r="N67" s="114">
        <v>4</v>
      </c>
      <c r="O67" s="180">
        <v>1</v>
      </c>
      <c r="P67" s="180">
        <v>687</v>
      </c>
      <c r="Q67" s="180">
        <v>1</v>
      </c>
      <c r="R67" s="180"/>
      <c r="S67" s="180"/>
      <c r="T67" s="181" t="s">
        <v>1127</v>
      </c>
      <c r="U67" s="179" t="s">
        <v>1128</v>
      </c>
      <c r="V67" s="179" t="s">
        <v>1129</v>
      </c>
      <c r="W67" s="114" t="str">
        <f>CONCATENATE("0x",TEXT(DEC2HEX(HEX2DEC("0")*256+(39)*2, 4),"0000"))</f>
        <v>0x004E</v>
      </c>
      <c r="X67" s="179">
        <v>16</v>
      </c>
      <c r="Y67" s="182" t="s">
        <v>913</v>
      </c>
      <c r="Z67" s="183" t="s">
        <v>1093</v>
      </c>
      <c r="AA67" s="184"/>
      <c r="AB67" s="182"/>
      <c r="AC67" s="114">
        <v>1</v>
      </c>
      <c r="AD67" s="172" t="s">
        <v>887</v>
      </c>
      <c r="AE67" s="114"/>
      <c r="AF67" s="114"/>
      <c r="AG67" s="114"/>
      <c r="AH67" s="106"/>
      <c r="AI67" s="114"/>
      <c r="AJ67" s="106"/>
      <c r="AK67" s="114"/>
      <c r="AL67" s="106"/>
      <c r="AM67" s="114"/>
      <c r="AN67" s="106"/>
      <c r="AO67" s="114"/>
      <c r="AP67" s="106"/>
      <c r="AQ67" s="114"/>
      <c r="AR67" s="106"/>
      <c r="AS67" s="114"/>
      <c r="AT67" s="106"/>
      <c r="AU67" s="114"/>
      <c r="AV67" s="106"/>
      <c r="AW67" s="114"/>
      <c r="AX67" s="157"/>
      <c r="AY67" s="157"/>
      <c r="AZ67" s="157"/>
      <c r="BA67" s="157"/>
      <c r="BB67" s="157"/>
      <c r="BC67" s="157"/>
    </row>
    <row r="68" spans="1:55" x14ac:dyDescent="0.3">
      <c r="A68" s="114">
        <f t="shared" si="1"/>
        <v>65</v>
      </c>
      <c r="B68" s="179"/>
      <c r="C68" s="114">
        <v>0</v>
      </c>
      <c r="D68" s="114" t="s">
        <v>991</v>
      </c>
      <c r="E68" s="114" t="s">
        <v>1013</v>
      </c>
      <c r="F68" s="114" t="s">
        <v>923</v>
      </c>
      <c r="G68" s="114" t="s">
        <v>868</v>
      </c>
      <c r="H68" s="114"/>
      <c r="I68" s="114"/>
      <c r="J68" s="114"/>
      <c r="K68" s="114" t="s">
        <v>872</v>
      </c>
      <c r="L68" s="114" t="s">
        <v>1009</v>
      </c>
      <c r="M68" s="114"/>
      <c r="N68" s="114">
        <v>2</v>
      </c>
      <c r="O68" s="180">
        <v>0</v>
      </c>
      <c r="P68" s="180">
        <v>1</v>
      </c>
      <c r="Q68" s="180">
        <v>0</v>
      </c>
      <c r="R68" s="180"/>
      <c r="S68" s="179"/>
      <c r="T68" s="181" t="s">
        <v>1130</v>
      </c>
      <c r="U68" s="182" t="s">
        <v>1131</v>
      </c>
      <c r="V68" s="179"/>
      <c r="W68" s="114"/>
      <c r="X68" s="179"/>
      <c r="Y68" s="182" t="s">
        <v>1012</v>
      </c>
      <c r="Z68" s="183"/>
      <c r="AA68" s="184"/>
      <c r="AB68" s="182"/>
      <c r="AC68" s="114"/>
      <c r="AD68" s="114"/>
      <c r="AE68" s="114"/>
      <c r="AF68" s="114"/>
      <c r="AG68" s="114"/>
      <c r="AH68" s="106"/>
      <c r="AI68" s="114"/>
      <c r="AJ68" s="106"/>
      <c r="AK68" s="114"/>
      <c r="AL68" s="106"/>
      <c r="AM68" s="114"/>
      <c r="AN68" s="106"/>
      <c r="AO68" s="114"/>
      <c r="AP68" s="106"/>
      <c r="AQ68" s="114"/>
      <c r="AR68" s="106"/>
      <c r="AS68" s="114"/>
      <c r="AT68" s="106"/>
      <c r="AU68" s="114"/>
      <c r="AV68" s="106"/>
      <c r="AW68" s="114"/>
      <c r="AX68" s="157"/>
      <c r="AY68" s="157"/>
      <c r="AZ68" s="157"/>
      <c r="BA68" s="157"/>
      <c r="BB68" s="157"/>
      <c r="BC68" s="157"/>
    </row>
    <row r="69" spans="1:55" x14ac:dyDescent="0.3">
      <c r="A69" s="114">
        <f t="shared" si="1"/>
        <v>66</v>
      </c>
      <c r="B69" s="179"/>
      <c r="C69" s="114">
        <v>0</v>
      </c>
      <c r="D69" s="114" t="s">
        <v>991</v>
      </c>
      <c r="E69" s="114" t="s">
        <v>1013</v>
      </c>
      <c r="F69" s="114" t="s">
        <v>923</v>
      </c>
      <c r="G69" s="114" t="s">
        <v>868</v>
      </c>
      <c r="H69" s="114"/>
      <c r="I69" s="114"/>
      <c r="J69" s="114"/>
      <c r="K69" s="114" t="s">
        <v>872</v>
      </c>
      <c r="L69" s="114" t="s">
        <v>1009</v>
      </c>
      <c r="M69" s="114"/>
      <c r="N69" s="114">
        <v>2</v>
      </c>
      <c r="O69" s="180">
        <v>0</v>
      </c>
      <c r="P69" s="180">
        <v>1</v>
      </c>
      <c r="Q69" s="180">
        <v>0</v>
      </c>
      <c r="R69" s="180"/>
      <c r="S69" s="179"/>
      <c r="T69" s="181" t="s">
        <v>1132</v>
      </c>
      <c r="U69" s="182" t="s">
        <v>1133</v>
      </c>
      <c r="V69" s="179"/>
      <c r="W69" s="114"/>
      <c r="X69" s="179"/>
      <c r="Y69" s="182" t="s">
        <v>1012</v>
      </c>
      <c r="Z69" s="183"/>
      <c r="AA69" s="184"/>
      <c r="AB69" s="182"/>
      <c r="AC69" s="114"/>
      <c r="AD69" s="114"/>
      <c r="AE69" s="114"/>
      <c r="AF69" s="114"/>
      <c r="AG69" s="114"/>
      <c r="AH69" s="106"/>
      <c r="AI69" s="114"/>
      <c r="AJ69" s="106"/>
      <c r="AK69" s="114"/>
      <c r="AL69" s="106"/>
      <c r="AM69" s="114"/>
      <c r="AN69" s="106"/>
      <c r="AO69" s="114"/>
      <c r="AP69" s="106"/>
      <c r="AQ69" s="114"/>
      <c r="AR69" s="106"/>
      <c r="AS69" s="114"/>
      <c r="AT69" s="106"/>
      <c r="AU69" s="114"/>
      <c r="AV69" s="106"/>
      <c r="AW69" s="114"/>
      <c r="AX69" s="157"/>
      <c r="AY69" s="157"/>
      <c r="AZ69" s="157"/>
      <c r="BA69" s="157"/>
      <c r="BB69" s="157"/>
      <c r="BC69" s="157"/>
    </row>
    <row r="70" spans="1:55" ht="92.4" x14ac:dyDescent="0.3">
      <c r="A70" s="114">
        <f t="shared" si="1"/>
        <v>67</v>
      </c>
      <c r="B70" s="179"/>
      <c r="C70" s="114">
        <v>0</v>
      </c>
      <c r="D70" s="114" t="s">
        <v>991</v>
      </c>
      <c r="E70" s="114" t="s">
        <v>1008</v>
      </c>
      <c r="F70" s="114" t="s">
        <v>923</v>
      </c>
      <c r="G70" s="114" t="s">
        <v>868</v>
      </c>
      <c r="H70" s="114"/>
      <c r="I70" s="114"/>
      <c r="J70" s="114"/>
      <c r="K70" s="114" t="s">
        <v>872</v>
      </c>
      <c r="L70" s="114" t="s">
        <v>1009</v>
      </c>
      <c r="M70" s="114"/>
      <c r="N70" s="114">
        <v>2</v>
      </c>
      <c r="O70" s="180">
        <v>0</v>
      </c>
      <c r="P70" s="180">
        <v>2</v>
      </c>
      <c r="Q70" s="180">
        <v>0</v>
      </c>
      <c r="R70" s="180"/>
      <c r="S70" s="179"/>
      <c r="T70" s="181" t="s">
        <v>1134</v>
      </c>
      <c r="U70" s="182" t="s">
        <v>1135</v>
      </c>
      <c r="V70" s="179"/>
      <c r="W70" s="114"/>
      <c r="X70" s="179"/>
      <c r="Y70" s="182" t="s">
        <v>1012</v>
      </c>
      <c r="Z70" s="183" t="s">
        <v>1136</v>
      </c>
      <c r="AA70" s="184"/>
      <c r="AB70" s="182"/>
      <c r="AC70" s="114"/>
      <c r="AD70" s="114"/>
      <c r="AE70" s="114"/>
      <c r="AF70" s="114"/>
      <c r="AG70" s="114"/>
      <c r="AH70" s="106"/>
      <c r="AI70" s="114"/>
      <c r="AJ70" s="106"/>
      <c r="AK70" s="114"/>
      <c r="AL70" s="106"/>
      <c r="AM70" s="114"/>
      <c r="AN70" s="106"/>
      <c r="AO70" s="114"/>
      <c r="AP70" s="106"/>
      <c r="AQ70" s="114"/>
      <c r="AR70" s="106"/>
      <c r="AS70" s="114"/>
      <c r="AT70" s="106"/>
      <c r="AU70" s="114"/>
      <c r="AV70" s="106"/>
      <c r="AW70" s="114"/>
      <c r="AX70" s="157"/>
      <c r="AY70" s="157"/>
      <c r="AZ70" s="157"/>
      <c r="BA70" s="157"/>
      <c r="BB70" s="157"/>
      <c r="BC70" s="157"/>
    </row>
    <row r="71" spans="1:55" s="157" customFormat="1" x14ac:dyDescent="0.3">
      <c r="A71" s="114">
        <f>A70+1</f>
        <v>68</v>
      </c>
      <c r="B71" s="179"/>
      <c r="C71" s="114">
        <v>0</v>
      </c>
      <c r="D71" s="114" t="s">
        <v>991</v>
      </c>
      <c r="E71" s="114" t="s">
        <v>1013</v>
      </c>
      <c r="F71" s="114" t="s">
        <v>923</v>
      </c>
      <c r="G71" s="114" t="s">
        <v>868</v>
      </c>
      <c r="H71" s="114"/>
      <c r="I71" s="114"/>
      <c r="J71" s="114"/>
      <c r="K71" s="114" t="s">
        <v>872</v>
      </c>
      <c r="L71" s="114" t="s">
        <v>1009</v>
      </c>
      <c r="M71" s="114"/>
      <c r="N71" s="114">
        <v>2</v>
      </c>
      <c r="O71" s="180">
        <v>0</v>
      </c>
      <c r="P71" s="180">
        <v>1</v>
      </c>
      <c r="Q71" s="180">
        <v>0</v>
      </c>
      <c r="R71" s="180"/>
      <c r="S71" s="180"/>
      <c r="T71" s="181" t="s">
        <v>1137</v>
      </c>
      <c r="U71" s="179" t="s">
        <v>1137</v>
      </c>
      <c r="V71" s="179"/>
      <c r="W71" s="114"/>
      <c r="X71" s="180"/>
      <c r="Y71" s="182" t="s">
        <v>1012</v>
      </c>
      <c r="Z71" s="183"/>
      <c r="AA71" s="184"/>
      <c r="AB71" s="182"/>
      <c r="AC71" s="114"/>
      <c r="AD71" s="114"/>
      <c r="AE71" s="114"/>
      <c r="AF71" s="114"/>
      <c r="AG71" s="114"/>
      <c r="AH71" s="106"/>
      <c r="AI71" s="114"/>
      <c r="AJ71" s="106"/>
      <c r="AK71" s="114"/>
      <c r="AL71" s="106"/>
      <c r="AM71" s="114"/>
      <c r="AN71" s="106"/>
      <c r="AO71" s="114"/>
      <c r="AP71" s="106"/>
      <c r="AQ71" s="114"/>
      <c r="AR71" s="106"/>
      <c r="AS71" s="114"/>
      <c r="AT71" s="106"/>
      <c r="AU71" s="114"/>
      <c r="AV71" s="106"/>
      <c r="AW71" s="114"/>
    </row>
    <row r="72" spans="1:55" s="157" customFormat="1" ht="79.2" x14ac:dyDescent="0.3">
      <c r="A72" s="114">
        <f>A71+1</f>
        <v>69</v>
      </c>
      <c r="B72" s="179"/>
      <c r="C72" s="114">
        <v>0</v>
      </c>
      <c r="D72" s="114" t="s">
        <v>991</v>
      </c>
      <c r="E72" s="114" t="s">
        <v>1008</v>
      </c>
      <c r="F72" s="114" t="s">
        <v>909</v>
      </c>
      <c r="G72" s="114"/>
      <c r="H72" s="114"/>
      <c r="I72" s="114"/>
      <c r="J72" s="114"/>
      <c r="K72" s="114" t="s">
        <v>872</v>
      </c>
      <c r="L72" s="114" t="s">
        <v>1009</v>
      </c>
      <c r="M72" s="114"/>
      <c r="N72" s="114">
        <v>2</v>
      </c>
      <c r="O72" s="180">
        <v>0</v>
      </c>
      <c r="P72" s="180">
        <v>4</v>
      </c>
      <c r="Q72" s="180">
        <v>0</v>
      </c>
      <c r="R72" s="180"/>
      <c r="S72" s="180"/>
      <c r="T72" s="181" t="s">
        <v>1138</v>
      </c>
      <c r="U72" s="179" t="s">
        <v>1139</v>
      </c>
      <c r="V72" s="179"/>
      <c r="W72" s="114"/>
      <c r="X72" s="180"/>
      <c r="Y72" s="182" t="s">
        <v>1012</v>
      </c>
      <c r="Z72" s="183" t="s">
        <v>160</v>
      </c>
      <c r="AA72" s="184"/>
      <c r="AB72" s="182"/>
      <c r="AC72" s="114"/>
      <c r="AD72" s="114"/>
      <c r="AE72" s="114"/>
      <c r="AF72" s="114"/>
      <c r="AG72" s="114"/>
      <c r="AH72" s="106"/>
      <c r="AI72" s="114"/>
      <c r="AJ72" s="106"/>
      <c r="AK72" s="114"/>
      <c r="AL72" s="106"/>
      <c r="AM72" s="114"/>
      <c r="AN72" s="106"/>
      <c r="AO72" s="114"/>
      <c r="AP72" s="106"/>
      <c r="AQ72" s="114"/>
      <c r="AR72" s="106"/>
      <c r="AS72" s="114"/>
      <c r="AT72" s="106"/>
      <c r="AU72" s="114"/>
      <c r="AV72" s="106"/>
      <c r="AW72" s="114"/>
    </row>
    <row r="73" spans="1:55" s="157" customFormat="1" ht="39.6" x14ac:dyDescent="0.3">
      <c r="A73" s="114">
        <f>A72+1</f>
        <v>70</v>
      </c>
      <c r="B73" s="179"/>
      <c r="C73" s="114">
        <v>0</v>
      </c>
      <c r="D73" s="114" t="s">
        <v>991</v>
      </c>
      <c r="E73" s="114" t="s">
        <v>1013</v>
      </c>
      <c r="F73" s="114" t="s">
        <v>909</v>
      </c>
      <c r="G73" s="114"/>
      <c r="H73" s="114"/>
      <c r="I73" s="114"/>
      <c r="J73" s="114"/>
      <c r="K73" s="114" t="s">
        <v>872</v>
      </c>
      <c r="L73" s="114" t="s">
        <v>1009</v>
      </c>
      <c r="M73" s="114"/>
      <c r="N73" s="114">
        <v>2</v>
      </c>
      <c r="O73" s="180">
        <v>0</v>
      </c>
      <c r="P73" s="180">
        <v>1</v>
      </c>
      <c r="Q73" s="180">
        <v>0</v>
      </c>
      <c r="R73" s="180"/>
      <c r="S73" s="180"/>
      <c r="T73" s="181" t="s">
        <v>1140</v>
      </c>
      <c r="U73" s="179" t="s">
        <v>1141</v>
      </c>
      <c r="V73" s="179"/>
      <c r="W73" s="114"/>
      <c r="X73" s="180"/>
      <c r="Y73" s="182" t="s">
        <v>1012</v>
      </c>
      <c r="Z73" s="183" t="s">
        <v>161</v>
      </c>
      <c r="AA73" s="184"/>
      <c r="AB73" s="182"/>
      <c r="AC73" s="114"/>
      <c r="AD73" s="114"/>
      <c r="AE73" s="114"/>
      <c r="AF73" s="114"/>
      <c r="AG73" s="114"/>
      <c r="AH73" s="106"/>
      <c r="AI73" s="114"/>
      <c r="AJ73" s="106"/>
      <c r="AK73" s="114"/>
      <c r="AL73" s="106"/>
      <c r="AM73" s="114"/>
      <c r="AN73" s="106"/>
      <c r="AO73" s="114"/>
      <c r="AP73" s="106"/>
      <c r="AQ73" s="114"/>
      <c r="AR73" s="106"/>
      <c r="AS73" s="114"/>
      <c r="AT73" s="106"/>
      <c r="AU73" s="114"/>
      <c r="AV73" s="106"/>
      <c r="AW73" s="114"/>
    </row>
    <row r="74" spans="1:55" s="157" customFormat="1" ht="198" x14ac:dyDescent="0.3">
      <c r="A74" s="114">
        <f>A73+1</f>
        <v>71</v>
      </c>
      <c r="B74" s="179"/>
      <c r="C74" s="114">
        <v>0</v>
      </c>
      <c r="D74" s="114" t="s">
        <v>991</v>
      </c>
      <c r="E74" s="114" t="s">
        <v>1008</v>
      </c>
      <c r="F74" s="114" t="s">
        <v>909</v>
      </c>
      <c r="G74" s="114"/>
      <c r="H74" s="114"/>
      <c r="I74" s="114"/>
      <c r="J74" s="114"/>
      <c r="K74" s="114" t="s">
        <v>872</v>
      </c>
      <c r="L74" s="114" t="s">
        <v>1009</v>
      </c>
      <c r="M74" s="114"/>
      <c r="N74" s="114">
        <v>2</v>
      </c>
      <c r="O74" s="180">
        <v>0</v>
      </c>
      <c r="P74" s="180">
        <v>4</v>
      </c>
      <c r="Q74" s="180">
        <v>0</v>
      </c>
      <c r="R74" s="180"/>
      <c r="S74" s="180"/>
      <c r="T74" s="181" t="s">
        <v>1142</v>
      </c>
      <c r="U74" s="179" t="s">
        <v>1143</v>
      </c>
      <c r="V74" s="179"/>
      <c r="W74" s="114"/>
      <c r="X74" s="180"/>
      <c r="Y74" s="182" t="s">
        <v>1012</v>
      </c>
      <c r="Z74" s="183" t="s">
        <v>162</v>
      </c>
      <c r="AA74" s="184"/>
      <c r="AB74" s="182"/>
      <c r="AC74" s="114"/>
      <c r="AD74" s="114"/>
      <c r="AE74" s="114"/>
      <c r="AF74" s="114"/>
      <c r="AG74" s="114"/>
      <c r="AH74" s="106"/>
      <c r="AI74" s="114"/>
      <c r="AJ74" s="106"/>
      <c r="AK74" s="114"/>
      <c r="AL74" s="106"/>
      <c r="AM74" s="114"/>
      <c r="AN74" s="106"/>
      <c r="AO74" s="114"/>
      <c r="AP74" s="106"/>
      <c r="AQ74" s="114"/>
      <c r="AR74" s="106"/>
      <c r="AS74" s="114"/>
      <c r="AT74" s="106"/>
      <c r="AU74" s="114"/>
      <c r="AV74" s="106"/>
      <c r="AW74" s="114"/>
    </row>
    <row r="75" spans="1:55" s="157" customFormat="1" ht="145.19999999999999" x14ac:dyDescent="0.3">
      <c r="A75" s="114">
        <f t="shared" ref="A75:A102" si="2">A74+1</f>
        <v>72</v>
      </c>
      <c r="B75" s="179"/>
      <c r="C75" s="114">
        <v>0</v>
      </c>
      <c r="D75" s="114" t="s">
        <v>991</v>
      </c>
      <c r="E75" s="114" t="s">
        <v>1008</v>
      </c>
      <c r="F75" s="114" t="s">
        <v>909</v>
      </c>
      <c r="G75" s="114"/>
      <c r="H75" s="114"/>
      <c r="I75" s="114"/>
      <c r="J75" s="114"/>
      <c r="K75" s="114" t="s">
        <v>872</v>
      </c>
      <c r="L75" s="114" t="s">
        <v>1009</v>
      </c>
      <c r="M75" s="114"/>
      <c r="N75" s="114">
        <v>2</v>
      </c>
      <c r="O75" s="180">
        <v>0</v>
      </c>
      <c r="P75" s="180">
        <v>1</v>
      </c>
      <c r="Q75" s="180">
        <v>0</v>
      </c>
      <c r="R75" s="180"/>
      <c r="S75" s="180"/>
      <c r="T75" s="181" t="s">
        <v>1144</v>
      </c>
      <c r="U75" s="179" t="s">
        <v>1145</v>
      </c>
      <c r="V75" s="179"/>
      <c r="W75" s="114"/>
      <c r="X75" s="180"/>
      <c r="Y75" s="182" t="s">
        <v>1012</v>
      </c>
      <c r="Z75" s="183" t="s">
        <v>163</v>
      </c>
      <c r="AA75" s="184"/>
      <c r="AB75" s="182"/>
      <c r="AC75" s="114"/>
      <c r="AD75" s="114"/>
      <c r="AE75" s="114"/>
      <c r="AF75" s="114"/>
      <c r="AG75" s="114"/>
      <c r="AH75" s="106"/>
      <c r="AI75" s="114"/>
      <c r="AJ75" s="106"/>
      <c r="AK75" s="114"/>
      <c r="AL75" s="106"/>
      <c r="AM75" s="114"/>
      <c r="AN75" s="106"/>
      <c r="AO75" s="114"/>
      <c r="AP75" s="106"/>
      <c r="AQ75" s="114"/>
      <c r="AR75" s="106"/>
      <c r="AS75" s="114"/>
      <c r="AT75" s="106"/>
      <c r="AU75" s="114"/>
      <c r="AV75" s="106"/>
      <c r="AW75" s="114"/>
    </row>
    <row r="76" spans="1:55" s="157" customFormat="1" ht="26.4" x14ac:dyDescent="0.3">
      <c r="A76" s="114">
        <f t="shared" si="2"/>
        <v>73</v>
      </c>
      <c r="B76" s="179"/>
      <c r="C76" s="114">
        <v>0</v>
      </c>
      <c r="D76" s="114" t="s">
        <v>991</v>
      </c>
      <c r="E76" s="114" t="s">
        <v>966</v>
      </c>
      <c r="F76" s="114" t="s">
        <v>909</v>
      </c>
      <c r="G76" s="114"/>
      <c r="H76" s="114"/>
      <c r="I76" s="114"/>
      <c r="J76" s="114"/>
      <c r="K76" s="114" t="s">
        <v>872</v>
      </c>
      <c r="L76" s="114" t="s">
        <v>1009</v>
      </c>
      <c r="M76" s="114"/>
      <c r="N76" s="114">
        <v>2</v>
      </c>
      <c r="O76" s="180">
        <v>-2147000000</v>
      </c>
      <c r="P76" s="180">
        <v>2147000000</v>
      </c>
      <c r="Q76" s="180">
        <v>1000000</v>
      </c>
      <c r="R76" s="180"/>
      <c r="S76" s="180" t="s">
        <v>1146</v>
      </c>
      <c r="T76" s="181" t="s">
        <v>1147</v>
      </c>
      <c r="U76" s="179" t="s">
        <v>1148</v>
      </c>
      <c r="V76" s="179"/>
      <c r="W76" s="114"/>
      <c r="X76" s="180"/>
      <c r="Y76" s="182" t="s">
        <v>1012</v>
      </c>
      <c r="Z76" s="183" t="s">
        <v>164</v>
      </c>
      <c r="AA76" s="184"/>
      <c r="AB76" s="182"/>
      <c r="AC76" s="114"/>
      <c r="AD76" s="114"/>
      <c r="AE76" s="114"/>
      <c r="AF76" s="114"/>
      <c r="AG76" s="114"/>
      <c r="AH76" s="106"/>
      <c r="AI76" s="114"/>
      <c r="AJ76" s="106"/>
      <c r="AK76" s="114"/>
      <c r="AL76" s="106"/>
      <c r="AM76" s="114"/>
      <c r="AN76" s="106"/>
      <c r="AO76" s="114"/>
      <c r="AP76" s="106"/>
      <c r="AQ76" s="114"/>
      <c r="AR76" s="106"/>
      <c r="AS76" s="114"/>
      <c r="AT76" s="106"/>
      <c r="AU76" s="114"/>
      <c r="AV76" s="106"/>
      <c r="AW76" s="114"/>
    </row>
    <row r="77" spans="1:55" s="157" customFormat="1" ht="26.4" x14ac:dyDescent="0.3">
      <c r="A77" s="114">
        <f t="shared" si="2"/>
        <v>74</v>
      </c>
      <c r="B77" s="179"/>
      <c r="C77" s="114">
        <v>0</v>
      </c>
      <c r="D77" s="114" t="s">
        <v>991</v>
      </c>
      <c r="E77" s="114" t="s">
        <v>966</v>
      </c>
      <c r="F77" s="114" t="s">
        <v>909</v>
      </c>
      <c r="G77" s="114"/>
      <c r="H77" s="114"/>
      <c r="I77" s="114"/>
      <c r="J77" s="114"/>
      <c r="K77" s="114" t="s">
        <v>872</v>
      </c>
      <c r="L77" s="114" t="s">
        <v>1009</v>
      </c>
      <c r="M77" s="114"/>
      <c r="N77" s="114">
        <v>2</v>
      </c>
      <c r="O77" s="180">
        <v>10</v>
      </c>
      <c r="P77" s="180">
        <v>1073741823</v>
      </c>
      <c r="Q77" s="180">
        <v>3600</v>
      </c>
      <c r="R77" s="180"/>
      <c r="S77" s="180"/>
      <c r="T77" s="181" t="s">
        <v>1149</v>
      </c>
      <c r="U77" s="179" t="s">
        <v>1150</v>
      </c>
      <c r="V77" s="179"/>
      <c r="W77" s="114"/>
      <c r="X77" s="180"/>
      <c r="Y77" s="182" t="s">
        <v>1012</v>
      </c>
      <c r="Z77" s="183" t="s">
        <v>165</v>
      </c>
      <c r="AA77" s="184"/>
      <c r="AB77" s="182"/>
      <c r="AC77" s="114"/>
      <c r="AD77" s="114"/>
      <c r="AE77" s="114"/>
      <c r="AF77" s="114"/>
      <c r="AG77" s="114"/>
      <c r="AH77" s="106"/>
      <c r="AI77" s="114"/>
      <c r="AJ77" s="106"/>
      <c r="AK77" s="114"/>
      <c r="AL77" s="106"/>
      <c r="AM77" s="114"/>
      <c r="AN77" s="106"/>
      <c r="AO77" s="114"/>
      <c r="AP77" s="106"/>
      <c r="AQ77" s="114"/>
      <c r="AR77" s="106"/>
      <c r="AS77" s="114"/>
      <c r="AT77" s="106"/>
      <c r="AU77" s="114"/>
      <c r="AV77" s="106"/>
      <c r="AW77" s="114"/>
    </row>
    <row r="78" spans="1:55" s="157" customFormat="1" ht="26.4" x14ac:dyDescent="0.3">
      <c r="A78" s="114">
        <f t="shared" si="2"/>
        <v>75</v>
      </c>
      <c r="B78" s="179"/>
      <c r="C78" s="114">
        <v>0</v>
      </c>
      <c r="D78" s="114" t="s">
        <v>991</v>
      </c>
      <c r="E78" s="114" t="s">
        <v>966</v>
      </c>
      <c r="F78" s="114" t="s">
        <v>909</v>
      </c>
      <c r="G78" s="114"/>
      <c r="H78" s="114"/>
      <c r="I78" s="114"/>
      <c r="J78" s="114"/>
      <c r="K78" s="114" t="s">
        <v>872</v>
      </c>
      <c r="L78" s="114" t="s">
        <v>1009</v>
      </c>
      <c r="M78" s="114"/>
      <c r="N78" s="114">
        <v>2</v>
      </c>
      <c r="O78" s="187">
        <v>-1073741824</v>
      </c>
      <c r="P78" s="180">
        <v>1073741823</v>
      </c>
      <c r="Q78" s="180">
        <v>0</v>
      </c>
      <c r="R78" s="180"/>
      <c r="S78" s="180"/>
      <c r="T78" s="181" t="s">
        <v>1151</v>
      </c>
      <c r="U78" s="179" t="s">
        <v>1152</v>
      </c>
      <c r="V78" s="179"/>
      <c r="W78" s="114"/>
      <c r="X78" s="180"/>
      <c r="Y78" s="182" t="s">
        <v>1012</v>
      </c>
      <c r="Z78" s="183" t="s">
        <v>166</v>
      </c>
      <c r="AA78" s="184"/>
      <c r="AB78" s="182"/>
      <c r="AC78" s="114"/>
      <c r="AD78" s="114"/>
      <c r="AE78" s="114"/>
      <c r="AF78" s="114"/>
      <c r="AG78" s="114"/>
      <c r="AH78" s="106"/>
      <c r="AI78" s="114"/>
      <c r="AJ78" s="106"/>
      <c r="AK78" s="114"/>
      <c r="AL78" s="106"/>
      <c r="AM78" s="114"/>
      <c r="AN78" s="106"/>
      <c r="AO78" s="114"/>
      <c r="AP78" s="106"/>
      <c r="AQ78" s="114"/>
      <c r="AR78" s="106"/>
      <c r="AS78" s="114"/>
      <c r="AT78" s="106"/>
      <c r="AU78" s="114"/>
      <c r="AV78" s="106"/>
      <c r="AW78" s="114"/>
    </row>
    <row r="79" spans="1:55" s="157" customFormat="1" ht="39.6" x14ac:dyDescent="0.3">
      <c r="A79" s="114">
        <f t="shared" si="2"/>
        <v>76</v>
      </c>
      <c r="B79" s="179"/>
      <c r="C79" s="114">
        <v>0</v>
      </c>
      <c r="D79" s="114" t="s">
        <v>991</v>
      </c>
      <c r="E79" s="114" t="s">
        <v>966</v>
      </c>
      <c r="F79" s="114" t="s">
        <v>909</v>
      </c>
      <c r="G79" s="114"/>
      <c r="H79" s="114"/>
      <c r="I79" s="114"/>
      <c r="J79" s="114"/>
      <c r="K79" s="114" t="s">
        <v>872</v>
      </c>
      <c r="L79" s="114" t="s">
        <v>1009</v>
      </c>
      <c r="M79" s="114"/>
      <c r="N79" s="114">
        <v>2</v>
      </c>
      <c r="O79" s="180">
        <v>-1073741824</v>
      </c>
      <c r="P79" s="180">
        <v>1073741823</v>
      </c>
      <c r="Q79" s="180">
        <v>0</v>
      </c>
      <c r="R79" s="180"/>
      <c r="S79" s="180"/>
      <c r="T79" s="181" t="s">
        <v>1153</v>
      </c>
      <c r="U79" s="179" t="s">
        <v>1154</v>
      </c>
      <c r="V79" s="179"/>
      <c r="W79" s="114"/>
      <c r="X79" s="180"/>
      <c r="Y79" s="182" t="s">
        <v>1012</v>
      </c>
      <c r="Z79" s="183" t="s">
        <v>167</v>
      </c>
      <c r="AA79" s="184"/>
      <c r="AB79" s="182"/>
      <c r="AC79" s="114"/>
      <c r="AD79" s="114"/>
      <c r="AE79" s="114"/>
      <c r="AF79" s="114"/>
      <c r="AG79" s="114"/>
      <c r="AH79" s="106"/>
      <c r="AI79" s="114"/>
      <c r="AJ79" s="106"/>
      <c r="AK79" s="114"/>
      <c r="AL79" s="106"/>
      <c r="AM79" s="114"/>
      <c r="AN79" s="106"/>
      <c r="AO79" s="114"/>
      <c r="AP79" s="106"/>
      <c r="AQ79" s="114"/>
      <c r="AR79" s="106"/>
      <c r="AS79" s="114"/>
      <c r="AT79" s="106"/>
      <c r="AU79" s="114"/>
      <c r="AV79" s="106"/>
      <c r="AW79" s="114"/>
    </row>
    <row r="80" spans="1:55" s="157" customFormat="1" ht="52.8" x14ac:dyDescent="0.3">
      <c r="A80" s="114">
        <f t="shared" si="2"/>
        <v>77</v>
      </c>
      <c r="B80" s="179"/>
      <c r="C80" s="114">
        <v>0</v>
      </c>
      <c r="D80" s="114" t="s">
        <v>991</v>
      </c>
      <c r="E80" s="114" t="s">
        <v>966</v>
      </c>
      <c r="F80" s="114" t="s">
        <v>909</v>
      </c>
      <c r="G80" s="114"/>
      <c r="H80" s="114"/>
      <c r="I80" s="114"/>
      <c r="J80" s="114"/>
      <c r="K80" s="114" t="s">
        <v>872</v>
      </c>
      <c r="L80" s="114" t="s">
        <v>1009</v>
      </c>
      <c r="M80" s="114"/>
      <c r="N80" s="114">
        <v>2</v>
      </c>
      <c r="O80" s="180">
        <v>-2147483648</v>
      </c>
      <c r="P80" s="180">
        <v>2147483647</v>
      </c>
      <c r="Q80" s="180">
        <v>0</v>
      </c>
      <c r="R80" s="180"/>
      <c r="S80" s="180"/>
      <c r="T80" s="181" t="s">
        <v>1155</v>
      </c>
      <c r="U80" s="179" t="s">
        <v>1156</v>
      </c>
      <c r="V80" s="179"/>
      <c r="W80" s="114"/>
      <c r="X80" s="180"/>
      <c r="Y80" s="182" t="s">
        <v>1012</v>
      </c>
      <c r="Z80" s="183" t="s">
        <v>168</v>
      </c>
      <c r="AA80" s="184"/>
      <c r="AB80" s="182"/>
      <c r="AC80" s="114"/>
      <c r="AD80" s="114"/>
      <c r="AE80" s="114"/>
      <c r="AF80" s="114"/>
      <c r="AG80" s="114"/>
      <c r="AH80" s="106"/>
      <c r="AI80" s="114"/>
      <c r="AJ80" s="106"/>
      <c r="AK80" s="114"/>
      <c r="AL80" s="106"/>
      <c r="AM80" s="114"/>
      <c r="AN80" s="106"/>
      <c r="AO80" s="114"/>
      <c r="AP80" s="106"/>
      <c r="AQ80" s="114"/>
      <c r="AR80" s="106"/>
      <c r="AS80" s="114"/>
      <c r="AT80" s="106"/>
      <c r="AU80" s="114"/>
      <c r="AV80" s="106"/>
      <c r="AW80" s="114"/>
    </row>
    <row r="81" spans="1:49" s="157" customFormat="1" ht="26.4" x14ac:dyDescent="0.3">
      <c r="A81" s="114">
        <f t="shared" si="2"/>
        <v>78</v>
      </c>
      <c r="B81" s="179"/>
      <c r="C81" s="114">
        <v>0</v>
      </c>
      <c r="D81" s="114" t="s">
        <v>991</v>
      </c>
      <c r="E81" s="114" t="s">
        <v>966</v>
      </c>
      <c r="F81" s="114" t="s">
        <v>909</v>
      </c>
      <c r="G81" s="114"/>
      <c r="H81" s="114"/>
      <c r="I81" s="114"/>
      <c r="J81" s="114"/>
      <c r="K81" s="114" t="s">
        <v>872</v>
      </c>
      <c r="L81" s="114" t="s">
        <v>1009</v>
      </c>
      <c r="M81" s="114"/>
      <c r="N81" s="114">
        <v>2</v>
      </c>
      <c r="O81" s="180">
        <v>1</v>
      </c>
      <c r="P81" s="180">
        <v>536870911</v>
      </c>
      <c r="Q81" s="180">
        <v>16777216</v>
      </c>
      <c r="R81" s="180"/>
      <c r="S81" s="180"/>
      <c r="T81" s="111" t="s">
        <v>1157</v>
      </c>
      <c r="U81" s="113" t="s">
        <v>1158</v>
      </c>
      <c r="V81" s="179"/>
      <c r="W81" s="114"/>
      <c r="X81" s="180"/>
      <c r="Y81" s="182" t="s">
        <v>1012</v>
      </c>
      <c r="Z81" s="183" t="s">
        <v>169</v>
      </c>
      <c r="AA81" s="184"/>
      <c r="AB81" s="182"/>
      <c r="AC81" s="114"/>
      <c r="AD81" s="114"/>
      <c r="AE81" s="114"/>
      <c r="AF81" s="114"/>
      <c r="AG81" s="114"/>
      <c r="AH81" s="106"/>
      <c r="AI81" s="114"/>
      <c r="AJ81" s="106"/>
      <c r="AK81" s="114"/>
      <c r="AL81" s="106"/>
      <c r="AM81" s="114"/>
      <c r="AN81" s="106"/>
      <c r="AO81" s="114"/>
      <c r="AP81" s="106"/>
      <c r="AQ81" s="114"/>
      <c r="AR81" s="106"/>
      <c r="AS81" s="114"/>
      <c r="AT81" s="106"/>
      <c r="AU81" s="114"/>
      <c r="AV81" s="106"/>
      <c r="AW81" s="114"/>
    </row>
    <row r="82" spans="1:49" s="157" customFormat="1" ht="26.4" x14ac:dyDescent="0.3">
      <c r="A82" s="114">
        <f t="shared" si="2"/>
        <v>79</v>
      </c>
      <c r="B82" s="179"/>
      <c r="C82" s="114">
        <v>0</v>
      </c>
      <c r="D82" s="114" t="s">
        <v>991</v>
      </c>
      <c r="E82" s="114" t="s">
        <v>966</v>
      </c>
      <c r="F82" s="114" t="s">
        <v>909</v>
      </c>
      <c r="G82" s="114"/>
      <c r="H82" s="114"/>
      <c r="I82" s="114"/>
      <c r="J82" s="114"/>
      <c r="K82" s="114" t="s">
        <v>872</v>
      </c>
      <c r="L82" s="114" t="s">
        <v>1009</v>
      </c>
      <c r="M82" s="114"/>
      <c r="N82" s="114">
        <v>2</v>
      </c>
      <c r="O82" s="180">
        <v>1</v>
      </c>
      <c r="P82" s="180">
        <v>2147483647</v>
      </c>
      <c r="Q82" s="180">
        <v>100000</v>
      </c>
      <c r="R82" s="180"/>
      <c r="S82" s="180"/>
      <c r="T82" s="111" t="s">
        <v>1159</v>
      </c>
      <c r="U82" s="113" t="s">
        <v>1160</v>
      </c>
      <c r="V82" s="179"/>
      <c r="W82" s="114"/>
      <c r="X82" s="180"/>
      <c r="Y82" s="182" t="s">
        <v>1012</v>
      </c>
      <c r="Z82" s="183" t="s">
        <v>170</v>
      </c>
      <c r="AA82" s="184"/>
      <c r="AB82" s="182"/>
      <c r="AC82" s="114"/>
      <c r="AD82" s="114"/>
      <c r="AE82" s="114"/>
      <c r="AF82" s="114"/>
      <c r="AG82" s="114"/>
      <c r="AH82" s="106"/>
      <c r="AI82" s="114"/>
      <c r="AJ82" s="106"/>
      <c r="AK82" s="114"/>
      <c r="AL82" s="106"/>
      <c r="AM82" s="114"/>
      <c r="AN82" s="106"/>
      <c r="AO82" s="114"/>
      <c r="AP82" s="106"/>
      <c r="AQ82" s="114"/>
      <c r="AR82" s="106"/>
      <c r="AS82" s="114"/>
      <c r="AT82" s="106"/>
      <c r="AU82" s="114"/>
      <c r="AV82" s="106"/>
      <c r="AW82" s="114"/>
    </row>
    <row r="83" spans="1:49" s="157" customFormat="1" x14ac:dyDescent="0.3">
      <c r="A83" s="114">
        <f t="shared" si="2"/>
        <v>80</v>
      </c>
      <c r="B83" s="179"/>
      <c r="C83" s="114">
        <v>0</v>
      </c>
      <c r="D83" s="114" t="s">
        <v>991</v>
      </c>
      <c r="E83" s="114" t="s">
        <v>908</v>
      </c>
      <c r="F83" s="114" t="s">
        <v>923</v>
      </c>
      <c r="G83" s="114" t="s">
        <v>868</v>
      </c>
      <c r="H83" s="114"/>
      <c r="I83" s="114"/>
      <c r="J83" s="114"/>
      <c r="K83" s="114" t="s">
        <v>872</v>
      </c>
      <c r="L83" s="114"/>
      <c r="M83" s="114"/>
      <c r="N83" s="114">
        <v>255</v>
      </c>
      <c r="O83" s="180">
        <v>0</v>
      </c>
      <c r="P83" s="180">
        <v>0</v>
      </c>
      <c r="Q83" s="180">
        <v>0</v>
      </c>
      <c r="R83" s="180"/>
      <c r="S83" s="180"/>
      <c r="T83" s="181" t="s">
        <v>1161</v>
      </c>
      <c r="U83" s="179" t="s">
        <v>1162</v>
      </c>
      <c r="V83" s="179"/>
      <c r="W83" s="114"/>
      <c r="X83" s="180"/>
      <c r="Y83" s="182"/>
      <c r="Z83" s="183"/>
      <c r="AA83" s="184"/>
      <c r="AB83" s="182"/>
      <c r="AC83" s="114"/>
      <c r="AD83" s="114"/>
      <c r="AE83" s="114"/>
      <c r="AF83" s="114"/>
      <c r="AG83" s="114"/>
      <c r="AH83" s="106"/>
      <c r="AI83" s="114"/>
      <c r="AJ83" s="106"/>
      <c r="AK83" s="114"/>
      <c r="AL83" s="106"/>
      <c r="AM83" s="114"/>
      <c r="AN83" s="106"/>
      <c r="AO83" s="114"/>
      <c r="AP83" s="106"/>
      <c r="AQ83" s="114"/>
      <c r="AR83" s="106"/>
      <c r="AS83" s="114"/>
      <c r="AT83" s="106"/>
      <c r="AU83" s="114"/>
      <c r="AV83" s="106"/>
      <c r="AW83" s="114"/>
    </row>
    <row r="84" spans="1:49" s="157" customFormat="1" ht="52.8" x14ac:dyDescent="0.3">
      <c r="A84" s="114">
        <f t="shared" si="2"/>
        <v>81</v>
      </c>
      <c r="B84" s="179"/>
      <c r="C84" s="114">
        <v>0</v>
      </c>
      <c r="D84" s="114" t="s">
        <v>991</v>
      </c>
      <c r="E84" s="114" t="s">
        <v>966</v>
      </c>
      <c r="F84" s="114" t="s">
        <v>909</v>
      </c>
      <c r="G84" s="114"/>
      <c r="H84" s="114"/>
      <c r="I84" s="114"/>
      <c r="J84" s="114"/>
      <c r="K84" s="114" t="s">
        <v>872</v>
      </c>
      <c r="L84" s="114" t="s">
        <v>1009</v>
      </c>
      <c r="M84" s="114"/>
      <c r="N84" s="114">
        <v>2</v>
      </c>
      <c r="O84" s="180">
        <v>-1073741824</v>
      </c>
      <c r="P84" s="180">
        <v>1073741823</v>
      </c>
      <c r="Q84" s="180">
        <v>0</v>
      </c>
      <c r="R84" s="180"/>
      <c r="S84" s="180"/>
      <c r="T84" s="181" t="s">
        <v>1163</v>
      </c>
      <c r="U84" s="179" t="s">
        <v>1164</v>
      </c>
      <c r="V84" s="179"/>
      <c r="W84" s="114"/>
      <c r="X84" s="180"/>
      <c r="Y84" s="182" t="s">
        <v>1012</v>
      </c>
      <c r="Z84" s="183" t="s">
        <v>171</v>
      </c>
      <c r="AA84" s="184"/>
      <c r="AB84" s="182"/>
      <c r="AC84" s="114"/>
      <c r="AD84" s="114"/>
      <c r="AE84" s="114"/>
      <c r="AF84" s="114"/>
      <c r="AG84" s="114"/>
      <c r="AH84" s="106"/>
      <c r="AI84" s="114"/>
      <c r="AJ84" s="106"/>
      <c r="AK84" s="114"/>
      <c r="AL84" s="106"/>
      <c r="AM84" s="114"/>
      <c r="AN84" s="106"/>
      <c r="AO84" s="114"/>
      <c r="AP84" s="106"/>
      <c r="AQ84" s="114"/>
      <c r="AR84" s="106"/>
      <c r="AS84" s="114"/>
      <c r="AT84" s="106"/>
      <c r="AU84" s="114"/>
      <c r="AV84" s="106"/>
      <c r="AW84" s="114"/>
    </row>
    <row r="85" spans="1:49" s="157" customFormat="1" x14ac:dyDescent="0.3">
      <c r="A85" s="114">
        <f t="shared" si="2"/>
        <v>82</v>
      </c>
      <c r="B85" s="179"/>
      <c r="C85" s="114">
        <v>0</v>
      </c>
      <c r="D85" s="114" t="s">
        <v>991</v>
      </c>
      <c r="E85" s="114" t="s">
        <v>908</v>
      </c>
      <c r="F85" s="114" t="s">
        <v>923</v>
      </c>
      <c r="G85" s="114" t="s">
        <v>868</v>
      </c>
      <c r="H85" s="114"/>
      <c r="I85" s="114"/>
      <c r="J85" s="114"/>
      <c r="K85" s="114" t="s">
        <v>872</v>
      </c>
      <c r="L85" s="114"/>
      <c r="M85" s="114"/>
      <c r="N85" s="114">
        <v>255</v>
      </c>
      <c r="O85" s="180">
        <v>0</v>
      </c>
      <c r="P85" s="180">
        <v>0</v>
      </c>
      <c r="Q85" s="180">
        <v>0</v>
      </c>
      <c r="R85" s="180"/>
      <c r="S85" s="180"/>
      <c r="T85" s="181" t="s">
        <v>1161</v>
      </c>
      <c r="U85" s="179" t="s">
        <v>1165</v>
      </c>
      <c r="V85" s="179"/>
      <c r="W85" s="114"/>
      <c r="X85" s="180"/>
      <c r="Y85" s="182"/>
      <c r="Z85" s="183"/>
      <c r="AA85" s="184"/>
      <c r="AB85" s="182"/>
      <c r="AC85" s="114"/>
      <c r="AD85" s="114"/>
      <c r="AE85" s="114"/>
      <c r="AF85" s="114"/>
      <c r="AG85" s="114"/>
      <c r="AH85" s="106"/>
      <c r="AI85" s="114"/>
      <c r="AJ85" s="106"/>
      <c r="AK85" s="114"/>
      <c r="AL85" s="106"/>
      <c r="AM85" s="114"/>
      <c r="AN85" s="106"/>
      <c r="AO85" s="114"/>
      <c r="AP85" s="106"/>
      <c r="AQ85" s="114"/>
      <c r="AR85" s="106"/>
      <c r="AS85" s="114"/>
      <c r="AT85" s="106"/>
      <c r="AU85" s="114"/>
      <c r="AV85" s="106"/>
      <c r="AW85" s="114"/>
    </row>
    <row r="86" spans="1:49" s="157" customFormat="1" x14ac:dyDescent="0.3">
      <c r="A86" s="114">
        <f t="shared" si="2"/>
        <v>83</v>
      </c>
      <c r="B86" s="179"/>
      <c r="C86" s="114">
        <v>0</v>
      </c>
      <c r="D86" s="114" t="s">
        <v>991</v>
      </c>
      <c r="E86" s="114" t="s">
        <v>908</v>
      </c>
      <c r="F86" s="114" t="s">
        <v>923</v>
      </c>
      <c r="G86" s="114" t="s">
        <v>868</v>
      </c>
      <c r="H86" s="114"/>
      <c r="I86" s="114"/>
      <c r="J86" s="114"/>
      <c r="K86" s="114" t="s">
        <v>872</v>
      </c>
      <c r="L86" s="114"/>
      <c r="M86" s="114"/>
      <c r="N86" s="114">
        <v>255</v>
      </c>
      <c r="O86" s="180">
        <v>0</v>
      </c>
      <c r="P86" s="180">
        <v>0</v>
      </c>
      <c r="Q86" s="180">
        <v>0</v>
      </c>
      <c r="R86" s="180"/>
      <c r="S86" s="180"/>
      <c r="T86" s="181" t="s">
        <v>1161</v>
      </c>
      <c r="U86" s="179" t="s">
        <v>1166</v>
      </c>
      <c r="V86" s="179"/>
      <c r="W86" s="114"/>
      <c r="X86" s="180"/>
      <c r="Y86" s="182"/>
      <c r="Z86" s="183"/>
      <c r="AA86" s="184"/>
      <c r="AB86" s="182"/>
      <c r="AC86" s="114"/>
      <c r="AD86" s="114"/>
      <c r="AE86" s="114"/>
      <c r="AF86" s="114"/>
      <c r="AG86" s="114"/>
      <c r="AH86" s="106"/>
      <c r="AI86" s="114"/>
      <c r="AJ86" s="106"/>
      <c r="AK86" s="114"/>
      <c r="AL86" s="106"/>
      <c r="AM86" s="114"/>
      <c r="AN86" s="106"/>
      <c r="AO86" s="114"/>
      <c r="AP86" s="106"/>
      <c r="AQ86" s="114"/>
      <c r="AR86" s="106"/>
      <c r="AS86" s="114"/>
      <c r="AT86" s="106"/>
      <c r="AU86" s="114"/>
      <c r="AV86" s="106"/>
      <c r="AW86" s="114"/>
    </row>
    <row r="87" spans="1:49" s="157" customFormat="1" x14ac:dyDescent="0.3">
      <c r="A87" s="114">
        <f>A86+1</f>
        <v>84</v>
      </c>
      <c r="B87" s="179"/>
      <c r="C87" s="114">
        <v>0</v>
      </c>
      <c r="D87" s="114" t="s">
        <v>991</v>
      </c>
      <c r="E87" s="114" t="s">
        <v>908</v>
      </c>
      <c r="F87" s="114" t="s">
        <v>923</v>
      </c>
      <c r="G87" s="114" t="s">
        <v>868</v>
      </c>
      <c r="H87" s="114"/>
      <c r="I87" s="114"/>
      <c r="J87" s="114"/>
      <c r="K87" s="114" t="s">
        <v>872</v>
      </c>
      <c r="L87" s="114"/>
      <c r="M87" s="114"/>
      <c r="N87" s="114">
        <v>255</v>
      </c>
      <c r="O87" s="180">
        <v>0</v>
      </c>
      <c r="P87" s="180">
        <v>0</v>
      </c>
      <c r="Q87" s="180">
        <v>0</v>
      </c>
      <c r="R87" s="180"/>
      <c r="S87" s="180"/>
      <c r="T87" s="181" t="s">
        <v>1161</v>
      </c>
      <c r="U87" s="179" t="s">
        <v>1167</v>
      </c>
      <c r="V87" s="179"/>
      <c r="W87" s="114"/>
      <c r="X87" s="180"/>
      <c r="Y87" s="182"/>
      <c r="Z87" s="183"/>
      <c r="AA87" s="184"/>
      <c r="AB87" s="182"/>
      <c r="AC87" s="114"/>
      <c r="AD87" s="114"/>
      <c r="AE87" s="114"/>
      <c r="AF87" s="114"/>
      <c r="AG87" s="114"/>
      <c r="AH87" s="106"/>
      <c r="AI87" s="114"/>
      <c r="AJ87" s="106"/>
      <c r="AK87" s="114"/>
      <c r="AL87" s="106"/>
      <c r="AM87" s="114"/>
      <c r="AN87" s="106"/>
      <c r="AO87" s="114"/>
      <c r="AP87" s="106"/>
      <c r="AQ87" s="114"/>
      <c r="AR87" s="106"/>
      <c r="AS87" s="114"/>
      <c r="AT87" s="106"/>
      <c r="AU87" s="114"/>
      <c r="AV87" s="106"/>
      <c r="AW87" s="114"/>
    </row>
    <row r="88" spans="1:49" s="157" customFormat="1" x14ac:dyDescent="0.3">
      <c r="A88" s="114">
        <f t="shared" si="2"/>
        <v>85</v>
      </c>
      <c r="B88" s="179"/>
      <c r="C88" s="114">
        <v>0</v>
      </c>
      <c r="D88" s="114" t="s">
        <v>991</v>
      </c>
      <c r="E88" s="114" t="s">
        <v>908</v>
      </c>
      <c r="F88" s="114" t="s">
        <v>923</v>
      </c>
      <c r="G88" s="114" t="s">
        <v>868</v>
      </c>
      <c r="H88" s="114"/>
      <c r="I88" s="114"/>
      <c r="J88" s="114"/>
      <c r="K88" s="114" t="s">
        <v>872</v>
      </c>
      <c r="L88" s="114"/>
      <c r="M88" s="114"/>
      <c r="N88" s="114">
        <v>255</v>
      </c>
      <c r="O88" s="180">
        <v>0</v>
      </c>
      <c r="P88" s="180">
        <v>0</v>
      </c>
      <c r="Q88" s="180">
        <v>0</v>
      </c>
      <c r="R88" s="180"/>
      <c r="S88" s="180"/>
      <c r="T88" s="181" t="s">
        <v>1161</v>
      </c>
      <c r="U88" s="179" t="s">
        <v>1168</v>
      </c>
      <c r="V88" s="179"/>
      <c r="W88" s="114"/>
      <c r="X88" s="180"/>
      <c r="Y88" s="182"/>
      <c r="Z88" s="183"/>
      <c r="AA88" s="184"/>
      <c r="AB88" s="182"/>
      <c r="AC88" s="114"/>
      <c r="AD88" s="114"/>
      <c r="AE88" s="114"/>
      <c r="AF88" s="114"/>
      <c r="AG88" s="114"/>
      <c r="AH88" s="106"/>
      <c r="AI88" s="114"/>
      <c r="AJ88" s="106"/>
      <c r="AK88" s="114"/>
      <c r="AL88" s="106"/>
      <c r="AM88" s="114"/>
      <c r="AN88" s="106"/>
      <c r="AO88" s="114"/>
      <c r="AP88" s="106"/>
      <c r="AQ88" s="114"/>
      <c r="AR88" s="106"/>
      <c r="AS88" s="114"/>
      <c r="AT88" s="106"/>
      <c r="AU88" s="114"/>
      <c r="AV88" s="106"/>
      <c r="AW88" s="114"/>
    </row>
    <row r="89" spans="1:49" s="157" customFormat="1" x14ac:dyDescent="0.3">
      <c r="A89" s="114">
        <f t="shared" si="2"/>
        <v>86</v>
      </c>
      <c r="B89" s="179"/>
      <c r="C89" s="114">
        <v>0</v>
      </c>
      <c r="D89" s="114" t="s">
        <v>991</v>
      </c>
      <c r="E89" s="114" t="s">
        <v>908</v>
      </c>
      <c r="F89" s="114" t="s">
        <v>923</v>
      </c>
      <c r="G89" s="114" t="s">
        <v>868</v>
      </c>
      <c r="H89" s="114"/>
      <c r="I89" s="114"/>
      <c r="J89" s="114"/>
      <c r="K89" s="114" t="s">
        <v>872</v>
      </c>
      <c r="L89" s="114"/>
      <c r="M89" s="114"/>
      <c r="N89" s="114">
        <v>255</v>
      </c>
      <c r="O89" s="180">
        <v>0</v>
      </c>
      <c r="P89" s="180">
        <v>0</v>
      </c>
      <c r="Q89" s="180">
        <v>0</v>
      </c>
      <c r="R89" s="180"/>
      <c r="S89" s="180"/>
      <c r="T89" s="181" t="s">
        <v>1161</v>
      </c>
      <c r="U89" s="179" t="s">
        <v>1169</v>
      </c>
      <c r="V89" s="179"/>
      <c r="W89" s="114"/>
      <c r="X89" s="180"/>
      <c r="Y89" s="182"/>
      <c r="Z89" s="183"/>
      <c r="AA89" s="184"/>
      <c r="AB89" s="182"/>
      <c r="AC89" s="114"/>
      <c r="AD89" s="114"/>
      <c r="AE89" s="114"/>
      <c r="AF89" s="114"/>
      <c r="AG89" s="114"/>
      <c r="AH89" s="106"/>
      <c r="AI89" s="114"/>
      <c r="AJ89" s="106"/>
      <c r="AK89" s="114"/>
      <c r="AL89" s="106"/>
      <c r="AM89" s="114"/>
      <c r="AN89" s="106"/>
      <c r="AO89" s="114"/>
      <c r="AP89" s="106"/>
      <c r="AQ89" s="114"/>
      <c r="AR89" s="106"/>
      <c r="AS89" s="114"/>
      <c r="AT89" s="106"/>
      <c r="AU89" s="114"/>
      <c r="AV89" s="106"/>
      <c r="AW89" s="114"/>
    </row>
    <row r="90" spans="1:49" s="157" customFormat="1" x14ac:dyDescent="0.3">
      <c r="A90" s="114">
        <f t="shared" si="2"/>
        <v>87</v>
      </c>
      <c r="B90" s="179"/>
      <c r="C90" s="114">
        <v>0</v>
      </c>
      <c r="D90" s="114" t="s">
        <v>991</v>
      </c>
      <c r="E90" s="114" t="s">
        <v>908</v>
      </c>
      <c r="F90" s="114" t="s">
        <v>923</v>
      </c>
      <c r="G90" s="114" t="s">
        <v>868</v>
      </c>
      <c r="H90" s="114"/>
      <c r="I90" s="114"/>
      <c r="J90" s="114"/>
      <c r="K90" s="114" t="s">
        <v>872</v>
      </c>
      <c r="L90" s="114"/>
      <c r="M90" s="114"/>
      <c r="N90" s="114">
        <v>255</v>
      </c>
      <c r="O90" s="180">
        <v>0</v>
      </c>
      <c r="P90" s="180">
        <v>0</v>
      </c>
      <c r="Q90" s="180">
        <v>0</v>
      </c>
      <c r="R90" s="180"/>
      <c r="S90" s="180"/>
      <c r="T90" s="181" t="s">
        <v>1161</v>
      </c>
      <c r="U90" s="179" t="s">
        <v>1170</v>
      </c>
      <c r="V90" s="179"/>
      <c r="W90" s="114"/>
      <c r="X90" s="180"/>
      <c r="Y90" s="182"/>
      <c r="Z90" s="183"/>
      <c r="AA90" s="184"/>
      <c r="AB90" s="182"/>
      <c r="AC90" s="114"/>
      <c r="AD90" s="114"/>
      <c r="AE90" s="114"/>
      <c r="AF90" s="114"/>
      <c r="AG90" s="114"/>
      <c r="AH90" s="106"/>
      <c r="AI90" s="114"/>
      <c r="AJ90" s="106"/>
      <c r="AK90" s="114"/>
      <c r="AL90" s="106"/>
      <c r="AM90" s="114"/>
      <c r="AN90" s="106"/>
      <c r="AO90" s="114"/>
      <c r="AP90" s="106"/>
      <c r="AQ90" s="114"/>
      <c r="AR90" s="106"/>
      <c r="AS90" s="114"/>
      <c r="AT90" s="106"/>
      <c r="AU90" s="114"/>
      <c r="AV90" s="106"/>
      <c r="AW90" s="114"/>
    </row>
    <row r="91" spans="1:49" s="157" customFormat="1" x14ac:dyDescent="0.3">
      <c r="A91" s="114">
        <f t="shared" si="2"/>
        <v>88</v>
      </c>
      <c r="B91" s="179"/>
      <c r="C91" s="114">
        <v>0</v>
      </c>
      <c r="D91" s="114" t="s">
        <v>991</v>
      </c>
      <c r="E91" s="114" t="s">
        <v>908</v>
      </c>
      <c r="F91" s="114" t="s">
        <v>923</v>
      </c>
      <c r="G91" s="114" t="s">
        <v>868</v>
      </c>
      <c r="H91" s="114"/>
      <c r="I91" s="114"/>
      <c r="J91" s="114"/>
      <c r="K91" s="114" t="s">
        <v>872</v>
      </c>
      <c r="L91" s="114"/>
      <c r="M91" s="114"/>
      <c r="N91" s="114">
        <v>255</v>
      </c>
      <c r="O91" s="180">
        <v>0</v>
      </c>
      <c r="P91" s="180">
        <v>0</v>
      </c>
      <c r="Q91" s="180">
        <v>0</v>
      </c>
      <c r="R91" s="180"/>
      <c r="S91" s="180"/>
      <c r="T91" s="181" t="s">
        <v>1161</v>
      </c>
      <c r="U91" s="179" t="s">
        <v>1171</v>
      </c>
      <c r="V91" s="179"/>
      <c r="W91" s="114"/>
      <c r="X91" s="180"/>
      <c r="Y91" s="182"/>
      <c r="Z91" s="183"/>
      <c r="AA91" s="184"/>
      <c r="AB91" s="182"/>
      <c r="AC91" s="114"/>
      <c r="AD91" s="114"/>
      <c r="AE91" s="114"/>
      <c r="AF91" s="114"/>
      <c r="AG91" s="114"/>
      <c r="AH91" s="106"/>
      <c r="AI91" s="114"/>
      <c r="AJ91" s="106"/>
      <c r="AK91" s="114"/>
      <c r="AL91" s="106"/>
      <c r="AM91" s="114"/>
      <c r="AN91" s="106"/>
      <c r="AO91" s="114"/>
      <c r="AP91" s="106"/>
      <c r="AQ91" s="114"/>
      <c r="AR91" s="106"/>
      <c r="AS91" s="114"/>
      <c r="AT91" s="106"/>
      <c r="AU91" s="114"/>
      <c r="AV91" s="106"/>
      <c r="AW91" s="114"/>
    </row>
    <row r="92" spans="1:49" s="157" customFormat="1" x14ac:dyDescent="0.3">
      <c r="A92" s="114">
        <f t="shared" si="2"/>
        <v>89</v>
      </c>
      <c r="B92" s="179"/>
      <c r="C92" s="114">
        <v>0</v>
      </c>
      <c r="D92" s="114" t="s">
        <v>991</v>
      </c>
      <c r="E92" s="114" t="s">
        <v>908</v>
      </c>
      <c r="F92" s="114" t="s">
        <v>923</v>
      </c>
      <c r="G92" s="114" t="s">
        <v>868</v>
      </c>
      <c r="H92" s="114"/>
      <c r="I92" s="114"/>
      <c r="J92" s="114"/>
      <c r="K92" s="114" t="s">
        <v>872</v>
      </c>
      <c r="L92" s="114"/>
      <c r="M92" s="114"/>
      <c r="N92" s="114">
        <v>255</v>
      </c>
      <c r="O92" s="180">
        <v>0</v>
      </c>
      <c r="P92" s="180">
        <v>0</v>
      </c>
      <c r="Q92" s="180">
        <v>0</v>
      </c>
      <c r="R92" s="180"/>
      <c r="S92" s="180"/>
      <c r="T92" s="181" t="s">
        <v>1161</v>
      </c>
      <c r="U92" s="179" t="s">
        <v>1172</v>
      </c>
      <c r="V92" s="179"/>
      <c r="W92" s="114"/>
      <c r="X92" s="180"/>
      <c r="Y92" s="182"/>
      <c r="Z92" s="183"/>
      <c r="AA92" s="184"/>
      <c r="AB92" s="182"/>
      <c r="AC92" s="114"/>
      <c r="AD92" s="114"/>
      <c r="AE92" s="114"/>
      <c r="AF92" s="114"/>
      <c r="AG92" s="114"/>
      <c r="AH92" s="106"/>
      <c r="AI92" s="114"/>
      <c r="AJ92" s="106"/>
      <c r="AK92" s="114"/>
      <c r="AL92" s="106"/>
      <c r="AM92" s="114"/>
      <c r="AN92" s="106"/>
      <c r="AO92" s="114"/>
      <c r="AP92" s="106"/>
      <c r="AQ92" s="114"/>
      <c r="AR92" s="106"/>
      <c r="AS92" s="114"/>
      <c r="AT92" s="106"/>
      <c r="AU92" s="114"/>
      <c r="AV92" s="106"/>
      <c r="AW92" s="114"/>
    </row>
    <row r="93" spans="1:49" s="157" customFormat="1" x14ac:dyDescent="0.3">
      <c r="A93" s="114">
        <f t="shared" si="2"/>
        <v>90</v>
      </c>
      <c r="B93" s="179"/>
      <c r="C93" s="114">
        <v>0</v>
      </c>
      <c r="D93" s="114" t="s">
        <v>991</v>
      </c>
      <c r="E93" s="114" t="s">
        <v>908</v>
      </c>
      <c r="F93" s="114" t="s">
        <v>923</v>
      </c>
      <c r="G93" s="114" t="s">
        <v>868</v>
      </c>
      <c r="H93" s="114"/>
      <c r="I93" s="114"/>
      <c r="J93" s="114"/>
      <c r="K93" s="114" t="s">
        <v>872</v>
      </c>
      <c r="L93" s="114"/>
      <c r="M93" s="114"/>
      <c r="N93" s="114">
        <v>255</v>
      </c>
      <c r="O93" s="180">
        <v>0</v>
      </c>
      <c r="P93" s="180">
        <v>0</v>
      </c>
      <c r="Q93" s="180">
        <v>0</v>
      </c>
      <c r="R93" s="180"/>
      <c r="S93" s="180"/>
      <c r="T93" s="181" t="s">
        <v>1161</v>
      </c>
      <c r="U93" s="179" t="s">
        <v>1173</v>
      </c>
      <c r="V93" s="179"/>
      <c r="W93" s="114"/>
      <c r="X93" s="180"/>
      <c r="Y93" s="182"/>
      <c r="Z93" s="183"/>
      <c r="AA93" s="184"/>
      <c r="AB93" s="182"/>
      <c r="AC93" s="114"/>
      <c r="AD93" s="114"/>
      <c r="AE93" s="114"/>
      <c r="AF93" s="114"/>
      <c r="AG93" s="114"/>
      <c r="AH93" s="106"/>
      <c r="AI93" s="114"/>
      <c r="AJ93" s="106"/>
      <c r="AK93" s="114"/>
      <c r="AL93" s="106"/>
      <c r="AM93" s="114"/>
      <c r="AN93" s="106"/>
      <c r="AO93" s="114"/>
      <c r="AP93" s="106"/>
      <c r="AQ93" s="114"/>
      <c r="AR93" s="106"/>
      <c r="AS93" s="114"/>
      <c r="AT93" s="106"/>
      <c r="AU93" s="114"/>
      <c r="AV93" s="106"/>
      <c r="AW93" s="114"/>
    </row>
    <row r="94" spans="1:49" s="157" customFormat="1" x14ac:dyDescent="0.3">
      <c r="A94" s="114">
        <f t="shared" si="2"/>
        <v>91</v>
      </c>
      <c r="B94" s="179"/>
      <c r="C94" s="114">
        <v>0</v>
      </c>
      <c r="D94" s="114" t="s">
        <v>991</v>
      </c>
      <c r="E94" s="114" t="s">
        <v>908</v>
      </c>
      <c r="F94" s="114" t="s">
        <v>923</v>
      </c>
      <c r="G94" s="114" t="s">
        <v>868</v>
      </c>
      <c r="H94" s="114"/>
      <c r="I94" s="114"/>
      <c r="J94" s="114"/>
      <c r="K94" s="114" t="s">
        <v>872</v>
      </c>
      <c r="L94" s="114"/>
      <c r="M94" s="114"/>
      <c r="N94" s="114">
        <v>255</v>
      </c>
      <c r="O94" s="180">
        <v>0</v>
      </c>
      <c r="P94" s="180">
        <v>0</v>
      </c>
      <c r="Q94" s="180">
        <v>0</v>
      </c>
      <c r="R94" s="180"/>
      <c r="S94" s="180"/>
      <c r="T94" s="181" t="s">
        <v>1161</v>
      </c>
      <c r="U94" s="179" t="s">
        <v>1174</v>
      </c>
      <c r="V94" s="179"/>
      <c r="W94" s="114"/>
      <c r="X94" s="180"/>
      <c r="Y94" s="182"/>
      <c r="Z94" s="183"/>
      <c r="AA94" s="184"/>
      <c r="AB94" s="182"/>
      <c r="AC94" s="114"/>
      <c r="AD94" s="114"/>
      <c r="AE94" s="114"/>
      <c r="AF94" s="114"/>
      <c r="AG94" s="114"/>
      <c r="AH94" s="106"/>
      <c r="AI94" s="114"/>
      <c r="AJ94" s="106"/>
      <c r="AK94" s="114"/>
      <c r="AL94" s="106"/>
      <c r="AM94" s="114"/>
      <c r="AN94" s="106"/>
      <c r="AO94" s="114"/>
      <c r="AP94" s="106"/>
      <c r="AQ94" s="114"/>
      <c r="AR94" s="106"/>
      <c r="AS94" s="114"/>
      <c r="AT94" s="106"/>
      <c r="AU94" s="114"/>
      <c r="AV94" s="106"/>
      <c r="AW94" s="114"/>
    </row>
    <row r="95" spans="1:49" s="157" customFormat="1" x14ac:dyDescent="0.3">
      <c r="A95" s="114">
        <f>A94+1</f>
        <v>92</v>
      </c>
      <c r="B95" s="179"/>
      <c r="C95" s="114">
        <v>0</v>
      </c>
      <c r="D95" s="114" t="s">
        <v>991</v>
      </c>
      <c r="E95" s="114" t="s">
        <v>908</v>
      </c>
      <c r="F95" s="114" t="s">
        <v>923</v>
      </c>
      <c r="G95" s="114" t="s">
        <v>868</v>
      </c>
      <c r="H95" s="114"/>
      <c r="I95" s="114"/>
      <c r="J95" s="114"/>
      <c r="K95" s="114" t="s">
        <v>872</v>
      </c>
      <c r="L95" s="114"/>
      <c r="M95" s="114"/>
      <c r="N95" s="114">
        <v>255</v>
      </c>
      <c r="O95" s="180">
        <v>0</v>
      </c>
      <c r="P95" s="180">
        <v>0</v>
      </c>
      <c r="Q95" s="180">
        <v>0</v>
      </c>
      <c r="R95" s="180"/>
      <c r="S95" s="180"/>
      <c r="T95" s="181" t="s">
        <v>1161</v>
      </c>
      <c r="U95" s="179" t="s">
        <v>1175</v>
      </c>
      <c r="V95" s="179"/>
      <c r="W95" s="114"/>
      <c r="X95" s="180"/>
      <c r="Y95" s="182"/>
      <c r="Z95" s="183"/>
      <c r="AA95" s="184"/>
      <c r="AB95" s="182"/>
      <c r="AC95" s="114"/>
      <c r="AD95" s="114"/>
      <c r="AE95" s="114"/>
      <c r="AF95" s="114"/>
      <c r="AG95" s="114"/>
      <c r="AH95" s="106"/>
      <c r="AI95" s="114"/>
      <c r="AJ95" s="106"/>
      <c r="AK95" s="114"/>
      <c r="AL95" s="106"/>
      <c r="AM95" s="114"/>
      <c r="AN95" s="106"/>
      <c r="AO95" s="114"/>
      <c r="AP95" s="106"/>
      <c r="AQ95" s="114"/>
      <c r="AR95" s="106"/>
      <c r="AS95" s="114"/>
      <c r="AT95" s="106"/>
      <c r="AU95" s="114"/>
      <c r="AV95" s="106"/>
      <c r="AW95" s="114"/>
    </row>
    <row r="96" spans="1:49" s="157" customFormat="1" x14ac:dyDescent="0.3">
      <c r="A96" s="114">
        <f t="shared" si="2"/>
        <v>93</v>
      </c>
      <c r="B96" s="179"/>
      <c r="C96" s="114">
        <v>0</v>
      </c>
      <c r="D96" s="114" t="s">
        <v>991</v>
      </c>
      <c r="E96" s="114" t="s">
        <v>908</v>
      </c>
      <c r="F96" s="114" t="s">
        <v>923</v>
      </c>
      <c r="G96" s="114" t="s">
        <v>868</v>
      </c>
      <c r="H96" s="114"/>
      <c r="I96" s="114"/>
      <c r="J96" s="114"/>
      <c r="K96" s="114" t="s">
        <v>872</v>
      </c>
      <c r="L96" s="114"/>
      <c r="M96" s="114"/>
      <c r="N96" s="114">
        <v>255</v>
      </c>
      <c r="O96" s="180">
        <v>0</v>
      </c>
      <c r="P96" s="180">
        <v>0</v>
      </c>
      <c r="Q96" s="180">
        <v>0</v>
      </c>
      <c r="R96" s="180"/>
      <c r="S96" s="180"/>
      <c r="T96" s="181" t="s">
        <v>1161</v>
      </c>
      <c r="U96" s="179" t="s">
        <v>1176</v>
      </c>
      <c r="V96" s="179"/>
      <c r="W96" s="114"/>
      <c r="X96" s="180"/>
      <c r="Y96" s="182"/>
      <c r="Z96" s="183"/>
      <c r="AA96" s="184"/>
      <c r="AB96" s="182"/>
      <c r="AC96" s="114"/>
      <c r="AD96" s="114"/>
      <c r="AE96" s="114"/>
      <c r="AF96" s="114"/>
      <c r="AG96" s="114"/>
      <c r="AH96" s="106"/>
      <c r="AI96" s="114"/>
      <c r="AJ96" s="106"/>
      <c r="AK96" s="114"/>
      <c r="AL96" s="106"/>
      <c r="AM96" s="114"/>
      <c r="AN96" s="106"/>
      <c r="AO96" s="114"/>
      <c r="AP96" s="106"/>
      <c r="AQ96" s="114"/>
      <c r="AR96" s="106"/>
      <c r="AS96" s="114"/>
      <c r="AT96" s="106"/>
      <c r="AU96" s="114"/>
      <c r="AV96" s="106"/>
      <c r="AW96" s="114"/>
    </row>
    <row r="97" spans="1:55" s="157" customFormat="1" x14ac:dyDescent="0.3">
      <c r="A97" s="114">
        <f t="shared" si="2"/>
        <v>94</v>
      </c>
      <c r="B97" s="179"/>
      <c r="C97" s="114">
        <v>0</v>
      </c>
      <c r="D97" s="114" t="s">
        <v>991</v>
      </c>
      <c r="E97" s="114" t="s">
        <v>908</v>
      </c>
      <c r="F97" s="114" t="s">
        <v>923</v>
      </c>
      <c r="G97" s="114" t="s">
        <v>868</v>
      </c>
      <c r="H97" s="114"/>
      <c r="I97" s="114"/>
      <c r="J97" s="114"/>
      <c r="K97" s="114" t="s">
        <v>872</v>
      </c>
      <c r="L97" s="114"/>
      <c r="M97" s="114"/>
      <c r="N97" s="114">
        <v>255</v>
      </c>
      <c r="O97" s="180">
        <v>0</v>
      </c>
      <c r="P97" s="180">
        <v>0</v>
      </c>
      <c r="Q97" s="180">
        <v>0</v>
      </c>
      <c r="R97" s="180"/>
      <c r="S97" s="180"/>
      <c r="T97" s="181" t="s">
        <v>1161</v>
      </c>
      <c r="U97" s="179" t="s">
        <v>1177</v>
      </c>
      <c r="V97" s="179"/>
      <c r="W97" s="114"/>
      <c r="X97" s="180"/>
      <c r="Y97" s="182"/>
      <c r="Z97" s="183"/>
      <c r="AA97" s="184"/>
      <c r="AB97" s="182"/>
      <c r="AC97" s="114"/>
      <c r="AD97" s="114"/>
      <c r="AE97" s="114"/>
      <c r="AF97" s="114"/>
      <c r="AG97" s="114"/>
      <c r="AH97" s="106"/>
      <c r="AI97" s="114"/>
      <c r="AJ97" s="106"/>
      <c r="AK97" s="114"/>
      <c r="AL97" s="106"/>
      <c r="AM97" s="114"/>
      <c r="AN97" s="106"/>
      <c r="AO97" s="114"/>
      <c r="AP97" s="106"/>
      <c r="AQ97" s="114"/>
      <c r="AR97" s="106"/>
      <c r="AS97" s="114"/>
      <c r="AT97" s="106"/>
      <c r="AU97" s="114"/>
      <c r="AV97" s="106"/>
      <c r="AW97" s="114"/>
    </row>
    <row r="98" spans="1:55" s="157" customFormat="1" x14ac:dyDescent="0.3">
      <c r="A98" s="114">
        <f t="shared" si="2"/>
        <v>95</v>
      </c>
      <c r="B98" s="179"/>
      <c r="C98" s="114">
        <v>0</v>
      </c>
      <c r="D98" s="114" t="s">
        <v>991</v>
      </c>
      <c r="E98" s="114" t="s">
        <v>908</v>
      </c>
      <c r="F98" s="114" t="s">
        <v>923</v>
      </c>
      <c r="G98" s="114" t="s">
        <v>868</v>
      </c>
      <c r="H98" s="114"/>
      <c r="I98" s="114"/>
      <c r="J98" s="114"/>
      <c r="K98" s="114" t="s">
        <v>872</v>
      </c>
      <c r="L98" s="114"/>
      <c r="M98" s="114"/>
      <c r="N98" s="114">
        <v>255</v>
      </c>
      <c r="O98" s="180">
        <v>0</v>
      </c>
      <c r="P98" s="180">
        <v>0</v>
      </c>
      <c r="Q98" s="180">
        <v>0</v>
      </c>
      <c r="R98" s="180"/>
      <c r="S98" s="180"/>
      <c r="T98" s="181" t="s">
        <v>1161</v>
      </c>
      <c r="U98" s="179" t="s">
        <v>1178</v>
      </c>
      <c r="V98" s="179"/>
      <c r="W98" s="114"/>
      <c r="X98" s="180"/>
      <c r="Y98" s="182"/>
      <c r="Z98" s="183"/>
      <c r="AA98" s="184"/>
      <c r="AB98" s="182"/>
      <c r="AC98" s="114"/>
      <c r="AD98" s="114"/>
      <c r="AE98" s="114"/>
      <c r="AF98" s="114"/>
      <c r="AG98" s="114"/>
      <c r="AH98" s="106"/>
      <c r="AI98" s="114"/>
      <c r="AJ98" s="106"/>
      <c r="AK98" s="114"/>
      <c r="AL98" s="106"/>
      <c r="AM98" s="114"/>
      <c r="AN98" s="106"/>
      <c r="AO98" s="114"/>
      <c r="AP98" s="106"/>
      <c r="AQ98" s="114"/>
      <c r="AR98" s="106"/>
      <c r="AS98" s="114"/>
      <c r="AT98" s="106"/>
      <c r="AU98" s="114"/>
      <c r="AV98" s="106"/>
      <c r="AW98" s="114"/>
    </row>
    <row r="99" spans="1:55" s="157" customFormat="1" x14ac:dyDescent="0.3">
      <c r="A99" s="114">
        <f t="shared" si="2"/>
        <v>96</v>
      </c>
      <c r="B99" s="179"/>
      <c r="C99" s="114">
        <v>0</v>
      </c>
      <c r="D99" s="114" t="s">
        <v>991</v>
      </c>
      <c r="E99" s="114" t="s">
        <v>908</v>
      </c>
      <c r="F99" s="114" t="s">
        <v>923</v>
      </c>
      <c r="G99" s="114" t="s">
        <v>868</v>
      </c>
      <c r="H99" s="114"/>
      <c r="I99" s="114"/>
      <c r="J99" s="114"/>
      <c r="K99" s="114" t="s">
        <v>872</v>
      </c>
      <c r="L99" s="114"/>
      <c r="M99" s="114"/>
      <c r="N99" s="114">
        <v>255</v>
      </c>
      <c r="O99" s="180">
        <v>0</v>
      </c>
      <c r="P99" s="180">
        <v>0</v>
      </c>
      <c r="Q99" s="180">
        <v>0</v>
      </c>
      <c r="R99" s="180"/>
      <c r="S99" s="180"/>
      <c r="T99" s="181" t="s">
        <v>1161</v>
      </c>
      <c r="U99" s="179" t="s">
        <v>1179</v>
      </c>
      <c r="V99" s="179"/>
      <c r="W99" s="114"/>
      <c r="X99" s="180"/>
      <c r="Y99" s="182"/>
      <c r="Z99" s="183"/>
      <c r="AA99" s="184"/>
      <c r="AB99" s="182"/>
      <c r="AC99" s="114"/>
      <c r="AD99" s="114"/>
      <c r="AE99" s="114"/>
      <c r="AF99" s="114"/>
      <c r="AG99" s="114"/>
      <c r="AH99" s="106"/>
      <c r="AI99" s="114"/>
      <c r="AJ99" s="106"/>
      <c r="AK99" s="114"/>
      <c r="AL99" s="106"/>
      <c r="AM99" s="114"/>
      <c r="AN99" s="106"/>
      <c r="AO99" s="114"/>
      <c r="AP99" s="106"/>
      <c r="AQ99" s="114"/>
      <c r="AR99" s="106"/>
      <c r="AS99" s="114"/>
      <c r="AT99" s="106"/>
      <c r="AU99" s="114"/>
      <c r="AV99" s="106"/>
      <c r="AW99" s="114"/>
    </row>
    <row r="100" spans="1:55" s="157" customFormat="1" x14ac:dyDescent="0.3">
      <c r="A100" s="114">
        <f t="shared" si="2"/>
        <v>97</v>
      </c>
      <c r="B100" s="179"/>
      <c r="C100" s="114">
        <v>0</v>
      </c>
      <c r="D100" s="114" t="s">
        <v>991</v>
      </c>
      <c r="E100" s="114" t="s">
        <v>908</v>
      </c>
      <c r="F100" s="114" t="s">
        <v>923</v>
      </c>
      <c r="G100" s="114" t="s">
        <v>868</v>
      </c>
      <c r="H100" s="114"/>
      <c r="I100" s="114"/>
      <c r="J100" s="114"/>
      <c r="K100" s="114" t="s">
        <v>872</v>
      </c>
      <c r="L100" s="114"/>
      <c r="M100" s="114"/>
      <c r="N100" s="114">
        <v>255</v>
      </c>
      <c r="O100" s="180">
        <v>0</v>
      </c>
      <c r="P100" s="180">
        <v>0</v>
      </c>
      <c r="Q100" s="180">
        <v>0</v>
      </c>
      <c r="R100" s="180"/>
      <c r="S100" s="180"/>
      <c r="T100" s="181" t="s">
        <v>1161</v>
      </c>
      <c r="U100" s="179" t="s">
        <v>1180</v>
      </c>
      <c r="V100" s="179"/>
      <c r="W100" s="114"/>
      <c r="X100" s="180"/>
      <c r="Y100" s="182"/>
      <c r="Z100" s="183"/>
      <c r="AA100" s="184"/>
      <c r="AB100" s="182"/>
      <c r="AC100" s="114"/>
      <c r="AD100" s="114"/>
      <c r="AE100" s="114"/>
      <c r="AF100" s="114"/>
      <c r="AG100" s="114"/>
      <c r="AH100" s="106"/>
      <c r="AI100" s="114"/>
      <c r="AJ100" s="106"/>
      <c r="AK100" s="114"/>
      <c r="AL100" s="106"/>
      <c r="AM100" s="114"/>
      <c r="AN100" s="106"/>
      <c r="AO100" s="114"/>
      <c r="AP100" s="106"/>
      <c r="AQ100" s="114"/>
      <c r="AR100" s="106"/>
      <c r="AS100" s="114"/>
      <c r="AT100" s="106"/>
      <c r="AU100" s="114"/>
      <c r="AV100" s="106"/>
      <c r="AW100" s="114"/>
    </row>
    <row r="101" spans="1:55" s="188" customFormat="1" x14ac:dyDescent="0.3">
      <c r="A101" s="114">
        <f>A100+1</f>
        <v>98</v>
      </c>
      <c r="B101" s="179"/>
      <c r="C101" s="114">
        <v>0</v>
      </c>
      <c r="D101" s="114" t="s">
        <v>991</v>
      </c>
      <c r="E101" s="114" t="s">
        <v>944</v>
      </c>
      <c r="F101" s="114" t="s">
        <v>923</v>
      </c>
      <c r="G101" s="114" t="s">
        <v>868</v>
      </c>
      <c r="H101" s="114"/>
      <c r="I101" s="114"/>
      <c r="J101" s="114"/>
      <c r="K101" s="114" t="s">
        <v>872</v>
      </c>
      <c r="L101" s="114" t="s">
        <v>1009</v>
      </c>
      <c r="M101" s="114"/>
      <c r="N101" s="114">
        <v>2</v>
      </c>
      <c r="O101" s="180" t="s">
        <v>1181</v>
      </c>
      <c r="P101" s="180" t="s">
        <v>1182</v>
      </c>
      <c r="Q101" s="180" t="s">
        <v>1181</v>
      </c>
      <c r="R101" s="180"/>
      <c r="S101" s="180"/>
      <c r="T101" s="181" t="s">
        <v>1183</v>
      </c>
      <c r="U101" s="179" t="s">
        <v>172</v>
      </c>
      <c r="V101" s="179"/>
      <c r="W101" s="114"/>
      <c r="X101" s="180"/>
      <c r="Y101" s="182"/>
      <c r="Z101" s="183"/>
      <c r="AA101" s="184"/>
      <c r="AB101" s="184"/>
      <c r="AC101" s="190"/>
      <c r="AD101" s="190"/>
      <c r="AE101" s="190"/>
      <c r="AF101" s="190"/>
      <c r="AG101" s="190"/>
      <c r="AH101" s="123"/>
      <c r="AI101" s="190"/>
      <c r="AJ101" s="123"/>
      <c r="AK101" s="190"/>
      <c r="AL101" s="123"/>
      <c r="AM101" s="190"/>
      <c r="AN101" s="123"/>
      <c r="AO101" s="190"/>
      <c r="AP101" s="123"/>
      <c r="AQ101" s="190"/>
      <c r="AR101" s="123"/>
      <c r="AS101" s="190"/>
      <c r="AT101" s="123"/>
      <c r="AU101" s="190"/>
      <c r="AV101" s="123"/>
      <c r="AW101" s="190"/>
    </row>
    <row r="102" spans="1:55" s="188" customFormat="1" x14ac:dyDescent="0.3">
      <c r="A102" s="114">
        <f t="shared" si="2"/>
        <v>99</v>
      </c>
      <c r="B102" s="179"/>
      <c r="C102" s="114">
        <v>0</v>
      </c>
      <c r="D102" s="114" t="s">
        <v>991</v>
      </c>
      <c r="E102" s="114" t="s">
        <v>944</v>
      </c>
      <c r="F102" s="114" t="s">
        <v>923</v>
      </c>
      <c r="G102" s="114" t="s">
        <v>868</v>
      </c>
      <c r="H102" s="114"/>
      <c r="I102" s="114"/>
      <c r="J102" s="114"/>
      <c r="K102" s="114" t="s">
        <v>872</v>
      </c>
      <c r="L102" s="114" t="s">
        <v>1009</v>
      </c>
      <c r="M102" s="114"/>
      <c r="N102" s="114">
        <v>2</v>
      </c>
      <c r="O102" s="180" t="s">
        <v>1181</v>
      </c>
      <c r="P102" s="180" t="s">
        <v>1182</v>
      </c>
      <c r="Q102" s="180" t="s">
        <v>1181</v>
      </c>
      <c r="R102" s="180"/>
      <c r="S102" s="180"/>
      <c r="T102" s="181" t="s">
        <v>1184</v>
      </c>
      <c r="U102" s="179" t="s">
        <v>173</v>
      </c>
      <c r="V102" s="179"/>
      <c r="W102" s="114"/>
      <c r="X102" s="180"/>
      <c r="Y102" s="182"/>
      <c r="Z102" s="183"/>
      <c r="AA102" s="184"/>
      <c r="AB102" s="184"/>
      <c r="AC102" s="190">
        <v>8</v>
      </c>
      <c r="AD102" s="190"/>
      <c r="AE102" s="190"/>
      <c r="AF102" s="190"/>
      <c r="AG102" s="190"/>
      <c r="AH102" s="123"/>
      <c r="AI102" s="190"/>
      <c r="AJ102" s="123"/>
      <c r="AK102" s="190"/>
      <c r="AL102" s="123"/>
      <c r="AM102" s="190"/>
      <c r="AN102" s="123"/>
      <c r="AO102" s="190"/>
      <c r="AP102" s="123"/>
      <c r="AQ102" s="190"/>
      <c r="AR102" s="123"/>
      <c r="AS102" s="190"/>
      <c r="AT102" s="123"/>
      <c r="AU102" s="190"/>
      <c r="AV102" s="123"/>
      <c r="AW102" s="190"/>
    </row>
    <row r="103" spans="1:55" s="157" customFormat="1" x14ac:dyDescent="0.3">
      <c r="A103" s="114">
        <v>100</v>
      </c>
      <c r="B103" s="179" t="s">
        <v>1185</v>
      </c>
      <c r="C103" s="114">
        <v>0</v>
      </c>
      <c r="D103" s="114" t="s">
        <v>991</v>
      </c>
      <c r="E103" s="114" t="s">
        <v>980</v>
      </c>
      <c r="F103" s="114" t="s">
        <v>923</v>
      </c>
      <c r="G103" s="114" t="s">
        <v>868</v>
      </c>
      <c r="H103" s="114"/>
      <c r="I103" s="114"/>
      <c r="J103" s="114" t="s">
        <v>871</v>
      </c>
      <c r="K103" s="114"/>
      <c r="L103" s="114"/>
      <c r="M103" s="114"/>
      <c r="N103" s="114">
        <v>3</v>
      </c>
      <c r="O103" s="180">
        <v>-32768</v>
      </c>
      <c r="P103" s="180">
        <v>32767</v>
      </c>
      <c r="Q103" s="180">
        <v>0</v>
      </c>
      <c r="R103" s="180"/>
      <c r="S103" s="180"/>
      <c r="T103" s="181" t="s">
        <v>1186</v>
      </c>
      <c r="U103" s="179" t="s">
        <v>1187</v>
      </c>
      <c r="V103" s="179" t="s">
        <v>1188</v>
      </c>
      <c r="W103" s="114" t="str">
        <f>CONCATENATE("0x",TEXT(DEC2HEX(HEX2DEC("0")*256+(0)*2, 4),"0000"))</f>
        <v>0x0000</v>
      </c>
      <c r="X103" s="180">
        <v>16</v>
      </c>
      <c r="Y103" s="182" t="s">
        <v>913</v>
      </c>
      <c r="Z103" s="183" t="s">
        <v>1189</v>
      </c>
      <c r="AA103" s="184"/>
      <c r="AB103" s="182"/>
      <c r="AC103" s="114"/>
      <c r="AD103" s="114"/>
      <c r="AE103" s="114"/>
      <c r="AF103" s="114"/>
      <c r="AG103" s="114"/>
      <c r="AH103" s="106"/>
      <c r="AI103" s="114"/>
      <c r="AJ103" s="106"/>
      <c r="AK103" s="114"/>
      <c r="AL103" s="106"/>
      <c r="AM103" s="114"/>
      <c r="AN103" s="106"/>
      <c r="AO103" s="114"/>
      <c r="AP103" s="106"/>
      <c r="AQ103" s="114"/>
      <c r="AR103" s="106"/>
      <c r="AS103" s="114"/>
      <c r="AT103" s="106"/>
      <c r="AU103" s="114"/>
      <c r="AV103" s="106"/>
      <c r="AW103" s="114"/>
    </row>
    <row r="104" spans="1:55" x14ac:dyDescent="0.3">
      <c r="A104" s="114">
        <f t="shared" ref="A104:A159" si="3">A103+1</f>
        <v>101</v>
      </c>
      <c r="B104" s="179" t="s">
        <v>1190</v>
      </c>
      <c r="C104" s="114">
        <v>0</v>
      </c>
      <c r="D104" s="114" t="s">
        <v>991</v>
      </c>
      <c r="E104" s="114" t="s">
        <v>929</v>
      </c>
      <c r="F104" s="114" t="s">
        <v>909</v>
      </c>
      <c r="G104" s="114"/>
      <c r="H104" s="114"/>
      <c r="I104" s="114"/>
      <c r="J104" s="114" t="s">
        <v>871</v>
      </c>
      <c r="K104" s="114"/>
      <c r="L104" s="114"/>
      <c r="M104" s="114"/>
      <c r="N104" s="114">
        <v>8</v>
      </c>
      <c r="O104" s="180" t="s">
        <v>909</v>
      </c>
      <c r="P104" s="180" t="s">
        <v>1191</v>
      </c>
      <c r="Q104" s="180" t="s">
        <v>909</v>
      </c>
      <c r="R104" s="180"/>
      <c r="S104" s="180"/>
      <c r="T104" s="181" t="s">
        <v>1192</v>
      </c>
      <c r="U104" s="179" t="s">
        <v>1193</v>
      </c>
      <c r="V104" s="179" t="s">
        <v>1194</v>
      </c>
      <c r="W104" s="114" t="str">
        <f>CONCATENATE("0x",TEXT(DEC2HEX(HEX2DEC("0")*256+(1)*2, 4),"0000"))</f>
        <v>0x0002</v>
      </c>
      <c r="X104" s="179">
        <v>16</v>
      </c>
      <c r="Y104" s="182" t="s">
        <v>913</v>
      </c>
      <c r="Z104" s="183" t="s">
        <v>1195</v>
      </c>
      <c r="AA104" s="184"/>
      <c r="AB104" s="182"/>
      <c r="AC104" s="114"/>
      <c r="AD104" s="172" t="s">
        <v>887</v>
      </c>
      <c r="AE104" s="114"/>
      <c r="AF104" s="114"/>
      <c r="AG104" s="114"/>
      <c r="AH104" s="106"/>
      <c r="AI104" s="114"/>
      <c r="AJ104" s="106"/>
      <c r="AK104" s="114"/>
      <c r="AL104" s="106"/>
      <c r="AM104" s="114"/>
      <c r="AN104" s="106"/>
      <c r="AO104" s="114"/>
      <c r="AP104" s="106"/>
      <c r="AQ104" s="114"/>
      <c r="AR104" s="106"/>
      <c r="AS104" s="114"/>
      <c r="AT104" s="106"/>
      <c r="AU104" s="114"/>
      <c r="AV104" s="106"/>
      <c r="AW104" s="114"/>
      <c r="AX104" s="157"/>
      <c r="AY104" s="157"/>
      <c r="AZ104" s="157"/>
      <c r="BA104" s="157"/>
      <c r="BB104" s="157"/>
      <c r="BC104" s="157"/>
    </row>
    <row r="105" spans="1:55" ht="52.8" x14ac:dyDescent="0.3">
      <c r="A105" s="114">
        <f t="shared" si="3"/>
        <v>102</v>
      </c>
      <c r="B105" s="179" t="s">
        <v>1196</v>
      </c>
      <c r="C105" s="114">
        <v>0</v>
      </c>
      <c r="D105" s="114" t="s">
        <v>991</v>
      </c>
      <c r="E105" s="114" t="s">
        <v>980</v>
      </c>
      <c r="F105" s="114" t="s">
        <v>909</v>
      </c>
      <c r="G105" s="114"/>
      <c r="H105" s="114"/>
      <c r="I105" s="114"/>
      <c r="J105" s="114"/>
      <c r="K105" s="114"/>
      <c r="L105" s="114"/>
      <c r="M105" s="114"/>
      <c r="N105" s="114">
        <v>4</v>
      </c>
      <c r="O105" s="180">
        <v>-300</v>
      </c>
      <c r="P105" s="180">
        <v>127</v>
      </c>
      <c r="Q105" s="180">
        <v>1</v>
      </c>
      <c r="R105" s="180"/>
      <c r="S105" s="180"/>
      <c r="T105" s="181" t="s">
        <v>1197</v>
      </c>
      <c r="U105" s="179" t="s">
        <v>1198</v>
      </c>
      <c r="V105" s="179" t="s">
        <v>1199</v>
      </c>
      <c r="W105" s="114" t="str">
        <f>CONCATENATE("0x",TEXT(DEC2HEX(HEX2DEC("0")*256+(2)*2, 4),"0000"))</f>
        <v>0x0004</v>
      </c>
      <c r="X105" s="179">
        <v>16</v>
      </c>
      <c r="Y105" s="182" t="s">
        <v>913</v>
      </c>
      <c r="Z105" s="183" t="s">
        <v>1200</v>
      </c>
      <c r="AA105" s="188"/>
      <c r="AB105" s="182"/>
      <c r="AC105" s="114">
        <v>1</v>
      </c>
      <c r="AD105" s="172" t="s">
        <v>887</v>
      </c>
      <c r="AE105" s="114"/>
      <c r="AF105" s="114"/>
      <c r="AG105" s="114"/>
      <c r="AH105" s="106"/>
      <c r="AI105" s="114"/>
      <c r="AJ105" s="106"/>
      <c r="AK105" s="114"/>
      <c r="AL105" s="106"/>
      <c r="AM105" s="114"/>
      <c r="AN105" s="106"/>
      <c r="AO105" s="114"/>
      <c r="AP105" s="106"/>
      <c r="AQ105" s="114"/>
      <c r="AR105" s="106"/>
      <c r="AS105" s="114"/>
      <c r="AT105" s="106"/>
      <c r="AU105" s="114"/>
      <c r="AV105" s="106"/>
      <c r="AW105" s="114"/>
      <c r="AX105" s="157"/>
      <c r="AY105" s="157"/>
      <c r="AZ105" s="157"/>
      <c r="BA105" s="157"/>
      <c r="BB105" s="157"/>
      <c r="BC105" s="157"/>
    </row>
    <row r="106" spans="1:55" x14ac:dyDescent="0.3">
      <c r="A106" s="114">
        <f t="shared" si="3"/>
        <v>103</v>
      </c>
      <c r="B106" s="179" t="s">
        <v>1201</v>
      </c>
      <c r="C106" s="114">
        <v>0</v>
      </c>
      <c r="D106" s="114" t="s">
        <v>991</v>
      </c>
      <c r="E106" s="114" t="s">
        <v>929</v>
      </c>
      <c r="F106" s="114" t="s">
        <v>909</v>
      </c>
      <c r="G106" s="114"/>
      <c r="H106" s="114"/>
      <c r="I106" s="114"/>
      <c r="J106" s="114"/>
      <c r="K106" s="114"/>
      <c r="L106" s="114"/>
      <c r="M106" s="191" t="s">
        <v>874</v>
      </c>
      <c r="N106" s="114">
        <v>3</v>
      </c>
      <c r="O106" s="180" t="s">
        <v>909</v>
      </c>
      <c r="P106" s="180" t="s">
        <v>1202</v>
      </c>
      <c r="Q106" s="180" t="s">
        <v>909</v>
      </c>
      <c r="R106" s="180"/>
      <c r="S106" s="180"/>
      <c r="T106" s="181" t="s">
        <v>1203</v>
      </c>
      <c r="U106" s="179" t="s">
        <v>1204</v>
      </c>
      <c r="V106" s="179" t="s">
        <v>1205</v>
      </c>
      <c r="W106" s="114" t="str">
        <f>CONCATENATE("0x",TEXT(DEC2HEX(HEX2DEC("0")*256+(3)*2, 4),"0000"))</f>
        <v>0x0006</v>
      </c>
      <c r="X106" s="179">
        <v>16</v>
      </c>
      <c r="Y106" s="182" t="s">
        <v>913</v>
      </c>
      <c r="Z106" s="183"/>
      <c r="AA106" s="184"/>
      <c r="AB106" s="182"/>
      <c r="AC106" s="114">
        <v>2</v>
      </c>
      <c r="AD106" s="172" t="s">
        <v>887</v>
      </c>
      <c r="AE106" s="114"/>
      <c r="AF106" s="114"/>
      <c r="AG106" s="114"/>
      <c r="AH106" s="106"/>
      <c r="AI106" s="114"/>
      <c r="AJ106" s="106"/>
      <c r="AK106" s="114"/>
      <c r="AL106" s="106"/>
      <c r="AM106" s="114"/>
      <c r="AN106" s="106"/>
      <c r="AO106" s="114"/>
      <c r="AP106" s="106"/>
      <c r="AQ106" s="114"/>
      <c r="AR106" s="106"/>
      <c r="AS106" s="114"/>
      <c r="AT106" s="106"/>
      <c r="AU106" s="114"/>
      <c r="AV106" s="106"/>
      <c r="AW106" s="114"/>
      <c r="AX106" s="157"/>
      <c r="AY106" s="157"/>
      <c r="AZ106" s="157"/>
      <c r="BA106" s="157"/>
      <c r="BB106" s="157"/>
      <c r="BC106" s="157"/>
    </row>
    <row r="107" spans="1:55" x14ac:dyDescent="0.3">
      <c r="A107" s="114">
        <f t="shared" si="3"/>
        <v>104</v>
      </c>
      <c r="B107" s="179" t="s">
        <v>1206</v>
      </c>
      <c r="C107" s="114">
        <v>0</v>
      </c>
      <c r="D107" s="114" t="s">
        <v>991</v>
      </c>
      <c r="E107" s="114" t="s">
        <v>944</v>
      </c>
      <c r="F107" s="114" t="s">
        <v>923</v>
      </c>
      <c r="G107" s="114" t="s">
        <v>868</v>
      </c>
      <c r="H107" s="114"/>
      <c r="I107" s="114"/>
      <c r="J107" s="114"/>
      <c r="K107" s="114"/>
      <c r="L107" s="114"/>
      <c r="M107" s="114"/>
      <c r="N107" s="114">
        <v>8</v>
      </c>
      <c r="O107" s="180" t="s">
        <v>1181</v>
      </c>
      <c r="P107" s="180" t="s">
        <v>1182</v>
      </c>
      <c r="Q107" s="180" t="s">
        <v>1181</v>
      </c>
      <c r="R107" s="180"/>
      <c r="S107" s="180" t="s">
        <v>1207</v>
      </c>
      <c r="T107" s="181" t="s">
        <v>1208</v>
      </c>
      <c r="U107" s="179" t="s">
        <v>1209</v>
      </c>
      <c r="V107" s="179" t="s">
        <v>1210</v>
      </c>
      <c r="W107" s="114" t="str">
        <f>CONCATENATE("0x",TEXT(DEC2HEX(HEX2DEC("0")*256+(8)*2, 4),"0000"))</f>
        <v>0x0010</v>
      </c>
      <c r="X107" s="179">
        <v>32</v>
      </c>
      <c r="Y107" s="182" t="s">
        <v>913</v>
      </c>
      <c r="Z107" s="183"/>
      <c r="AA107" s="184"/>
      <c r="AB107" s="182"/>
      <c r="AC107" s="114"/>
      <c r="AD107" s="114"/>
      <c r="AE107" s="114"/>
      <c r="AF107" s="114"/>
      <c r="AG107" s="114"/>
      <c r="AH107" s="106"/>
      <c r="AI107" s="114"/>
      <c r="AJ107" s="106"/>
      <c r="AK107" s="114"/>
      <c r="AL107" s="106"/>
      <c r="AM107" s="114"/>
      <c r="AN107" s="106"/>
      <c r="AO107" s="114"/>
      <c r="AP107" s="106"/>
      <c r="AQ107" s="114"/>
      <c r="AR107" s="106"/>
      <c r="AS107" s="114"/>
      <c r="AT107" s="106"/>
      <c r="AU107" s="114"/>
      <c r="AV107" s="106"/>
      <c r="AW107" s="114"/>
      <c r="AX107" s="157"/>
      <c r="AY107" s="157"/>
      <c r="AZ107" s="157"/>
      <c r="BA107" s="157"/>
      <c r="BB107" s="157"/>
      <c r="BC107" s="157"/>
    </row>
    <row r="108" spans="1:55" x14ac:dyDescent="0.3">
      <c r="A108" s="114">
        <f t="shared" si="3"/>
        <v>105</v>
      </c>
      <c r="B108" s="179"/>
      <c r="C108" s="114">
        <v>0</v>
      </c>
      <c r="D108" s="114" t="s">
        <v>991</v>
      </c>
      <c r="E108" s="114" t="s">
        <v>908</v>
      </c>
      <c r="F108" s="114" t="s">
        <v>923</v>
      </c>
      <c r="G108" s="114" t="s">
        <v>868</v>
      </c>
      <c r="H108" s="114"/>
      <c r="I108" s="114"/>
      <c r="J108" s="114"/>
      <c r="K108" s="114" t="s">
        <v>872</v>
      </c>
      <c r="L108" s="114"/>
      <c r="M108" s="114"/>
      <c r="N108" s="114">
        <v>255</v>
      </c>
      <c r="O108" s="180">
        <v>0</v>
      </c>
      <c r="P108" s="180">
        <v>0</v>
      </c>
      <c r="Q108" s="180">
        <v>0</v>
      </c>
      <c r="R108" s="180"/>
      <c r="S108" s="180"/>
      <c r="T108" s="181" t="s">
        <v>1211</v>
      </c>
      <c r="U108" s="179" t="s">
        <v>1211</v>
      </c>
      <c r="V108" s="179"/>
      <c r="W108" s="114"/>
      <c r="X108" s="180"/>
      <c r="Y108" s="182"/>
      <c r="Z108" s="183" t="s">
        <v>1212</v>
      </c>
      <c r="AA108" s="184"/>
      <c r="AB108" s="182"/>
      <c r="AC108" s="114"/>
      <c r="AD108" s="114"/>
      <c r="AE108" s="114"/>
      <c r="AF108" s="114"/>
      <c r="AG108" s="114"/>
      <c r="AH108" s="106"/>
      <c r="AI108" s="114"/>
      <c r="AJ108" s="106"/>
      <c r="AK108" s="114"/>
      <c r="AL108" s="106"/>
      <c r="AM108" s="114"/>
      <c r="AN108" s="106"/>
      <c r="AO108" s="114"/>
      <c r="AP108" s="106"/>
      <c r="AQ108" s="114"/>
      <c r="AR108" s="106"/>
      <c r="AS108" s="114"/>
      <c r="AT108" s="106"/>
      <c r="AU108" s="114"/>
      <c r="AV108" s="106"/>
      <c r="AW108" s="114"/>
      <c r="AX108" s="157"/>
      <c r="AY108" s="157"/>
      <c r="AZ108" s="157"/>
      <c r="BA108" s="157"/>
      <c r="BB108" s="157"/>
      <c r="BC108" s="157"/>
    </row>
    <row r="109" spans="1:55" ht="66" x14ac:dyDescent="0.3">
      <c r="A109" s="114">
        <f t="shared" si="3"/>
        <v>106</v>
      </c>
      <c r="B109" s="179"/>
      <c r="C109" s="114">
        <v>0</v>
      </c>
      <c r="D109" s="114" t="s">
        <v>991</v>
      </c>
      <c r="E109" s="114" t="s">
        <v>908</v>
      </c>
      <c r="F109" s="114" t="s">
        <v>923</v>
      </c>
      <c r="G109" s="114" t="s">
        <v>868</v>
      </c>
      <c r="H109" s="114"/>
      <c r="I109" s="114"/>
      <c r="J109" s="114"/>
      <c r="K109" s="114" t="s">
        <v>872</v>
      </c>
      <c r="L109" s="114"/>
      <c r="M109" s="114"/>
      <c r="N109" s="114">
        <v>255</v>
      </c>
      <c r="O109" s="180">
        <v>0</v>
      </c>
      <c r="P109" s="180">
        <v>0</v>
      </c>
      <c r="Q109" s="180">
        <v>0</v>
      </c>
      <c r="R109" s="180"/>
      <c r="S109" s="180"/>
      <c r="T109" s="181" t="s">
        <v>1213</v>
      </c>
      <c r="U109" s="179" t="s">
        <v>1213</v>
      </c>
      <c r="V109" s="179"/>
      <c r="W109" s="114"/>
      <c r="X109" s="180"/>
      <c r="Y109" s="182"/>
      <c r="Z109" s="183" t="s">
        <v>1214</v>
      </c>
      <c r="AA109" s="184"/>
      <c r="AB109" s="182"/>
      <c r="AC109" s="114"/>
      <c r="AD109" s="114"/>
      <c r="AE109" s="114"/>
      <c r="AF109" s="114"/>
      <c r="AG109" s="114"/>
      <c r="AH109" s="106"/>
      <c r="AI109" s="114"/>
      <c r="AJ109" s="106"/>
      <c r="AK109" s="114"/>
      <c r="AL109" s="106"/>
      <c r="AM109" s="114"/>
      <c r="AN109" s="106"/>
      <c r="AO109" s="114"/>
      <c r="AP109" s="106"/>
      <c r="AQ109" s="114"/>
      <c r="AR109" s="106"/>
      <c r="AS109" s="114"/>
      <c r="AT109" s="106"/>
      <c r="AU109" s="114"/>
      <c r="AV109" s="106"/>
      <c r="AW109" s="114"/>
      <c r="AX109" s="157"/>
      <c r="AY109" s="157"/>
      <c r="AZ109" s="157"/>
      <c r="BA109" s="157"/>
      <c r="BB109" s="157"/>
      <c r="BC109" s="157"/>
    </row>
    <row r="110" spans="1:55" x14ac:dyDescent="0.3">
      <c r="A110" s="114">
        <f t="shared" si="3"/>
        <v>107</v>
      </c>
      <c r="B110" s="179" t="s">
        <v>1215</v>
      </c>
      <c r="C110" s="114">
        <v>0</v>
      </c>
      <c r="D110" s="114" t="s">
        <v>991</v>
      </c>
      <c r="E110" s="114" t="s">
        <v>929</v>
      </c>
      <c r="F110" s="114" t="s">
        <v>923</v>
      </c>
      <c r="G110" s="114" t="s">
        <v>868</v>
      </c>
      <c r="H110" s="114"/>
      <c r="I110" s="114"/>
      <c r="J110" s="114" t="s">
        <v>871</v>
      </c>
      <c r="K110" s="114"/>
      <c r="L110" s="114"/>
      <c r="M110" s="114"/>
      <c r="N110" s="114">
        <v>4</v>
      </c>
      <c r="O110" s="180" t="s">
        <v>909</v>
      </c>
      <c r="P110" s="180" t="s">
        <v>1216</v>
      </c>
      <c r="Q110" s="180" t="s">
        <v>909</v>
      </c>
      <c r="R110" s="180"/>
      <c r="S110" s="180"/>
      <c r="T110" s="181" t="s">
        <v>1217</v>
      </c>
      <c r="U110" s="179" t="s">
        <v>1218</v>
      </c>
      <c r="V110" s="179" t="s">
        <v>1219</v>
      </c>
      <c r="W110" s="114" t="str">
        <f>CONCATENATE("0x",TEXT(DEC2HEX(HEX2DEC("0")*256+(46)*2, 4),"0000"))</f>
        <v>0x005C</v>
      </c>
      <c r="X110" s="179">
        <v>16</v>
      </c>
      <c r="Y110" s="182" t="s">
        <v>913</v>
      </c>
      <c r="Z110" s="183" t="s">
        <v>1220</v>
      </c>
      <c r="AA110" s="184"/>
      <c r="AB110" s="182"/>
      <c r="AC110" s="114"/>
      <c r="AD110" s="114"/>
      <c r="AE110" s="114"/>
      <c r="AF110" s="114"/>
      <c r="AG110" s="114"/>
      <c r="AH110" s="106"/>
      <c r="AI110" s="114"/>
      <c r="AJ110" s="106"/>
      <c r="AK110" s="114"/>
      <c r="AL110" s="106"/>
      <c r="AM110" s="114"/>
      <c r="AN110" s="106"/>
      <c r="AO110" s="114"/>
      <c r="AP110" s="106"/>
      <c r="AQ110" s="114"/>
      <c r="AR110" s="106"/>
      <c r="AS110" s="114"/>
      <c r="AT110" s="106"/>
      <c r="AU110" s="114"/>
      <c r="AV110" s="106"/>
      <c r="AW110" s="114"/>
      <c r="AX110" s="157"/>
      <c r="AY110" s="157"/>
      <c r="AZ110" s="157"/>
      <c r="BA110" s="157"/>
      <c r="BB110" s="157"/>
      <c r="BC110" s="157"/>
    </row>
    <row r="111" spans="1:55" x14ac:dyDescent="0.3">
      <c r="A111" s="114">
        <f t="shared" si="3"/>
        <v>108</v>
      </c>
      <c r="B111" s="179" t="s">
        <v>1221</v>
      </c>
      <c r="C111" s="114">
        <v>0</v>
      </c>
      <c r="D111" s="114" t="s">
        <v>991</v>
      </c>
      <c r="E111" s="114" t="s">
        <v>929</v>
      </c>
      <c r="F111" s="114" t="s">
        <v>909</v>
      </c>
      <c r="G111" s="114"/>
      <c r="H111" s="114"/>
      <c r="I111" s="114"/>
      <c r="J111" s="114" t="s">
        <v>871</v>
      </c>
      <c r="K111" s="114"/>
      <c r="L111" s="114"/>
      <c r="M111" s="191" t="s">
        <v>874</v>
      </c>
      <c r="N111" s="114">
        <v>3</v>
      </c>
      <c r="O111" s="180" t="s">
        <v>909</v>
      </c>
      <c r="P111" s="180" t="s">
        <v>1222</v>
      </c>
      <c r="Q111" s="180" t="s">
        <v>909</v>
      </c>
      <c r="R111" s="180"/>
      <c r="S111" s="180"/>
      <c r="T111" s="181" t="s">
        <v>1223</v>
      </c>
      <c r="U111" s="179" t="s">
        <v>1224</v>
      </c>
      <c r="V111" s="179" t="s">
        <v>1225</v>
      </c>
      <c r="W111" s="114" t="str">
        <f>CONCATENATE("0x",TEXT(DEC2HEX(HEX2DEC("0")*256+(49)*2, 4),"0000"))</f>
        <v>0x0062</v>
      </c>
      <c r="X111" s="179">
        <v>16</v>
      </c>
      <c r="Y111" s="182" t="s">
        <v>913</v>
      </c>
      <c r="Z111" s="183"/>
      <c r="AA111" s="184"/>
      <c r="AB111" s="182"/>
      <c r="AC111" s="114">
        <v>2</v>
      </c>
      <c r="AD111" s="172" t="s">
        <v>887</v>
      </c>
      <c r="AE111" s="114"/>
      <c r="AF111" s="114"/>
      <c r="AG111" s="114"/>
      <c r="AH111" s="106"/>
      <c r="AI111" s="114"/>
      <c r="AJ111" s="106"/>
      <c r="AK111" s="114"/>
      <c r="AL111" s="106"/>
      <c r="AM111" s="114"/>
      <c r="AN111" s="106"/>
      <c r="AO111" s="114"/>
      <c r="AP111" s="106"/>
      <c r="AQ111" s="114"/>
      <c r="AR111" s="106"/>
      <c r="AS111" s="114"/>
      <c r="AT111" s="106"/>
      <c r="AU111" s="114"/>
      <c r="AV111" s="106"/>
      <c r="AW111" s="114"/>
      <c r="AX111" s="157"/>
      <c r="AY111" s="157"/>
      <c r="AZ111" s="157"/>
      <c r="BA111" s="157"/>
      <c r="BB111" s="157"/>
      <c r="BC111" s="157"/>
    </row>
    <row r="112" spans="1:55" x14ac:dyDescent="0.3">
      <c r="A112" s="114">
        <f t="shared" si="3"/>
        <v>109</v>
      </c>
      <c r="B112" s="179" t="s">
        <v>1226</v>
      </c>
      <c r="C112" s="114">
        <v>0</v>
      </c>
      <c r="D112" s="114" t="s">
        <v>991</v>
      </c>
      <c r="E112" s="114" t="s">
        <v>929</v>
      </c>
      <c r="F112" s="114" t="s">
        <v>923</v>
      </c>
      <c r="G112" s="114" t="s">
        <v>868</v>
      </c>
      <c r="H112" s="114"/>
      <c r="I112" s="114"/>
      <c r="J112" s="114" t="s">
        <v>871</v>
      </c>
      <c r="K112" s="114"/>
      <c r="L112" s="114"/>
      <c r="M112" s="114"/>
      <c r="N112" s="114">
        <v>8</v>
      </c>
      <c r="O112" s="180" t="s">
        <v>909</v>
      </c>
      <c r="P112" s="180" t="s">
        <v>1227</v>
      </c>
      <c r="Q112" s="180" t="s">
        <v>909</v>
      </c>
      <c r="R112" s="180"/>
      <c r="S112" s="180"/>
      <c r="T112" s="181" t="s">
        <v>1228</v>
      </c>
      <c r="U112" s="179" t="s">
        <v>1229</v>
      </c>
      <c r="V112" s="179" t="s">
        <v>1230</v>
      </c>
      <c r="W112" s="114" t="str">
        <f>CONCATENATE("0x",TEXT(DEC2HEX(HEX2DEC("0")*256+(50)*2, 4),"0000"))</f>
        <v>0x0064</v>
      </c>
      <c r="X112" s="179">
        <v>16</v>
      </c>
      <c r="Y112" s="182" t="s">
        <v>913</v>
      </c>
      <c r="Z112" s="183"/>
      <c r="AA112" s="184"/>
      <c r="AB112" s="182"/>
      <c r="AC112" s="114"/>
      <c r="AD112" s="114"/>
      <c r="AE112" s="114"/>
      <c r="AF112" s="114"/>
      <c r="AG112" s="114"/>
      <c r="AH112" s="106"/>
      <c r="AI112" s="114"/>
      <c r="AJ112" s="106"/>
      <c r="AK112" s="114"/>
      <c r="AL112" s="106"/>
      <c r="AM112" s="114"/>
      <c r="AN112" s="106"/>
      <c r="AO112" s="114"/>
      <c r="AP112" s="106"/>
      <c r="AQ112" s="114"/>
      <c r="AR112" s="106"/>
      <c r="AS112" s="114"/>
      <c r="AT112" s="106"/>
      <c r="AU112" s="114"/>
      <c r="AV112" s="106"/>
      <c r="AW112" s="114"/>
      <c r="AX112" s="157"/>
      <c r="AY112" s="157"/>
      <c r="AZ112" s="157"/>
      <c r="BA112" s="157"/>
      <c r="BB112" s="157"/>
      <c r="BC112" s="157"/>
    </row>
    <row r="113" spans="1:55" ht="26.4" x14ac:dyDescent="0.3">
      <c r="A113" s="114">
        <f t="shared" si="3"/>
        <v>110</v>
      </c>
      <c r="B113" s="179" t="s">
        <v>1231</v>
      </c>
      <c r="C113" s="114">
        <v>0</v>
      </c>
      <c r="D113" s="114" t="s">
        <v>991</v>
      </c>
      <c r="E113" s="114" t="s">
        <v>966</v>
      </c>
      <c r="F113" s="114" t="s">
        <v>923</v>
      </c>
      <c r="G113" s="114" t="s">
        <v>868</v>
      </c>
      <c r="H113" s="114"/>
      <c r="I113" s="114"/>
      <c r="J113" s="114" t="s">
        <v>871</v>
      </c>
      <c r="K113" s="114"/>
      <c r="L113" s="114"/>
      <c r="M113" s="114"/>
      <c r="N113" s="114">
        <v>4</v>
      </c>
      <c r="O113" s="180">
        <v>-32768</v>
      </c>
      <c r="P113" s="180">
        <v>32767</v>
      </c>
      <c r="Q113" s="180">
        <v>0</v>
      </c>
      <c r="R113" s="180"/>
      <c r="S113" s="180" t="s">
        <v>1232</v>
      </c>
      <c r="T113" s="181" t="s">
        <v>1233</v>
      </c>
      <c r="U113" s="179" t="s">
        <v>1234</v>
      </c>
      <c r="V113" s="179" t="s">
        <v>1235</v>
      </c>
      <c r="W113" s="114" t="str">
        <f>CONCATENATE("0x",TEXT(DEC2HEX(HEX2DEC("0")*256+(51)*2, 4),"0000"))</f>
        <v>0x0066</v>
      </c>
      <c r="X113" s="180">
        <v>32</v>
      </c>
      <c r="Y113" s="182" t="s">
        <v>913</v>
      </c>
      <c r="Z113" s="183" t="s">
        <v>1236</v>
      </c>
      <c r="AA113" s="188"/>
      <c r="AB113" s="179"/>
      <c r="AC113" s="114"/>
      <c r="AD113" s="114"/>
      <c r="AE113" s="114"/>
      <c r="AF113" s="114"/>
      <c r="AG113" s="114"/>
      <c r="AH113" s="106"/>
      <c r="AI113" s="114"/>
      <c r="AJ113" s="106"/>
      <c r="AK113" s="114"/>
      <c r="AL113" s="106"/>
      <c r="AM113" s="114"/>
      <c r="AN113" s="106"/>
      <c r="AO113" s="114"/>
      <c r="AP113" s="106"/>
      <c r="AQ113" s="114"/>
      <c r="AR113" s="106"/>
      <c r="AS113" s="114"/>
      <c r="AT113" s="106"/>
      <c r="AU113" s="114"/>
      <c r="AV113" s="106"/>
      <c r="AW113" s="114"/>
      <c r="AX113" s="157"/>
      <c r="AY113" s="157"/>
      <c r="AZ113" s="157"/>
      <c r="BA113" s="157"/>
      <c r="BB113" s="157"/>
      <c r="BC113" s="157"/>
    </row>
    <row r="114" spans="1:55" x14ac:dyDescent="0.3">
      <c r="A114" s="114">
        <f t="shared" si="3"/>
        <v>111</v>
      </c>
      <c r="B114" s="179" t="s">
        <v>1237</v>
      </c>
      <c r="C114" s="114">
        <v>0</v>
      </c>
      <c r="D114" s="114" t="s">
        <v>991</v>
      </c>
      <c r="E114" s="114" t="s">
        <v>966</v>
      </c>
      <c r="F114" s="114" t="s">
        <v>923</v>
      </c>
      <c r="G114" s="114" t="s">
        <v>868</v>
      </c>
      <c r="H114" s="114"/>
      <c r="I114" s="114"/>
      <c r="J114" s="114" t="s">
        <v>871</v>
      </c>
      <c r="K114" s="114"/>
      <c r="L114" s="114"/>
      <c r="M114" s="114"/>
      <c r="N114" s="114">
        <v>4</v>
      </c>
      <c r="O114" s="180">
        <v>-2147483648</v>
      </c>
      <c r="P114" s="180">
        <v>2147483647</v>
      </c>
      <c r="Q114" s="180">
        <v>0</v>
      </c>
      <c r="R114" s="180"/>
      <c r="S114" s="180" t="s">
        <v>1238</v>
      </c>
      <c r="T114" s="181" t="s">
        <v>1239</v>
      </c>
      <c r="U114" s="179" t="s">
        <v>1240</v>
      </c>
      <c r="V114" s="179" t="s">
        <v>1241</v>
      </c>
      <c r="W114" s="114" t="str">
        <f>CONCATENATE("0x",TEXT(DEC2HEX(HEX2DEC("0")*256+(52)*2, 4),"0000"))</f>
        <v>0x0068</v>
      </c>
      <c r="X114" s="180">
        <v>32</v>
      </c>
      <c r="Y114" s="182" t="s">
        <v>913</v>
      </c>
      <c r="Z114" s="183"/>
      <c r="AA114" s="184"/>
      <c r="AB114" s="182"/>
      <c r="AC114" s="114"/>
      <c r="AD114" s="114"/>
      <c r="AE114" s="114"/>
      <c r="AF114" s="114"/>
      <c r="AG114" s="114"/>
      <c r="AH114" s="106"/>
      <c r="AI114" s="114"/>
      <c r="AJ114" s="106"/>
      <c r="AK114" s="114"/>
      <c r="AL114" s="106"/>
      <c r="AM114" s="114"/>
      <c r="AN114" s="106"/>
      <c r="AO114" s="114"/>
      <c r="AP114" s="106"/>
      <c r="AQ114" s="114"/>
      <c r="AR114" s="106"/>
      <c r="AS114" s="114"/>
      <c r="AT114" s="106"/>
      <c r="AU114" s="114"/>
      <c r="AV114" s="106"/>
      <c r="AW114" s="114"/>
      <c r="AX114" s="157"/>
      <c r="AY114" s="157"/>
      <c r="AZ114" s="157"/>
      <c r="BA114" s="157"/>
      <c r="BB114" s="157"/>
      <c r="BC114" s="157"/>
    </row>
    <row r="115" spans="1:55" x14ac:dyDescent="0.3">
      <c r="A115" s="114">
        <f t="shared" si="3"/>
        <v>112</v>
      </c>
      <c r="B115" s="179" t="s">
        <v>1242</v>
      </c>
      <c r="C115" s="114">
        <v>0</v>
      </c>
      <c r="D115" s="114" t="s">
        <v>991</v>
      </c>
      <c r="E115" s="114" t="s">
        <v>929</v>
      </c>
      <c r="F115" s="114" t="s">
        <v>909</v>
      </c>
      <c r="G115" s="114"/>
      <c r="H115" s="114"/>
      <c r="I115" s="114"/>
      <c r="J115" s="114"/>
      <c r="K115" s="114"/>
      <c r="L115" s="114"/>
      <c r="M115" s="191" t="s">
        <v>874</v>
      </c>
      <c r="N115" s="114">
        <v>3</v>
      </c>
      <c r="O115" s="180" t="s">
        <v>909</v>
      </c>
      <c r="P115" s="180" t="s">
        <v>1243</v>
      </c>
      <c r="Q115" s="180" t="s">
        <v>909</v>
      </c>
      <c r="R115" s="180"/>
      <c r="S115" s="180" t="s">
        <v>1047</v>
      </c>
      <c r="T115" s="111" t="s">
        <v>1244</v>
      </c>
      <c r="U115" s="113" t="s">
        <v>1245</v>
      </c>
      <c r="V115" s="179" t="s">
        <v>1246</v>
      </c>
      <c r="W115" s="114" t="str">
        <f>CONCATENATE("0x",TEXT(DEC2HEX(HEX2DEC("0")*256+(53)*2, 4),"0000"))</f>
        <v>0x006A</v>
      </c>
      <c r="X115" s="179">
        <v>16</v>
      </c>
      <c r="Y115" s="182" t="s">
        <v>913</v>
      </c>
      <c r="Z115" s="183"/>
      <c r="AA115" s="184"/>
      <c r="AB115" s="182"/>
      <c r="AC115" s="114">
        <v>2</v>
      </c>
      <c r="AD115" s="172" t="s">
        <v>887</v>
      </c>
      <c r="AE115" s="114"/>
      <c r="AF115" s="114"/>
      <c r="AG115" s="114"/>
      <c r="AH115" s="106"/>
      <c r="AI115" s="114"/>
      <c r="AJ115" s="106"/>
      <c r="AK115" s="114"/>
      <c r="AL115" s="106"/>
      <c r="AM115" s="114"/>
      <c r="AN115" s="106"/>
      <c r="AO115" s="114"/>
      <c r="AP115" s="106"/>
      <c r="AQ115" s="114"/>
      <c r="AR115" s="106"/>
      <c r="AS115" s="114"/>
      <c r="AT115" s="106"/>
      <c r="AU115" s="114"/>
      <c r="AV115" s="106"/>
      <c r="AW115" s="114"/>
      <c r="AX115" s="157"/>
      <c r="AY115" s="157"/>
      <c r="AZ115" s="157"/>
      <c r="BA115" s="157"/>
      <c r="BB115" s="157"/>
      <c r="BC115" s="157"/>
    </row>
    <row r="116" spans="1:55" x14ac:dyDescent="0.3">
      <c r="A116" s="114">
        <f t="shared" si="3"/>
        <v>113</v>
      </c>
      <c r="B116" s="179" t="s">
        <v>1247</v>
      </c>
      <c r="C116" s="114">
        <v>0</v>
      </c>
      <c r="D116" s="114" t="s">
        <v>991</v>
      </c>
      <c r="E116" s="114" t="s">
        <v>966</v>
      </c>
      <c r="F116" s="114" t="s">
        <v>909</v>
      </c>
      <c r="G116" s="114"/>
      <c r="H116" s="114"/>
      <c r="I116" s="114"/>
      <c r="J116" s="114"/>
      <c r="K116" s="114"/>
      <c r="L116" s="114"/>
      <c r="M116" s="114"/>
      <c r="N116" s="114">
        <v>3</v>
      </c>
      <c r="O116" s="180">
        <v>-2147483648</v>
      </c>
      <c r="P116" s="180">
        <v>2147483647</v>
      </c>
      <c r="Q116" s="180">
        <v>0</v>
      </c>
      <c r="R116" s="180"/>
      <c r="S116" s="180"/>
      <c r="T116" s="111" t="s">
        <v>1248</v>
      </c>
      <c r="U116" s="113" t="s">
        <v>1249</v>
      </c>
      <c r="V116" s="179" t="s">
        <v>1250</v>
      </c>
      <c r="W116" s="114" t="str">
        <f>CONCATENATE("0x",TEXT(DEC2HEX(HEX2DEC("0")*256+(54)*2, 4),"0000"))</f>
        <v>0x006C</v>
      </c>
      <c r="X116" s="180">
        <v>32</v>
      </c>
      <c r="Y116" s="182" t="s">
        <v>913</v>
      </c>
      <c r="Z116" s="183"/>
      <c r="AA116" s="184"/>
      <c r="AB116" s="182"/>
      <c r="AC116" s="114">
        <v>2</v>
      </c>
      <c r="AD116" s="172" t="s">
        <v>887</v>
      </c>
      <c r="AE116" s="114"/>
      <c r="AF116" s="114"/>
      <c r="AG116" s="114"/>
      <c r="AH116" s="106"/>
      <c r="AI116" s="114"/>
      <c r="AJ116" s="106"/>
      <c r="AK116" s="114"/>
      <c r="AL116" s="106"/>
      <c r="AM116" s="114"/>
      <c r="AN116" s="106"/>
      <c r="AO116" s="114"/>
      <c r="AP116" s="106"/>
      <c r="AQ116" s="114"/>
      <c r="AR116" s="106"/>
      <c r="AS116" s="114"/>
      <c r="AT116" s="106"/>
      <c r="AU116" s="114"/>
      <c r="AV116" s="106"/>
      <c r="AW116" s="114"/>
      <c r="AX116" s="157"/>
      <c r="AY116" s="157"/>
      <c r="AZ116" s="157"/>
      <c r="BA116" s="157"/>
      <c r="BB116" s="157"/>
      <c r="BC116" s="157"/>
    </row>
    <row r="117" spans="1:55" x14ac:dyDescent="0.3">
      <c r="A117" s="114">
        <f t="shared" si="3"/>
        <v>114</v>
      </c>
      <c r="B117" s="179" t="s">
        <v>1251</v>
      </c>
      <c r="C117" s="114">
        <v>0</v>
      </c>
      <c r="D117" s="114" t="s">
        <v>991</v>
      </c>
      <c r="E117" s="114" t="s">
        <v>966</v>
      </c>
      <c r="F117" s="114" t="s">
        <v>909</v>
      </c>
      <c r="G117" s="114"/>
      <c r="H117" s="114"/>
      <c r="I117" s="114"/>
      <c r="J117" s="114"/>
      <c r="K117" s="114"/>
      <c r="L117" s="114"/>
      <c r="M117" s="114"/>
      <c r="N117" s="114">
        <v>3</v>
      </c>
      <c r="O117" s="180">
        <v>-2147483648</v>
      </c>
      <c r="P117" s="180">
        <v>2147483647</v>
      </c>
      <c r="Q117" s="180">
        <v>0</v>
      </c>
      <c r="R117" s="180"/>
      <c r="S117" s="180"/>
      <c r="T117" s="111" t="s">
        <v>1252</v>
      </c>
      <c r="U117" s="113" t="s">
        <v>1253</v>
      </c>
      <c r="V117" s="179" t="s">
        <v>1254</v>
      </c>
      <c r="W117" s="114" t="str">
        <f>CONCATENATE("0x",TEXT(DEC2HEX(HEX2DEC("0")*256+(55)*2, 4),"0000"))</f>
        <v>0x006E</v>
      </c>
      <c r="X117" s="180">
        <v>32</v>
      </c>
      <c r="Y117" s="182" t="s">
        <v>913</v>
      </c>
      <c r="Z117" s="183"/>
      <c r="AA117" s="184"/>
      <c r="AB117" s="182"/>
      <c r="AC117" s="114">
        <v>2</v>
      </c>
      <c r="AD117" s="172" t="s">
        <v>887</v>
      </c>
      <c r="AE117" s="114"/>
      <c r="AF117" s="114"/>
      <c r="AG117" s="114"/>
      <c r="AH117" s="106"/>
      <c r="AI117" s="114"/>
      <c r="AJ117" s="106"/>
      <c r="AK117" s="114"/>
      <c r="AL117" s="106"/>
      <c r="AM117" s="114"/>
      <c r="AN117" s="106"/>
      <c r="AO117" s="114"/>
      <c r="AP117" s="106"/>
      <c r="AQ117" s="114"/>
      <c r="AR117" s="106"/>
      <c r="AS117" s="114"/>
      <c r="AT117" s="106"/>
      <c r="AU117" s="114"/>
      <c r="AV117" s="106"/>
      <c r="AW117" s="114"/>
      <c r="AX117" s="157"/>
      <c r="AY117" s="157"/>
      <c r="AZ117" s="157"/>
      <c r="BA117" s="157"/>
      <c r="BB117" s="157"/>
      <c r="BC117" s="157"/>
    </row>
    <row r="118" spans="1:55" ht="26.4" x14ac:dyDescent="0.3">
      <c r="A118" s="114">
        <f t="shared" si="3"/>
        <v>115</v>
      </c>
      <c r="B118" s="179" t="s">
        <v>1255</v>
      </c>
      <c r="C118" s="114">
        <v>0</v>
      </c>
      <c r="D118" s="114" t="s">
        <v>991</v>
      </c>
      <c r="E118" s="114" t="s">
        <v>966</v>
      </c>
      <c r="F118" s="114" t="s">
        <v>923</v>
      </c>
      <c r="G118" s="114" t="s">
        <v>868</v>
      </c>
      <c r="H118" s="114"/>
      <c r="I118" s="114"/>
      <c r="J118" s="114"/>
      <c r="K118" s="114"/>
      <c r="L118" s="114"/>
      <c r="M118" s="114"/>
      <c r="N118" s="114">
        <v>8</v>
      </c>
      <c r="O118" s="180">
        <v>0</v>
      </c>
      <c r="P118" s="180">
        <v>2147483647</v>
      </c>
      <c r="Q118" s="180">
        <v>0</v>
      </c>
      <c r="R118" s="180"/>
      <c r="S118" s="180" t="s">
        <v>1047</v>
      </c>
      <c r="T118" s="181" t="s">
        <v>1256</v>
      </c>
      <c r="U118" s="179" t="s">
        <v>1257</v>
      </c>
      <c r="V118" s="179" t="s">
        <v>1258</v>
      </c>
      <c r="W118" s="114" t="s">
        <v>1259</v>
      </c>
      <c r="X118" s="179">
        <v>32</v>
      </c>
      <c r="Y118" s="182" t="s">
        <v>913</v>
      </c>
      <c r="Z118" s="183" t="s">
        <v>1260</v>
      </c>
      <c r="AA118" s="184"/>
      <c r="AB118" s="179"/>
      <c r="AC118" s="114"/>
      <c r="AD118" s="114"/>
      <c r="AE118" s="114"/>
      <c r="AF118" s="114"/>
      <c r="AG118" s="114"/>
      <c r="AH118" s="106"/>
      <c r="AI118" s="114"/>
      <c r="AJ118" s="106"/>
      <c r="AK118" s="114"/>
      <c r="AL118" s="106"/>
      <c r="AM118" s="114"/>
      <c r="AN118" s="106"/>
      <c r="AO118" s="114"/>
      <c r="AP118" s="106"/>
      <c r="AQ118" s="114"/>
      <c r="AR118" s="106"/>
      <c r="AS118" s="114"/>
      <c r="AT118" s="106"/>
      <c r="AU118" s="114"/>
      <c r="AV118" s="106"/>
      <c r="AW118" s="114"/>
      <c r="AX118" s="157"/>
      <c r="AY118" s="157"/>
      <c r="AZ118" s="157"/>
      <c r="BA118" s="157"/>
      <c r="BB118" s="157"/>
      <c r="BC118" s="157"/>
    </row>
    <row r="119" spans="1:55" ht="26.4" x14ac:dyDescent="0.3">
      <c r="A119" s="114">
        <f t="shared" si="3"/>
        <v>116</v>
      </c>
      <c r="B119" s="179" t="s">
        <v>1261</v>
      </c>
      <c r="C119" s="114">
        <v>0</v>
      </c>
      <c r="D119" s="114" t="s">
        <v>991</v>
      </c>
      <c r="E119" s="114" t="s">
        <v>929</v>
      </c>
      <c r="F119" s="114" t="s">
        <v>909</v>
      </c>
      <c r="G119" s="114"/>
      <c r="H119" s="114" t="s">
        <v>869</v>
      </c>
      <c r="I119" s="114"/>
      <c r="J119" s="114"/>
      <c r="K119" s="114"/>
      <c r="L119" s="114"/>
      <c r="M119" s="191" t="s">
        <v>874</v>
      </c>
      <c r="N119" s="114">
        <v>3</v>
      </c>
      <c r="O119" s="180" t="s">
        <v>909</v>
      </c>
      <c r="P119" s="180" t="s">
        <v>1262</v>
      </c>
      <c r="Q119" s="180" t="s">
        <v>1263</v>
      </c>
      <c r="R119" s="180"/>
      <c r="S119" s="180"/>
      <c r="T119" s="181" t="s">
        <v>1264</v>
      </c>
      <c r="U119" s="179" t="s">
        <v>1265</v>
      </c>
      <c r="V119" s="179" t="s">
        <v>1266</v>
      </c>
      <c r="W119" s="114" t="s">
        <v>1267</v>
      </c>
      <c r="X119" s="179">
        <v>16</v>
      </c>
      <c r="Y119" s="182" t="s">
        <v>1268</v>
      </c>
      <c r="Z119" s="183" t="s">
        <v>1269</v>
      </c>
      <c r="AA119" s="184"/>
      <c r="AB119" s="182"/>
      <c r="AC119" s="114">
        <v>2</v>
      </c>
      <c r="AD119" s="172" t="s">
        <v>887</v>
      </c>
      <c r="AE119" s="114"/>
      <c r="AF119" s="114"/>
      <c r="AG119" s="114"/>
      <c r="AH119" s="106"/>
      <c r="AI119" s="114"/>
      <c r="AJ119" s="106" t="s">
        <v>915</v>
      </c>
      <c r="AK119" s="114"/>
      <c r="AL119" s="106"/>
      <c r="AM119" s="114"/>
      <c r="AN119" s="106"/>
      <c r="AO119" s="114"/>
      <c r="AP119" s="106"/>
      <c r="AQ119" s="114"/>
      <c r="AR119" s="106"/>
      <c r="AS119" s="114"/>
      <c r="AT119" s="106"/>
      <c r="AU119" s="114"/>
      <c r="AV119" s="106"/>
      <c r="AW119" s="114"/>
      <c r="AX119" s="157"/>
      <c r="AY119" s="157"/>
      <c r="AZ119" s="157"/>
      <c r="BA119" s="157"/>
      <c r="BB119" s="157"/>
      <c r="BC119" s="157"/>
    </row>
    <row r="120" spans="1:55" ht="79.2" x14ac:dyDescent="0.3">
      <c r="A120" s="114">
        <f t="shared" si="3"/>
        <v>117</v>
      </c>
      <c r="B120" s="179" t="s">
        <v>1270</v>
      </c>
      <c r="C120" s="114">
        <v>0</v>
      </c>
      <c r="D120" s="114" t="s">
        <v>991</v>
      </c>
      <c r="E120" s="114" t="s">
        <v>929</v>
      </c>
      <c r="F120" s="114" t="s">
        <v>909</v>
      </c>
      <c r="G120" s="114"/>
      <c r="H120" s="114"/>
      <c r="I120" s="114" t="s">
        <v>870</v>
      </c>
      <c r="J120" s="114"/>
      <c r="K120" s="114"/>
      <c r="L120" s="114"/>
      <c r="M120" s="191" t="s">
        <v>874</v>
      </c>
      <c r="N120" s="114">
        <v>3</v>
      </c>
      <c r="O120" s="180" t="s">
        <v>909</v>
      </c>
      <c r="P120" s="180" t="s">
        <v>1271</v>
      </c>
      <c r="Q120" s="180" t="s">
        <v>1272</v>
      </c>
      <c r="R120" s="180"/>
      <c r="S120" s="180"/>
      <c r="T120" s="181" t="s">
        <v>1273</v>
      </c>
      <c r="U120" s="179" t="s">
        <v>33</v>
      </c>
      <c r="V120" s="179" t="s">
        <v>1274</v>
      </c>
      <c r="W120" s="114" t="s">
        <v>1275</v>
      </c>
      <c r="X120" s="180">
        <v>16</v>
      </c>
      <c r="Y120" s="182" t="s">
        <v>913</v>
      </c>
      <c r="Z120" s="183" t="s">
        <v>1276</v>
      </c>
      <c r="AA120" s="184"/>
      <c r="AB120" s="182"/>
      <c r="AC120" s="114">
        <v>8</v>
      </c>
      <c r="AD120" s="172" t="s">
        <v>887</v>
      </c>
      <c r="AE120" s="114"/>
      <c r="AF120" s="114"/>
      <c r="AG120" s="114"/>
      <c r="AH120" s="106" t="s">
        <v>915</v>
      </c>
      <c r="AI120" s="114" t="s">
        <v>915</v>
      </c>
      <c r="AJ120" s="106"/>
      <c r="AK120" s="114"/>
      <c r="AL120" s="106"/>
      <c r="AM120" s="114"/>
      <c r="AN120" s="106"/>
      <c r="AO120" s="114"/>
      <c r="AP120" s="106"/>
      <c r="AQ120" s="114"/>
      <c r="AR120" s="106"/>
      <c r="AS120" s="114"/>
      <c r="AT120" s="106"/>
      <c r="AU120" s="114"/>
      <c r="AV120" s="106"/>
      <c r="AW120" s="114"/>
      <c r="AX120" s="157"/>
      <c r="AY120" s="157"/>
      <c r="AZ120" s="157"/>
      <c r="BA120" s="157"/>
      <c r="BB120" s="157"/>
      <c r="BC120" s="157"/>
    </row>
    <row r="121" spans="1:55" x14ac:dyDescent="0.3">
      <c r="A121" s="114">
        <f t="shared" si="3"/>
        <v>118</v>
      </c>
      <c r="B121" s="179" t="s">
        <v>1277</v>
      </c>
      <c r="C121" s="114">
        <v>0</v>
      </c>
      <c r="D121" s="114" t="s">
        <v>991</v>
      </c>
      <c r="E121" s="114" t="s">
        <v>929</v>
      </c>
      <c r="F121" s="114" t="s">
        <v>909</v>
      </c>
      <c r="G121" s="114"/>
      <c r="H121" s="114" t="s">
        <v>869</v>
      </c>
      <c r="I121" s="114"/>
      <c r="J121" s="114"/>
      <c r="K121" s="114"/>
      <c r="L121" s="114"/>
      <c r="M121" s="191" t="s">
        <v>874</v>
      </c>
      <c r="N121" s="114">
        <v>3</v>
      </c>
      <c r="O121" s="180" t="s">
        <v>909</v>
      </c>
      <c r="P121" s="180" t="s">
        <v>1278</v>
      </c>
      <c r="Q121" s="180" t="s">
        <v>909</v>
      </c>
      <c r="R121" s="180"/>
      <c r="S121" s="180"/>
      <c r="T121" s="181" t="s">
        <v>1279</v>
      </c>
      <c r="U121" s="179" t="s">
        <v>1280</v>
      </c>
      <c r="V121" s="179" t="s">
        <v>1281</v>
      </c>
      <c r="W121" s="114" t="s">
        <v>1282</v>
      </c>
      <c r="X121" s="180">
        <v>16</v>
      </c>
      <c r="Y121" s="182" t="s">
        <v>913</v>
      </c>
      <c r="Z121" s="183"/>
      <c r="AA121" s="184"/>
      <c r="AB121" s="182"/>
      <c r="AC121" s="114">
        <v>2</v>
      </c>
      <c r="AD121" s="172" t="s">
        <v>887</v>
      </c>
      <c r="AE121" s="114"/>
      <c r="AF121" s="114"/>
      <c r="AG121" s="114"/>
      <c r="AH121" s="106"/>
      <c r="AI121" s="114"/>
      <c r="AJ121" s="106"/>
      <c r="AK121" s="114"/>
      <c r="AL121" s="106"/>
      <c r="AM121" s="114" t="s">
        <v>915</v>
      </c>
      <c r="AN121" s="106"/>
      <c r="AO121" s="114"/>
      <c r="AP121" s="106"/>
      <c r="AQ121" s="114"/>
      <c r="AR121" s="106"/>
      <c r="AS121" s="114"/>
      <c r="AT121" s="106"/>
      <c r="AU121" s="114"/>
      <c r="AV121" s="106"/>
      <c r="AW121" s="114"/>
      <c r="AX121" s="157"/>
      <c r="AY121" s="157"/>
      <c r="AZ121" s="157"/>
      <c r="BA121" s="157"/>
      <c r="BB121" s="157"/>
      <c r="BC121" s="157"/>
    </row>
    <row r="122" spans="1:55" x14ac:dyDescent="0.3">
      <c r="A122" s="114">
        <f t="shared" si="3"/>
        <v>119</v>
      </c>
      <c r="B122" s="179" t="s">
        <v>1283</v>
      </c>
      <c r="C122" s="114">
        <v>0</v>
      </c>
      <c r="D122" s="114" t="s">
        <v>991</v>
      </c>
      <c r="E122" s="114" t="s">
        <v>929</v>
      </c>
      <c r="F122" s="114" t="s">
        <v>909</v>
      </c>
      <c r="G122" s="114"/>
      <c r="H122" s="114"/>
      <c r="I122" s="114"/>
      <c r="J122" s="114"/>
      <c r="K122" s="114"/>
      <c r="L122" s="114"/>
      <c r="M122" s="191" t="s">
        <v>874</v>
      </c>
      <c r="N122" s="114">
        <v>3</v>
      </c>
      <c r="O122" s="180" t="s">
        <v>909</v>
      </c>
      <c r="P122" s="180" t="s">
        <v>1284</v>
      </c>
      <c r="Q122" s="180" t="s">
        <v>909</v>
      </c>
      <c r="R122" s="180"/>
      <c r="S122" s="180"/>
      <c r="T122" s="181" t="s">
        <v>1285</v>
      </c>
      <c r="U122" s="179" t="s">
        <v>1286</v>
      </c>
      <c r="V122" s="179" t="s">
        <v>1287</v>
      </c>
      <c r="W122" s="114" t="s">
        <v>1288</v>
      </c>
      <c r="X122" s="180">
        <v>16</v>
      </c>
      <c r="Y122" s="182" t="s">
        <v>913</v>
      </c>
      <c r="Z122" s="183"/>
      <c r="AA122" s="184"/>
      <c r="AB122" s="182"/>
      <c r="AC122" s="114">
        <v>2</v>
      </c>
      <c r="AD122" s="172" t="s">
        <v>887</v>
      </c>
      <c r="AE122" s="114"/>
      <c r="AF122" s="114"/>
      <c r="AG122" s="114"/>
      <c r="AH122" s="106"/>
      <c r="AI122" s="114"/>
      <c r="AJ122" s="106" t="s">
        <v>915</v>
      </c>
      <c r="AK122" s="114"/>
      <c r="AL122" s="106"/>
      <c r="AM122" s="114"/>
      <c r="AN122" s="106"/>
      <c r="AO122" s="114"/>
      <c r="AP122" s="106"/>
      <c r="AQ122" s="114"/>
      <c r="AR122" s="106"/>
      <c r="AS122" s="114"/>
      <c r="AT122" s="106"/>
      <c r="AU122" s="114"/>
      <c r="AV122" s="106"/>
      <c r="AW122" s="114"/>
      <c r="AX122" s="157"/>
      <c r="AY122" s="157"/>
      <c r="AZ122" s="157"/>
      <c r="BA122" s="157"/>
      <c r="BB122" s="157"/>
      <c r="BC122" s="157"/>
    </row>
    <row r="123" spans="1:55" ht="26.4" x14ac:dyDescent="0.3">
      <c r="A123" s="114">
        <f t="shared" si="3"/>
        <v>120</v>
      </c>
      <c r="B123" s="179" t="s">
        <v>1289</v>
      </c>
      <c r="C123" s="114">
        <v>0</v>
      </c>
      <c r="D123" s="114" t="s">
        <v>991</v>
      </c>
      <c r="E123" s="114" t="s">
        <v>980</v>
      </c>
      <c r="F123" s="114" t="s">
        <v>909</v>
      </c>
      <c r="G123" s="114"/>
      <c r="H123" s="114"/>
      <c r="I123" s="114"/>
      <c r="J123" s="114"/>
      <c r="K123" s="114"/>
      <c r="L123" s="114"/>
      <c r="M123" s="114"/>
      <c r="N123" s="114">
        <v>3</v>
      </c>
      <c r="O123" s="180">
        <v>0</v>
      </c>
      <c r="P123" s="180">
        <v>100</v>
      </c>
      <c r="Q123" s="180">
        <v>100</v>
      </c>
      <c r="R123" s="180"/>
      <c r="S123" s="180" t="s">
        <v>1044</v>
      </c>
      <c r="T123" s="181" t="s">
        <v>1290</v>
      </c>
      <c r="U123" s="179" t="s">
        <v>1291</v>
      </c>
      <c r="V123" s="179" t="s">
        <v>1292</v>
      </c>
      <c r="W123" s="114" t="s">
        <v>1293</v>
      </c>
      <c r="X123" s="180">
        <v>16</v>
      </c>
      <c r="Y123" s="182" t="s">
        <v>913</v>
      </c>
      <c r="Z123" s="183" t="s">
        <v>1294</v>
      </c>
      <c r="AA123" s="184"/>
      <c r="AB123" s="182"/>
      <c r="AC123" s="114">
        <v>2</v>
      </c>
      <c r="AD123" s="172" t="s">
        <v>887</v>
      </c>
      <c r="AE123" s="114"/>
      <c r="AF123" s="114"/>
      <c r="AG123" s="114"/>
      <c r="AH123" s="106"/>
      <c r="AI123" s="114"/>
      <c r="AJ123" s="106"/>
      <c r="AK123" s="114"/>
      <c r="AL123" s="106"/>
      <c r="AM123" s="114"/>
      <c r="AN123" s="106"/>
      <c r="AO123" s="114"/>
      <c r="AP123" s="106"/>
      <c r="AQ123" s="114"/>
      <c r="AR123" s="106"/>
      <c r="AS123" s="114"/>
      <c r="AT123" s="106"/>
      <c r="AU123" s="114"/>
      <c r="AV123" s="106"/>
      <c r="AW123" s="114"/>
      <c r="AX123" s="157"/>
      <c r="AY123" s="157"/>
      <c r="AZ123" s="157"/>
      <c r="BA123" s="157"/>
      <c r="BB123" s="157"/>
      <c r="BC123" s="157"/>
    </row>
    <row r="124" spans="1:55" ht="26.4" x14ac:dyDescent="0.3">
      <c r="A124" s="114">
        <f t="shared" si="3"/>
        <v>121</v>
      </c>
      <c r="B124" s="179" t="s">
        <v>1295</v>
      </c>
      <c r="C124" s="114">
        <v>0</v>
      </c>
      <c r="D124" s="114" t="s">
        <v>991</v>
      </c>
      <c r="E124" s="114" t="s">
        <v>980</v>
      </c>
      <c r="F124" s="114" t="s">
        <v>909</v>
      </c>
      <c r="G124" s="114"/>
      <c r="H124" s="114"/>
      <c r="I124" s="114"/>
      <c r="J124" s="114"/>
      <c r="K124" s="114"/>
      <c r="L124" s="114"/>
      <c r="M124" s="114"/>
      <c r="N124" s="114">
        <v>3</v>
      </c>
      <c r="O124" s="180">
        <v>0</v>
      </c>
      <c r="P124" s="180">
        <v>100</v>
      </c>
      <c r="Q124" s="180">
        <v>100</v>
      </c>
      <c r="R124" s="180"/>
      <c r="S124" s="180" t="s">
        <v>1044</v>
      </c>
      <c r="T124" s="181" t="s">
        <v>1296</v>
      </c>
      <c r="U124" s="179" t="s">
        <v>1297</v>
      </c>
      <c r="V124" s="179" t="s">
        <v>1298</v>
      </c>
      <c r="W124" s="114" t="s">
        <v>1299</v>
      </c>
      <c r="X124" s="180">
        <v>16</v>
      </c>
      <c r="Y124" s="182" t="s">
        <v>913</v>
      </c>
      <c r="Z124" s="183" t="s">
        <v>1294</v>
      </c>
      <c r="AA124" s="184"/>
      <c r="AB124" s="182"/>
      <c r="AC124" s="114">
        <v>2</v>
      </c>
      <c r="AD124" s="172" t="s">
        <v>887</v>
      </c>
      <c r="AE124" s="114"/>
      <c r="AF124" s="114"/>
      <c r="AG124" s="114"/>
      <c r="AH124" s="106"/>
      <c r="AI124" s="114"/>
      <c r="AJ124" s="106"/>
      <c r="AK124" s="114"/>
      <c r="AL124" s="106"/>
      <c r="AM124" s="114"/>
      <c r="AN124" s="106"/>
      <c r="AO124" s="114"/>
      <c r="AP124" s="106"/>
      <c r="AQ124" s="114"/>
      <c r="AR124" s="106"/>
      <c r="AS124" s="114"/>
      <c r="AT124" s="106"/>
      <c r="AU124" s="114"/>
      <c r="AV124" s="106"/>
      <c r="AW124" s="114"/>
      <c r="AX124" s="157"/>
      <c r="AY124" s="157"/>
      <c r="AZ124" s="157"/>
      <c r="BA124" s="157"/>
      <c r="BB124" s="157"/>
      <c r="BC124" s="157"/>
    </row>
    <row r="125" spans="1:55" x14ac:dyDescent="0.3">
      <c r="A125" s="114">
        <f t="shared" si="3"/>
        <v>122</v>
      </c>
      <c r="B125" s="179" t="s">
        <v>1300</v>
      </c>
      <c r="C125" s="114">
        <v>0</v>
      </c>
      <c r="D125" s="114" t="s">
        <v>991</v>
      </c>
      <c r="E125" s="114" t="s">
        <v>980</v>
      </c>
      <c r="F125" s="114" t="s">
        <v>909</v>
      </c>
      <c r="G125" s="114"/>
      <c r="H125" s="114"/>
      <c r="I125" s="114"/>
      <c r="J125" s="114"/>
      <c r="K125" s="114"/>
      <c r="L125" s="114"/>
      <c r="M125" s="114"/>
      <c r="N125" s="114">
        <v>5</v>
      </c>
      <c r="O125" s="180">
        <v>0</v>
      </c>
      <c r="P125" s="180">
        <v>1000</v>
      </c>
      <c r="Q125" s="180">
        <v>0</v>
      </c>
      <c r="R125" s="180"/>
      <c r="S125" s="180" t="s">
        <v>1047</v>
      </c>
      <c r="T125" s="181" t="s">
        <v>1301</v>
      </c>
      <c r="U125" s="179" t="s">
        <v>1302</v>
      </c>
      <c r="V125" s="179" t="s">
        <v>1303</v>
      </c>
      <c r="W125" s="114" t="s">
        <v>1304</v>
      </c>
      <c r="X125" s="180">
        <v>16</v>
      </c>
      <c r="Y125" s="182" t="s">
        <v>1305</v>
      </c>
      <c r="Z125" s="183"/>
      <c r="AA125" s="184"/>
      <c r="AB125" s="182"/>
      <c r="AC125" s="114">
        <v>1</v>
      </c>
      <c r="AD125" s="172" t="s">
        <v>887</v>
      </c>
      <c r="AE125" s="114"/>
      <c r="AF125" s="114"/>
      <c r="AG125" s="114"/>
      <c r="AH125" s="106"/>
      <c r="AI125" s="114"/>
      <c r="AJ125" s="106"/>
      <c r="AK125" s="114"/>
      <c r="AL125" s="106" t="s">
        <v>915</v>
      </c>
      <c r="AM125" s="114"/>
      <c r="AN125" s="106"/>
      <c r="AO125" s="114"/>
      <c r="AP125" s="106"/>
      <c r="AQ125" s="114"/>
      <c r="AR125" s="106"/>
      <c r="AS125" s="114"/>
      <c r="AT125" s="106"/>
      <c r="AU125" s="114"/>
      <c r="AV125" s="106"/>
      <c r="AW125" s="114"/>
      <c r="AX125" s="157"/>
      <c r="AY125" s="157"/>
      <c r="AZ125" s="157"/>
      <c r="BA125" s="157"/>
      <c r="BB125" s="157"/>
      <c r="BC125" s="157"/>
    </row>
    <row r="126" spans="1:55" x14ac:dyDescent="0.3">
      <c r="A126" s="114">
        <f t="shared" si="3"/>
        <v>123</v>
      </c>
      <c r="B126" s="179" t="s">
        <v>1306</v>
      </c>
      <c r="C126" s="114">
        <v>0</v>
      </c>
      <c r="D126" s="114" t="s">
        <v>991</v>
      </c>
      <c r="E126" s="114" t="s">
        <v>980</v>
      </c>
      <c r="F126" s="114" t="s">
        <v>909</v>
      </c>
      <c r="G126" s="114"/>
      <c r="H126" s="114"/>
      <c r="I126" s="114"/>
      <c r="J126" s="114"/>
      <c r="K126" s="114"/>
      <c r="L126" s="114"/>
      <c r="M126" s="114"/>
      <c r="N126" s="114">
        <v>5</v>
      </c>
      <c r="O126" s="180">
        <v>0</v>
      </c>
      <c r="P126" s="180">
        <v>1000</v>
      </c>
      <c r="Q126" s="180">
        <v>0</v>
      </c>
      <c r="R126" s="180"/>
      <c r="S126" s="180" t="s">
        <v>1047</v>
      </c>
      <c r="T126" s="181" t="s">
        <v>1307</v>
      </c>
      <c r="U126" s="179" t="s">
        <v>1308</v>
      </c>
      <c r="V126" s="179" t="s">
        <v>1309</v>
      </c>
      <c r="W126" s="114" t="s">
        <v>1310</v>
      </c>
      <c r="X126" s="180">
        <v>16</v>
      </c>
      <c r="Y126" s="182" t="s">
        <v>1311</v>
      </c>
      <c r="Z126" s="183"/>
      <c r="AA126" s="184"/>
      <c r="AB126" s="182"/>
      <c r="AC126" s="114">
        <v>1</v>
      </c>
      <c r="AD126" s="172" t="s">
        <v>887</v>
      </c>
      <c r="AE126" s="114"/>
      <c r="AF126" s="114"/>
      <c r="AG126" s="114"/>
      <c r="AH126" s="106"/>
      <c r="AI126" s="114"/>
      <c r="AJ126" s="106"/>
      <c r="AK126" s="114"/>
      <c r="AL126" s="106" t="s">
        <v>915</v>
      </c>
      <c r="AM126" s="114"/>
      <c r="AN126" s="106"/>
      <c r="AO126" s="114"/>
      <c r="AP126" s="106"/>
      <c r="AQ126" s="114"/>
      <c r="AR126" s="106"/>
      <c r="AS126" s="114"/>
      <c r="AT126" s="106"/>
      <c r="AU126" s="114"/>
      <c r="AV126" s="106"/>
      <c r="AW126" s="114"/>
      <c r="AX126" s="157"/>
      <c r="AY126" s="157"/>
      <c r="AZ126" s="157"/>
      <c r="BA126" s="157"/>
      <c r="BB126" s="157"/>
      <c r="BC126" s="157"/>
    </row>
    <row r="127" spans="1:55" x14ac:dyDescent="0.3">
      <c r="A127" s="114">
        <f t="shared" si="3"/>
        <v>124</v>
      </c>
      <c r="B127" s="179" t="s">
        <v>1312</v>
      </c>
      <c r="C127" s="114">
        <v>0</v>
      </c>
      <c r="D127" s="114" t="s">
        <v>991</v>
      </c>
      <c r="E127" s="114" t="s">
        <v>980</v>
      </c>
      <c r="F127" s="114" t="s">
        <v>909</v>
      </c>
      <c r="G127" s="114"/>
      <c r="H127" s="114"/>
      <c r="I127" s="114"/>
      <c r="J127" s="114"/>
      <c r="K127" s="114"/>
      <c r="L127" s="114"/>
      <c r="M127" s="114"/>
      <c r="N127" s="114">
        <v>5</v>
      </c>
      <c r="O127" s="180">
        <v>0</v>
      </c>
      <c r="P127" s="180">
        <v>1000</v>
      </c>
      <c r="Q127" s="180">
        <v>0</v>
      </c>
      <c r="R127" s="180"/>
      <c r="S127" s="180" t="s">
        <v>1313</v>
      </c>
      <c r="T127" s="181" t="s">
        <v>1314</v>
      </c>
      <c r="U127" s="179" t="s">
        <v>1315</v>
      </c>
      <c r="V127" s="179" t="s">
        <v>1316</v>
      </c>
      <c r="W127" s="114" t="s">
        <v>1317</v>
      </c>
      <c r="X127" s="180">
        <v>16</v>
      </c>
      <c r="Y127" s="182" t="s">
        <v>1318</v>
      </c>
      <c r="Z127" s="183"/>
      <c r="AA127" s="184"/>
      <c r="AB127" s="182"/>
      <c r="AC127" s="114">
        <v>1</v>
      </c>
      <c r="AD127" s="172" t="s">
        <v>887</v>
      </c>
      <c r="AE127" s="114"/>
      <c r="AF127" s="114"/>
      <c r="AG127" s="114"/>
      <c r="AH127" s="106"/>
      <c r="AI127" s="114"/>
      <c r="AJ127" s="106"/>
      <c r="AK127" s="114"/>
      <c r="AL127" s="106" t="s">
        <v>915</v>
      </c>
      <c r="AM127" s="114"/>
      <c r="AN127" s="106"/>
      <c r="AO127" s="114"/>
      <c r="AP127" s="106"/>
      <c r="AQ127" s="114" t="s">
        <v>915</v>
      </c>
      <c r="AR127" s="106"/>
      <c r="AS127" s="114"/>
      <c r="AT127" s="106"/>
      <c r="AU127" s="114"/>
      <c r="AV127" s="106"/>
      <c r="AW127" s="114"/>
      <c r="AX127" s="157"/>
      <c r="AY127" s="157"/>
      <c r="AZ127" s="157"/>
      <c r="BA127" s="157"/>
      <c r="BB127" s="157"/>
      <c r="BC127" s="157"/>
    </row>
    <row r="128" spans="1:55" ht="66" x14ac:dyDescent="0.3">
      <c r="A128" s="114">
        <f t="shared" si="3"/>
        <v>125</v>
      </c>
      <c r="B128" s="179" t="s">
        <v>1319</v>
      </c>
      <c r="C128" s="114">
        <v>0</v>
      </c>
      <c r="D128" s="114" t="s">
        <v>991</v>
      </c>
      <c r="E128" s="114" t="s">
        <v>966</v>
      </c>
      <c r="F128" s="114" t="s">
        <v>909</v>
      </c>
      <c r="G128" s="114"/>
      <c r="H128" s="114"/>
      <c r="I128" s="114"/>
      <c r="J128" s="114"/>
      <c r="K128" s="114"/>
      <c r="L128" s="114"/>
      <c r="M128" s="114"/>
      <c r="N128" s="114">
        <v>3</v>
      </c>
      <c r="O128" s="138" t="s">
        <v>1320</v>
      </c>
      <c r="P128" s="138" t="s">
        <v>1321</v>
      </c>
      <c r="Q128" s="192" t="s">
        <v>1322</v>
      </c>
      <c r="R128" s="192" t="s">
        <v>1323</v>
      </c>
      <c r="S128" s="192" t="s">
        <v>1324</v>
      </c>
      <c r="T128" s="181" t="s">
        <v>1325</v>
      </c>
      <c r="U128" s="179" t="s">
        <v>1326</v>
      </c>
      <c r="V128" s="179" t="s">
        <v>1327</v>
      </c>
      <c r="W128" s="114" t="s">
        <v>1328</v>
      </c>
      <c r="X128" s="180">
        <v>32</v>
      </c>
      <c r="Y128" s="186" t="s">
        <v>1329</v>
      </c>
      <c r="Z128" s="183" t="s">
        <v>1330</v>
      </c>
      <c r="AA128" s="184"/>
      <c r="AB128" s="182"/>
      <c r="AC128" s="114">
        <v>2</v>
      </c>
      <c r="AD128" s="172" t="s">
        <v>887</v>
      </c>
      <c r="AE128" s="114"/>
      <c r="AF128" s="114"/>
      <c r="AG128" s="114"/>
      <c r="AH128" s="106"/>
      <c r="AI128" s="114"/>
      <c r="AJ128" s="106"/>
      <c r="AK128" s="114"/>
      <c r="AL128" s="106"/>
      <c r="AM128" s="114"/>
      <c r="AN128" s="106"/>
      <c r="AO128" s="114"/>
      <c r="AP128" s="106"/>
      <c r="AQ128" s="114"/>
      <c r="AR128" s="106"/>
      <c r="AS128" s="114"/>
      <c r="AT128" s="106"/>
      <c r="AU128" s="114"/>
      <c r="AV128" s="106"/>
      <c r="AW128" s="114"/>
      <c r="AX128" s="157"/>
      <c r="AY128" s="157"/>
      <c r="AZ128" s="157"/>
      <c r="BA128" s="157"/>
      <c r="BB128" s="157"/>
      <c r="BC128" s="157"/>
    </row>
    <row r="129" spans="1:55" ht="66" x14ac:dyDescent="0.3">
      <c r="A129" s="114">
        <f>A128+1</f>
        <v>126</v>
      </c>
      <c r="B129" s="179" t="s">
        <v>1331</v>
      </c>
      <c r="C129" s="114">
        <v>0</v>
      </c>
      <c r="D129" s="114" t="s">
        <v>991</v>
      </c>
      <c r="E129" s="114" t="s">
        <v>966</v>
      </c>
      <c r="F129" s="114" t="s">
        <v>909</v>
      </c>
      <c r="G129" s="114"/>
      <c r="H129" s="114"/>
      <c r="I129" s="114"/>
      <c r="J129" s="114"/>
      <c r="K129" s="114"/>
      <c r="L129" s="114"/>
      <c r="M129" s="114"/>
      <c r="N129" s="114">
        <v>3</v>
      </c>
      <c r="O129" s="138" t="s">
        <v>1320</v>
      </c>
      <c r="P129" s="138" t="s">
        <v>1321</v>
      </c>
      <c r="Q129" s="192" t="s">
        <v>1332</v>
      </c>
      <c r="R129" s="192" t="s">
        <v>1323</v>
      </c>
      <c r="S129" s="192" t="s">
        <v>1324</v>
      </c>
      <c r="T129" s="181" t="s">
        <v>1333</v>
      </c>
      <c r="U129" s="179" t="s">
        <v>1334</v>
      </c>
      <c r="V129" s="179" t="s">
        <v>1335</v>
      </c>
      <c r="W129" s="114" t="s">
        <v>1336</v>
      </c>
      <c r="X129" s="180">
        <v>32</v>
      </c>
      <c r="Y129" s="186" t="s">
        <v>1329</v>
      </c>
      <c r="Z129" s="183" t="s">
        <v>1337</v>
      </c>
      <c r="AA129" s="184"/>
      <c r="AB129" s="182"/>
      <c r="AC129" s="114">
        <v>2</v>
      </c>
      <c r="AD129" s="172" t="s">
        <v>887</v>
      </c>
      <c r="AE129" s="114"/>
      <c r="AF129" s="114"/>
      <c r="AG129" s="114"/>
      <c r="AH129" s="106"/>
      <c r="AI129" s="114"/>
      <c r="AJ129" s="106"/>
      <c r="AK129" s="114"/>
      <c r="AL129" s="106"/>
      <c r="AM129" s="114"/>
      <c r="AN129" s="106"/>
      <c r="AO129" s="114"/>
      <c r="AP129" s="106"/>
      <c r="AQ129" s="114"/>
      <c r="AR129" s="106"/>
      <c r="AS129" s="114"/>
      <c r="AT129" s="106"/>
      <c r="AU129" s="114"/>
      <c r="AV129" s="106"/>
      <c r="AW129" s="114"/>
      <c r="AX129" s="157"/>
      <c r="AY129" s="157"/>
      <c r="AZ129" s="157"/>
      <c r="BA129" s="157"/>
      <c r="BB129" s="157"/>
      <c r="BC129" s="157"/>
    </row>
    <row r="130" spans="1:55" ht="66" x14ac:dyDescent="0.3">
      <c r="A130" s="114">
        <f t="shared" si="3"/>
        <v>127</v>
      </c>
      <c r="B130" s="179" t="s">
        <v>1338</v>
      </c>
      <c r="C130" s="114">
        <v>0</v>
      </c>
      <c r="D130" s="114" t="s">
        <v>991</v>
      </c>
      <c r="E130" s="114" t="s">
        <v>966</v>
      </c>
      <c r="F130" s="114" t="s">
        <v>909</v>
      </c>
      <c r="G130" s="114"/>
      <c r="H130" s="114"/>
      <c r="I130" s="114"/>
      <c r="J130" s="114"/>
      <c r="K130" s="114"/>
      <c r="L130" s="114"/>
      <c r="M130" s="114"/>
      <c r="N130" s="114">
        <v>3</v>
      </c>
      <c r="O130" s="138" t="s">
        <v>1320</v>
      </c>
      <c r="P130" s="138" t="s">
        <v>1321</v>
      </c>
      <c r="Q130" s="192" t="s">
        <v>1339</v>
      </c>
      <c r="R130" s="192" t="s">
        <v>1323</v>
      </c>
      <c r="S130" s="192" t="s">
        <v>1324</v>
      </c>
      <c r="T130" s="181" t="s">
        <v>1340</v>
      </c>
      <c r="U130" s="179" t="s">
        <v>1341</v>
      </c>
      <c r="V130" s="179" t="s">
        <v>1342</v>
      </c>
      <c r="W130" s="114" t="s">
        <v>1343</v>
      </c>
      <c r="X130" s="180">
        <v>32</v>
      </c>
      <c r="Y130" s="186" t="s">
        <v>1329</v>
      </c>
      <c r="Z130" s="183" t="s">
        <v>1344</v>
      </c>
      <c r="AA130" s="184"/>
      <c r="AB130" s="182"/>
      <c r="AC130" s="114">
        <v>2</v>
      </c>
      <c r="AD130" s="172" t="s">
        <v>887</v>
      </c>
      <c r="AE130" s="114"/>
      <c r="AF130" s="114"/>
      <c r="AG130" s="114"/>
      <c r="AH130" s="106"/>
      <c r="AI130" s="114"/>
      <c r="AJ130" s="106"/>
      <c r="AK130" s="114"/>
      <c r="AL130" s="106"/>
      <c r="AM130" s="114"/>
      <c r="AN130" s="106"/>
      <c r="AO130" s="114"/>
      <c r="AP130" s="106"/>
      <c r="AQ130" s="114"/>
      <c r="AR130" s="106"/>
      <c r="AS130" s="114"/>
      <c r="AT130" s="106"/>
      <c r="AU130" s="114"/>
      <c r="AV130" s="106"/>
      <c r="AW130" s="114"/>
      <c r="AX130" s="157"/>
      <c r="AY130" s="157"/>
      <c r="AZ130" s="157"/>
      <c r="BA130" s="157"/>
      <c r="BB130" s="157"/>
      <c r="BC130" s="157"/>
    </row>
    <row r="131" spans="1:55" ht="13.8" x14ac:dyDescent="0.3">
      <c r="A131" s="114">
        <f t="shared" si="3"/>
        <v>128</v>
      </c>
      <c r="B131" s="179" t="s">
        <v>1345</v>
      </c>
      <c r="C131" s="114">
        <v>0</v>
      </c>
      <c r="D131" s="114" t="s">
        <v>991</v>
      </c>
      <c r="E131" s="114" t="s">
        <v>980</v>
      </c>
      <c r="F131" s="114" t="s">
        <v>909</v>
      </c>
      <c r="G131" s="114"/>
      <c r="H131" s="114"/>
      <c r="I131" s="114"/>
      <c r="J131" s="114"/>
      <c r="K131" s="114"/>
      <c r="L131" s="114"/>
      <c r="M131" s="114"/>
      <c r="N131" s="114">
        <v>3</v>
      </c>
      <c r="O131" s="107">
        <v>-420</v>
      </c>
      <c r="P131" s="107">
        <v>420</v>
      </c>
      <c r="Q131" s="180">
        <v>100</v>
      </c>
      <c r="R131" s="180"/>
      <c r="S131" s="180" t="s">
        <v>1044</v>
      </c>
      <c r="T131" s="181" t="s">
        <v>1346</v>
      </c>
      <c r="U131" s="179" t="s">
        <v>1347</v>
      </c>
      <c r="V131" s="179" t="s">
        <v>1348</v>
      </c>
      <c r="W131" s="114" t="s">
        <v>1349</v>
      </c>
      <c r="X131" s="180">
        <v>16</v>
      </c>
      <c r="Y131" s="186" t="s">
        <v>1350</v>
      </c>
      <c r="Z131" s="183" t="s">
        <v>1351</v>
      </c>
      <c r="AA131" s="184"/>
      <c r="AB131" s="182"/>
      <c r="AC131" s="114">
        <v>2</v>
      </c>
      <c r="AD131" s="172" t="s">
        <v>887</v>
      </c>
      <c r="AE131" s="114"/>
      <c r="AF131" s="114"/>
      <c r="AG131" s="114"/>
      <c r="AH131" s="106"/>
      <c r="AI131" s="114"/>
      <c r="AJ131" s="106"/>
      <c r="AK131" s="114"/>
      <c r="AL131" s="106"/>
      <c r="AM131" s="114" t="s">
        <v>915</v>
      </c>
      <c r="AN131" s="106"/>
      <c r="AO131" s="114"/>
      <c r="AP131" s="106"/>
      <c r="AQ131" s="114"/>
      <c r="AR131" s="106"/>
      <c r="AS131" s="114"/>
      <c r="AT131" s="106"/>
      <c r="AU131" s="114"/>
      <c r="AV131" s="106"/>
      <c r="AW131" s="114"/>
      <c r="AX131" s="157"/>
      <c r="AY131" s="157"/>
      <c r="AZ131" s="157"/>
      <c r="BA131" s="157"/>
      <c r="BB131" s="157"/>
      <c r="BC131" s="157"/>
    </row>
    <row r="132" spans="1:55" ht="13.8" x14ac:dyDescent="0.3">
      <c r="A132" s="114">
        <f t="shared" si="3"/>
        <v>129</v>
      </c>
      <c r="B132" s="179" t="s">
        <v>1352</v>
      </c>
      <c r="C132" s="114">
        <v>0</v>
      </c>
      <c r="D132" s="114" t="s">
        <v>991</v>
      </c>
      <c r="E132" s="114" t="s">
        <v>980</v>
      </c>
      <c r="F132" s="114" t="s">
        <v>909</v>
      </c>
      <c r="G132" s="114"/>
      <c r="H132" s="114"/>
      <c r="I132" s="114"/>
      <c r="J132" s="114"/>
      <c r="K132" s="114"/>
      <c r="L132" s="114"/>
      <c r="M132" s="114"/>
      <c r="N132" s="114">
        <v>3</v>
      </c>
      <c r="O132" s="107">
        <v>-420</v>
      </c>
      <c r="P132" s="107">
        <v>420</v>
      </c>
      <c r="Q132" s="180">
        <v>100</v>
      </c>
      <c r="R132" s="180"/>
      <c r="S132" s="180" t="s">
        <v>1044</v>
      </c>
      <c r="T132" s="181" t="s">
        <v>1353</v>
      </c>
      <c r="U132" s="179" t="s">
        <v>1354</v>
      </c>
      <c r="V132" s="179" t="s">
        <v>1355</v>
      </c>
      <c r="W132" s="114" t="s">
        <v>1356</v>
      </c>
      <c r="X132" s="180">
        <v>16</v>
      </c>
      <c r="Y132" s="186" t="s">
        <v>1350</v>
      </c>
      <c r="Z132" s="183" t="s">
        <v>1351</v>
      </c>
      <c r="AA132" s="184"/>
      <c r="AB132" s="182"/>
      <c r="AC132" s="114">
        <v>2</v>
      </c>
      <c r="AD132" s="172" t="s">
        <v>887</v>
      </c>
      <c r="AE132" s="114"/>
      <c r="AF132" s="114"/>
      <c r="AG132" s="114"/>
      <c r="AH132" s="106"/>
      <c r="AI132" s="114"/>
      <c r="AJ132" s="106"/>
      <c r="AK132" s="114"/>
      <c r="AL132" s="106"/>
      <c r="AM132" s="114" t="s">
        <v>915</v>
      </c>
      <c r="AN132" s="106"/>
      <c r="AO132" s="114"/>
      <c r="AP132" s="106"/>
      <c r="AQ132" s="114"/>
      <c r="AR132" s="106"/>
      <c r="AS132" s="114"/>
      <c r="AT132" s="106"/>
      <c r="AU132" s="114"/>
      <c r="AV132" s="106"/>
      <c r="AW132" s="114"/>
      <c r="AX132" s="157"/>
      <c r="AY132" s="157"/>
      <c r="AZ132" s="157"/>
      <c r="BA132" s="157"/>
      <c r="BB132" s="157"/>
      <c r="BC132" s="157"/>
    </row>
    <row r="133" spans="1:55" ht="13.8" x14ac:dyDescent="0.3">
      <c r="A133" s="114">
        <f t="shared" si="3"/>
        <v>130</v>
      </c>
      <c r="B133" s="179" t="s">
        <v>1357</v>
      </c>
      <c r="C133" s="114">
        <v>0</v>
      </c>
      <c r="D133" s="114" t="s">
        <v>991</v>
      </c>
      <c r="E133" s="114" t="s">
        <v>980</v>
      </c>
      <c r="F133" s="114" t="s">
        <v>909</v>
      </c>
      <c r="G133" s="114"/>
      <c r="H133" s="114"/>
      <c r="I133" s="114"/>
      <c r="J133" s="114"/>
      <c r="K133" s="114"/>
      <c r="L133" s="114"/>
      <c r="M133" s="114"/>
      <c r="N133" s="114">
        <v>3</v>
      </c>
      <c r="O133" s="107">
        <v>-420</v>
      </c>
      <c r="P133" s="107">
        <v>420</v>
      </c>
      <c r="Q133" s="180">
        <v>100</v>
      </c>
      <c r="R133" s="180"/>
      <c r="S133" s="180" t="s">
        <v>1044</v>
      </c>
      <c r="T133" s="181" t="s">
        <v>1358</v>
      </c>
      <c r="U133" s="179" t="s">
        <v>1359</v>
      </c>
      <c r="V133" s="179" t="s">
        <v>1360</v>
      </c>
      <c r="W133" s="114" t="s">
        <v>1361</v>
      </c>
      <c r="X133" s="180">
        <v>16</v>
      </c>
      <c r="Y133" s="186" t="s">
        <v>1350</v>
      </c>
      <c r="Z133" s="183" t="s">
        <v>1351</v>
      </c>
      <c r="AA133" s="184"/>
      <c r="AB133" s="182"/>
      <c r="AC133" s="114">
        <v>2</v>
      </c>
      <c r="AD133" s="172" t="s">
        <v>887</v>
      </c>
      <c r="AE133" s="114"/>
      <c r="AF133" s="114"/>
      <c r="AG133" s="114"/>
      <c r="AH133" s="106"/>
      <c r="AI133" s="114"/>
      <c r="AJ133" s="106"/>
      <c r="AK133" s="114"/>
      <c r="AL133" s="106"/>
      <c r="AM133" s="114" t="s">
        <v>915</v>
      </c>
      <c r="AN133" s="106"/>
      <c r="AO133" s="114"/>
      <c r="AP133" s="106"/>
      <c r="AQ133" s="114"/>
      <c r="AR133" s="106"/>
      <c r="AS133" s="114"/>
      <c r="AT133" s="106"/>
      <c r="AU133" s="114"/>
      <c r="AV133" s="106"/>
      <c r="AW133" s="114"/>
      <c r="AX133" s="157"/>
      <c r="AY133" s="157"/>
      <c r="AZ133" s="157"/>
      <c r="BA133" s="157"/>
      <c r="BB133" s="157"/>
      <c r="BC133" s="157"/>
    </row>
    <row r="134" spans="1:55" x14ac:dyDescent="0.3">
      <c r="A134" s="114">
        <f t="shared" si="3"/>
        <v>131</v>
      </c>
      <c r="B134" s="179" t="s">
        <v>1362</v>
      </c>
      <c r="C134" s="114">
        <v>0</v>
      </c>
      <c r="D134" s="114" t="s">
        <v>991</v>
      </c>
      <c r="E134" s="122" t="s">
        <v>944</v>
      </c>
      <c r="F134" s="114" t="s">
        <v>909</v>
      </c>
      <c r="G134" s="114"/>
      <c r="H134" s="114"/>
      <c r="I134" s="114"/>
      <c r="J134" s="114"/>
      <c r="K134" s="114"/>
      <c r="L134" s="114"/>
      <c r="M134" s="191" t="s">
        <v>874</v>
      </c>
      <c r="N134" s="114">
        <v>9</v>
      </c>
      <c r="O134" s="107" t="s">
        <v>1181</v>
      </c>
      <c r="P134" s="107" t="s">
        <v>1363</v>
      </c>
      <c r="Q134" s="107" t="s">
        <v>1364</v>
      </c>
      <c r="R134" s="180"/>
      <c r="S134" s="180"/>
      <c r="T134" s="111" t="s">
        <v>426</v>
      </c>
      <c r="U134" s="113" t="s">
        <v>1365</v>
      </c>
      <c r="V134" s="179" t="s">
        <v>1366</v>
      </c>
      <c r="W134" s="114" t="s">
        <v>1367</v>
      </c>
      <c r="X134" s="180">
        <v>16</v>
      </c>
      <c r="Y134" s="182" t="s">
        <v>913</v>
      </c>
      <c r="Z134" s="183"/>
      <c r="AA134" s="184"/>
      <c r="AB134" s="182"/>
      <c r="AC134" s="114">
        <v>3</v>
      </c>
      <c r="AD134" s="172" t="s">
        <v>887</v>
      </c>
      <c r="AE134" s="114"/>
      <c r="AF134" s="114"/>
      <c r="AG134" s="114"/>
      <c r="AH134" s="106"/>
      <c r="AI134" s="114"/>
      <c r="AJ134" s="106"/>
      <c r="AK134" s="114"/>
      <c r="AL134" s="106"/>
      <c r="AM134" s="114"/>
      <c r="AN134" s="106"/>
      <c r="AO134" s="114"/>
      <c r="AP134" s="106"/>
      <c r="AQ134" s="114"/>
      <c r="AR134" s="106"/>
      <c r="AS134" s="114"/>
      <c r="AT134" s="106"/>
      <c r="AU134" s="114"/>
      <c r="AV134" s="106" t="s">
        <v>915</v>
      </c>
      <c r="AW134" s="114"/>
      <c r="AX134" s="157"/>
      <c r="AY134" s="157"/>
      <c r="AZ134" s="157"/>
      <c r="BA134" s="157"/>
      <c r="BB134" s="157"/>
      <c r="BC134" s="157"/>
    </row>
    <row r="135" spans="1:55" x14ac:dyDescent="0.3">
      <c r="A135" s="114">
        <f t="shared" si="3"/>
        <v>132</v>
      </c>
      <c r="B135" s="179" t="s">
        <v>1368</v>
      </c>
      <c r="C135" s="114">
        <v>0</v>
      </c>
      <c r="D135" s="114" t="s">
        <v>991</v>
      </c>
      <c r="E135" s="114" t="s">
        <v>966</v>
      </c>
      <c r="F135" s="114" t="s">
        <v>909</v>
      </c>
      <c r="G135" s="114"/>
      <c r="H135" s="114"/>
      <c r="I135" s="114"/>
      <c r="J135" s="114"/>
      <c r="K135" s="114"/>
      <c r="L135" s="114"/>
      <c r="M135" s="114"/>
      <c r="N135" s="114">
        <v>9</v>
      </c>
      <c r="O135" s="180">
        <v>0</v>
      </c>
      <c r="P135" s="180">
        <v>100000000</v>
      </c>
      <c r="Q135" s="180">
        <v>0</v>
      </c>
      <c r="R135" s="180"/>
      <c r="S135" s="180"/>
      <c r="T135" s="181" t="s">
        <v>429</v>
      </c>
      <c r="U135" s="111" t="s">
        <v>1369</v>
      </c>
      <c r="V135" s="179" t="s">
        <v>1370</v>
      </c>
      <c r="W135" s="114" t="s">
        <v>1371</v>
      </c>
      <c r="X135" s="180">
        <v>32</v>
      </c>
      <c r="Y135" s="182" t="s">
        <v>913</v>
      </c>
      <c r="Z135" s="183" t="s">
        <v>1372</v>
      </c>
      <c r="AA135" s="184"/>
      <c r="AB135" s="182"/>
      <c r="AC135" s="114">
        <v>3</v>
      </c>
      <c r="AD135" s="172" t="s">
        <v>887</v>
      </c>
      <c r="AE135" s="114"/>
      <c r="AF135" s="114"/>
      <c r="AG135" s="114"/>
      <c r="AH135" s="106"/>
      <c r="AI135" s="114"/>
      <c r="AJ135" s="106"/>
      <c r="AK135" s="114"/>
      <c r="AL135" s="106"/>
      <c r="AM135" s="114"/>
      <c r="AN135" s="106"/>
      <c r="AO135" s="114"/>
      <c r="AP135" s="106"/>
      <c r="AQ135" s="114"/>
      <c r="AR135" s="106"/>
      <c r="AS135" s="114"/>
      <c r="AT135" s="106"/>
      <c r="AU135" s="114"/>
      <c r="AV135" s="106" t="s">
        <v>915</v>
      </c>
      <c r="AW135" s="114"/>
      <c r="AX135" s="157"/>
      <c r="AY135" s="157"/>
      <c r="AZ135" s="157"/>
      <c r="BA135" s="157"/>
      <c r="BB135" s="157"/>
      <c r="BC135" s="157"/>
    </row>
    <row r="136" spans="1:55" x14ac:dyDescent="0.3">
      <c r="A136" s="114">
        <f t="shared" si="3"/>
        <v>133</v>
      </c>
      <c r="B136" s="179" t="s">
        <v>1373</v>
      </c>
      <c r="C136" s="114">
        <v>0</v>
      </c>
      <c r="D136" s="114" t="s">
        <v>991</v>
      </c>
      <c r="E136" s="114" t="s">
        <v>966</v>
      </c>
      <c r="F136" s="114" t="s">
        <v>909</v>
      </c>
      <c r="G136" s="114"/>
      <c r="H136" s="114"/>
      <c r="I136" s="114"/>
      <c r="J136" s="114"/>
      <c r="K136" s="114"/>
      <c r="L136" s="114"/>
      <c r="M136" s="114"/>
      <c r="N136" s="114">
        <v>9</v>
      </c>
      <c r="O136" s="180">
        <v>-10000000</v>
      </c>
      <c r="P136" s="180">
        <v>10000000</v>
      </c>
      <c r="Q136" s="180">
        <v>0</v>
      </c>
      <c r="R136" s="180"/>
      <c r="S136" s="180"/>
      <c r="T136" s="181" t="s">
        <v>431</v>
      </c>
      <c r="U136" s="179" t="s">
        <v>1374</v>
      </c>
      <c r="V136" s="179" t="s">
        <v>1375</v>
      </c>
      <c r="W136" s="114" t="s">
        <v>1376</v>
      </c>
      <c r="X136" s="180">
        <v>32</v>
      </c>
      <c r="Y136" s="182" t="s">
        <v>913</v>
      </c>
      <c r="Z136" s="183"/>
      <c r="AA136" s="184"/>
      <c r="AB136" s="182"/>
      <c r="AC136" s="114">
        <v>3</v>
      </c>
      <c r="AD136" s="172" t="s">
        <v>887</v>
      </c>
      <c r="AE136" s="114"/>
      <c r="AF136" s="114"/>
      <c r="AG136" s="114"/>
      <c r="AH136" s="106"/>
      <c r="AI136" s="114"/>
      <c r="AJ136" s="106"/>
      <c r="AK136" s="114"/>
      <c r="AL136" s="106"/>
      <c r="AM136" s="114"/>
      <c r="AN136" s="106"/>
      <c r="AO136" s="114"/>
      <c r="AP136" s="106"/>
      <c r="AQ136" s="114"/>
      <c r="AR136" s="106"/>
      <c r="AS136" s="114"/>
      <c r="AT136" s="106"/>
      <c r="AU136" s="114"/>
      <c r="AV136" s="106"/>
      <c r="AW136" s="114"/>
      <c r="AX136" s="157"/>
      <c r="AY136" s="157"/>
      <c r="AZ136" s="157"/>
      <c r="BA136" s="157"/>
      <c r="BB136" s="157"/>
      <c r="BC136" s="157"/>
    </row>
    <row r="137" spans="1:55" x14ac:dyDescent="0.3">
      <c r="A137" s="114">
        <f t="shared" si="3"/>
        <v>134</v>
      </c>
      <c r="B137" s="179" t="s">
        <v>1377</v>
      </c>
      <c r="C137" s="114">
        <v>0</v>
      </c>
      <c r="D137" s="114" t="s">
        <v>991</v>
      </c>
      <c r="E137" s="114" t="s">
        <v>980</v>
      </c>
      <c r="F137" s="114" t="s">
        <v>909</v>
      </c>
      <c r="G137" s="114"/>
      <c r="H137" s="114"/>
      <c r="I137" s="114"/>
      <c r="J137" s="114" t="s">
        <v>871</v>
      </c>
      <c r="K137" s="114"/>
      <c r="L137" s="114"/>
      <c r="M137" s="114"/>
      <c r="N137" s="114">
        <v>9</v>
      </c>
      <c r="O137" s="180">
        <v>-32768</v>
      </c>
      <c r="P137" s="180">
        <v>32767</v>
      </c>
      <c r="Q137" s="180">
        <v>0</v>
      </c>
      <c r="R137" s="180"/>
      <c r="S137" s="180"/>
      <c r="T137" s="181" t="s">
        <v>434</v>
      </c>
      <c r="U137" s="179" t="s">
        <v>1378</v>
      </c>
      <c r="V137" s="179" t="s">
        <v>1379</v>
      </c>
      <c r="W137" s="114" t="s">
        <v>1380</v>
      </c>
      <c r="X137" s="180">
        <v>16</v>
      </c>
      <c r="Y137" s="182" t="s">
        <v>913</v>
      </c>
      <c r="Z137" s="183"/>
      <c r="AA137" s="184"/>
      <c r="AB137" s="182"/>
      <c r="AC137" s="114">
        <v>3</v>
      </c>
      <c r="AD137" s="172" t="s">
        <v>887</v>
      </c>
      <c r="AE137" s="114"/>
      <c r="AF137" s="114"/>
      <c r="AG137" s="114"/>
      <c r="AH137" s="106"/>
      <c r="AI137" s="114"/>
      <c r="AJ137" s="106"/>
      <c r="AK137" s="114"/>
      <c r="AL137" s="106"/>
      <c r="AM137" s="114"/>
      <c r="AN137" s="106"/>
      <c r="AO137" s="114"/>
      <c r="AP137" s="106"/>
      <c r="AQ137" s="114"/>
      <c r="AR137" s="106"/>
      <c r="AS137" s="114"/>
      <c r="AT137" s="106"/>
      <c r="AU137" s="114"/>
      <c r="AV137" s="106"/>
      <c r="AW137" s="114"/>
      <c r="AX137" s="157"/>
      <c r="AY137" s="157"/>
      <c r="AZ137" s="157"/>
      <c r="BA137" s="157"/>
      <c r="BB137" s="157"/>
      <c r="BC137" s="157"/>
    </row>
    <row r="138" spans="1:55" x14ac:dyDescent="0.3">
      <c r="A138" s="114">
        <f t="shared" si="3"/>
        <v>135</v>
      </c>
      <c r="B138" s="179" t="s">
        <v>1381</v>
      </c>
      <c r="C138" s="114">
        <v>0</v>
      </c>
      <c r="D138" s="114" t="s">
        <v>991</v>
      </c>
      <c r="E138" s="114" t="s">
        <v>980</v>
      </c>
      <c r="F138" s="114" t="s">
        <v>909</v>
      </c>
      <c r="G138" s="114"/>
      <c r="H138" s="114"/>
      <c r="I138" s="114"/>
      <c r="J138" s="114"/>
      <c r="K138" s="114"/>
      <c r="L138" s="114"/>
      <c r="M138" s="114"/>
      <c r="N138" s="114">
        <v>5</v>
      </c>
      <c r="O138" s="180">
        <v>10</v>
      </c>
      <c r="P138" s="180">
        <v>1000</v>
      </c>
      <c r="Q138" s="180">
        <v>1000</v>
      </c>
      <c r="R138" s="180">
        <v>0.1</v>
      </c>
      <c r="S138" s="180" t="s">
        <v>1382</v>
      </c>
      <c r="T138" s="181" t="s">
        <v>1383</v>
      </c>
      <c r="U138" s="179" t="s">
        <v>1384</v>
      </c>
      <c r="V138" s="179" t="s">
        <v>1385</v>
      </c>
      <c r="W138" s="114" t="s">
        <v>1386</v>
      </c>
      <c r="X138" s="180">
        <v>16</v>
      </c>
      <c r="Y138" s="182" t="s">
        <v>1318</v>
      </c>
      <c r="Z138" s="183"/>
      <c r="AA138" s="184"/>
      <c r="AB138" s="182"/>
      <c r="AC138" s="114">
        <v>1</v>
      </c>
      <c r="AD138" s="172" t="s">
        <v>887</v>
      </c>
      <c r="AE138" s="114"/>
      <c r="AF138" s="114"/>
      <c r="AG138" s="114"/>
      <c r="AH138" s="106"/>
      <c r="AI138" s="114"/>
      <c r="AJ138" s="106"/>
      <c r="AK138" s="114"/>
      <c r="AL138" s="106"/>
      <c r="AM138" s="114"/>
      <c r="AN138" s="106"/>
      <c r="AO138" s="114"/>
      <c r="AP138" s="106"/>
      <c r="AQ138" s="114"/>
      <c r="AR138" s="106"/>
      <c r="AS138" s="114"/>
      <c r="AT138" s="106"/>
      <c r="AU138" s="114"/>
      <c r="AV138" s="106"/>
      <c r="AW138" s="114"/>
      <c r="AX138" s="157"/>
      <c r="AY138" s="157"/>
      <c r="AZ138" s="157"/>
      <c r="BA138" s="157"/>
      <c r="BB138" s="157"/>
      <c r="BC138" s="157"/>
    </row>
    <row r="139" spans="1:55" x14ac:dyDescent="0.3">
      <c r="A139" s="114">
        <f t="shared" si="3"/>
        <v>136</v>
      </c>
      <c r="B139" s="179" t="s">
        <v>1387</v>
      </c>
      <c r="C139" s="114">
        <v>0</v>
      </c>
      <c r="D139" s="114" t="s">
        <v>991</v>
      </c>
      <c r="E139" s="114" t="s">
        <v>980</v>
      </c>
      <c r="F139" s="114" t="s">
        <v>909</v>
      </c>
      <c r="G139" s="114"/>
      <c r="H139" s="114"/>
      <c r="I139" s="114"/>
      <c r="J139" s="114"/>
      <c r="K139" s="114"/>
      <c r="L139" s="114"/>
      <c r="M139" s="114"/>
      <c r="N139" s="114">
        <v>5</v>
      </c>
      <c r="O139" s="180">
        <v>0</v>
      </c>
      <c r="P139" s="180">
        <v>9</v>
      </c>
      <c r="Q139" s="180">
        <v>0</v>
      </c>
      <c r="R139" s="180"/>
      <c r="S139" s="180"/>
      <c r="T139" s="181" t="s">
        <v>1388</v>
      </c>
      <c r="U139" s="179" t="s">
        <v>1389</v>
      </c>
      <c r="V139" s="179" t="s">
        <v>1390</v>
      </c>
      <c r="W139" s="114" t="s">
        <v>1391</v>
      </c>
      <c r="X139" s="180">
        <v>16</v>
      </c>
      <c r="Y139" s="182" t="s">
        <v>1318</v>
      </c>
      <c r="Z139" s="183"/>
      <c r="AA139" s="184"/>
      <c r="AB139" s="182"/>
      <c r="AC139" s="114">
        <v>1</v>
      </c>
      <c r="AD139" s="172" t="s">
        <v>887</v>
      </c>
      <c r="AE139" s="114"/>
      <c r="AF139" s="114"/>
      <c r="AG139" s="114"/>
      <c r="AH139" s="106"/>
      <c r="AI139" s="114"/>
      <c r="AJ139" s="106"/>
      <c r="AK139" s="114"/>
      <c r="AL139" s="106"/>
      <c r="AM139" s="114"/>
      <c r="AN139" s="106"/>
      <c r="AO139" s="114"/>
      <c r="AP139" s="106"/>
      <c r="AQ139" s="114"/>
      <c r="AR139" s="106"/>
      <c r="AS139" s="114"/>
      <c r="AT139" s="106"/>
      <c r="AU139" s="114"/>
      <c r="AV139" s="106"/>
      <c r="AW139" s="114"/>
      <c r="AX139" s="157"/>
      <c r="AY139" s="157"/>
      <c r="AZ139" s="157"/>
      <c r="BA139" s="157"/>
      <c r="BB139" s="157"/>
      <c r="BC139" s="157"/>
    </row>
    <row r="140" spans="1:55" x14ac:dyDescent="0.3">
      <c r="A140" s="114">
        <f t="shared" si="3"/>
        <v>137</v>
      </c>
      <c r="B140" s="179" t="s">
        <v>1392</v>
      </c>
      <c r="C140" s="114">
        <v>0</v>
      </c>
      <c r="D140" s="114" t="s">
        <v>991</v>
      </c>
      <c r="E140" s="114" t="s">
        <v>980</v>
      </c>
      <c r="F140" s="114" t="s">
        <v>909</v>
      </c>
      <c r="G140" s="114"/>
      <c r="H140" s="114"/>
      <c r="I140" s="114"/>
      <c r="J140" s="114"/>
      <c r="K140" s="114"/>
      <c r="L140" s="114"/>
      <c r="M140" s="114"/>
      <c r="N140" s="114">
        <v>5</v>
      </c>
      <c r="O140" s="180">
        <v>10</v>
      </c>
      <c r="P140" s="180">
        <v>1000</v>
      </c>
      <c r="Q140" s="180">
        <v>1000</v>
      </c>
      <c r="R140" s="180">
        <v>0.1</v>
      </c>
      <c r="S140" s="180" t="s">
        <v>1382</v>
      </c>
      <c r="T140" s="181" t="s">
        <v>1393</v>
      </c>
      <c r="U140" s="179" t="s">
        <v>1394</v>
      </c>
      <c r="V140" s="179" t="s">
        <v>1395</v>
      </c>
      <c r="W140" s="114" t="s">
        <v>1396</v>
      </c>
      <c r="X140" s="180">
        <v>16</v>
      </c>
      <c r="Y140" s="182" t="s">
        <v>1318</v>
      </c>
      <c r="Z140" s="183"/>
      <c r="AA140" s="184"/>
      <c r="AB140" s="182"/>
      <c r="AC140" s="114">
        <v>1</v>
      </c>
      <c r="AD140" s="172" t="s">
        <v>887</v>
      </c>
      <c r="AE140" s="114"/>
      <c r="AF140" s="114"/>
      <c r="AG140" s="114"/>
      <c r="AH140" s="106"/>
      <c r="AI140" s="114"/>
      <c r="AJ140" s="106"/>
      <c r="AK140" s="114"/>
      <c r="AL140" s="106"/>
      <c r="AM140" s="114"/>
      <c r="AN140" s="106"/>
      <c r="AO140" s="114"/>
      <c r="AP140" s="106"/>
      <c r="AQ140" s="114"/>
      <c r="AR140" s="106"/>
      <c r="AS140" s="114"/>
      <c r="AT140" s="106"/>
      <c r="AU140" s="114"/>
      <c r="AV140" s="106"/>
      <c r="AW140" s="114"/>
      <c r="AX140" s="157"/>
      <c r="AY140" s="157"/>
      <c r="AZ140" s="157"/>
      <c r="BA140" s="157"/>
      <c r="BB140" s="157"/>
      <c r="BC140" s="157"/>
    </row>
    <row r="141" spans="1:55" x14ac:dyDescent="0.3">
      <c r="A141" s="114">
        <f t="shared" si="3"/>
        <v>138</v>
      </c>
      <c r="B141" s="179" t="s">
        <v>1397</v>
      </c>
      <c r="C141" s="114">
        <v>0</v>
      </c>
      <c r="D141" s="114" t="s">
        <v>991</v>
      </c>
      <c r="E141" s="114" t="s">
        <v>980</v>
      </c>
      <c r="F141" s="114" t="s">
        <v>909</v>
      </c>
      <c r="G141" s="114"/>
      <c r="H141" s="114"/>
      <c r="I141" s="114"/>
      <c r="J141" s="114"/>
      <c r="K141" s="114"/>
      <c r="L141" s="114"/>
      <c r="M141" s="114"/>
      <c r="N141" s="114">
        <v>5</v>
      </c>
      <c r="O141" s="180">
        <v>0</v>
      </c>
      <c r="P141" s="180">
        <v>9</v>
      </c>
      <c r="Q141" s="180">
        <v>0</v>
      </c>
      <c r="R141" s="180"/>
      <c r="S141" s="180"/>
      <c r="T141" s="181" t="s">
        <v>1398</v>
      </c>
      <c r="U141" s="179" t="s">
        <v>1399</v>
      </c>
      <c r="V141" s="179" t="s">
        <v>1400</v>
      </c>
      <c r="W141" s="114" t="s">
        <v>1401</v>
      </c>
      <c r="X141" s="180">
        <v>16</v>
      </c>
      <c r="Y141" s="182" t="s">
        <v>1318</v>
      </c>
      <c r="Z141" s="183"/>
      <c r="AA141" s="184"/>
      <c r="AB141" s="182"/>
      <c r="AC141" s="114">
        <v>1</v>
      </c>
      <c r="AD141" s="172" t="s">
        <v>887</v>
      </c>
      <c r="AE141" s="114"/>
      <c r="AF141" s="114"/>
      <c r="AG141" s="114"/>
      <c r="AH141" s="106"/>
      <c r="AI141" s="114"/>
      <c r="AJ141" s="106"/>
      <c r="AK141" s="114"/>
      <c r="AL141" s="106"/>
      <c r="AM141" s="114"/>
      <c r="AN141" s="106"/>
      <c r="AO141" s="114"/>
      <c r="AP141" s="106"/>
      <c r="AQ141" s="114"/>
      <c r="AR141" s="106"/>
      <c r="AS141" s="114"/>
      <c r="AT141" s="106"/>
      <c r="AU141" s="114"/>
      <c r="AV141" s="106"/>
      <c r="AW141" s="114"/>
      <c r="AX141" s="157"/>
      <c r="AY141" s="157"/>
      <c r="AZ141" s="157"/>
      <c r="BA141" s="157"/>
      <c r="BB141" s="157"/>
      <c r="BC141" s="157"/>
    </row>
    <row r="142" spans="1:55" ht="13.8" x14ac:dyDescent="0.3">
      <c r="A142" s="114">
        <f t="shared" si="3"/>
        <v>139</v>
      </c>
      <c r="B142" s="179" t="s">
        <v>1402</v>
      </c>
      <c r="C142" s="114">
        <v>0</v>
      </c>
      <c r="D142" s="114" t="s">
        <v>991</v>
      </c>
      <c r="E142" s="114" t="s">
        <v>980</v>
      </c>
      <c r="F142" s="114" t="s">
        <v>909</v>
      </c>
      <c r="G142" s="114"/>
      <c r="H142" s="114"/>
      <c r="I142" s="114"/>
      <c r="J142" s="114"/>
      <c r="K142" s="114"/>
      <c r="L142" s="114"/>
      <c r="M142" s="114"/>
      <c r="N142" s="114">
        <v>3</v>
      </c>
      <c r="O142" s="180">
        <v>0</v>
      </c>
      <c r="P142" s="180">
        <v>1</v>
      </c>
      <c r="Q142" s="180">
        <v>0</v>
      </c>
      <c r="R142" s="180"/>
      <c r="S142" s="180"/>
      <c r="T142" s="111" t="s">
        <v>1403</v>
      </c>
      <c r="U142" s="179" t="s">
        <v>1404</v>
      </c>
      <c r="V142" s="179" t="s">
        <v>1405</v>
      </c>
      <c r="W142" s="114" t="s">
        <v>1406</v>
      </c>
      <c r="X142" s="180">
        <v>16</v>
      </c>
      <c r="Y142" s="186" t="s">
        <v>1318</v>
      </c>
      <c r="Z142" s="183"/>
      <c r="AA142" s="184"/>
      <c r="AB142" s="182"/>
      <c r="AC142" s="114">
        <v>2</v>
      </c>
      <c r="AD142" s="172" t="s">
        <v>887</v>
      </c>
      <c r="AE142" s="114"/>
      <c r="AF142" s="114"/>
      <c r="AG142" s="114"/>
      <c r="AH142" s="106"/>
      <c r="AI142" s="114"/>
      <c r="AJ142" s="106"/>
      <c r="AK142" s="114"/>
      <c r="AL142" s="106"/>
      <c r="AM142" s="114"/>
      <c r="AN142" s="106"/>
      <c r="AO142" s="114"/>
      <c r="AP142" s="106"/>
      <c r="AQ142" s="114"/>
      <c r="AR142" s="106"/>
      <c r="AS142" s="114"/>
      <c r="AT142" s="106"/>
      <c r="AU142" s="114"/>
      <c r="AV142" s="106"/>
      <c r="AW142" s="114"/>
      <c r="AX142" s="157"/>
      <c r="AY142" s="157"/>
      <c r="AZ142" s="157"/>
      <c r="BA142" s="157"/>
      <c r="BB142" s="157"/>
      <c r="BC142" s="157"/>
    </row>
    <row r="143" spans="1:55" ht="79.2" x14ac:dyDescent="0.3">
      <c r="A143" s="114">
        <f t="shared" si="3"/>
        <v>140</v>
      </c>
      <c r="B143" s="179" t="s">
        <v>1407</v>
      </c>
      <c r="C143" s="114">
        <v>0</v>
      </c>
      <c r="D143" s="114" t="s">
        <v>991</v>
      </c>
      <c r="E143" s="114" t="s">
        <v>966</v>
      </c>
      <c r="F143" s="114" t="s">
        <v>909</v>
      </c>
      <c r="G143" s="114"/>
      <c r="H143" s="114"/>
      <c r="I143" s="114"/>
      <c r="J143" s="114"/>
      <c r="K143" s="114"/>
      <c r="L143" s="114"/>
      <c r="M143" s="114"/>
      <c r="N143" s="114">
        <v>3</v>
      </c>
      <c r="O143" s="180">
        <v>1</v>
      </c>
      <c r="P143" s="180">
        <v>128000</v>
      </c>
      <c r="Q143" s="180">
        <v>8000</v>
      </c>
      <c r="R143" s="180"/>
      <c r="S143" s="180" t="s">
        <v>1238</v>
      </c>
      <c r="T143" s="181" t="s">
        <v>1408</v>
      </c>
      <c r="U143" s="179" t="s">
        <v>1409</v>
      </c>
      <c r="V143" s="179" t="s">
        <v>1410</v>
      </c>
      <c r="W143" s="114" t="s">
        <v>1411</v>
      </c>
      <c r="X143" s="180">
        <v>32</v>
      </c>
      <c r="Y143" s="186" t="s">
        <v>1318</v>
      </c>
      <c r="Z143" s="183" t="s">
        <v>1412</v>
      </c>
      <c r="AA143" s="184"/>
      <c r="AB143" s="179"/>
      <c r="AC143" s="114">
        <v>2</v>
      </c>
      <c r="AD143" s="172" t="s">
        <v>887</v>
      </c>
      <c r="AE143" s="114"/>
      <c r="AF143" s="114"/>
      <c r="AG143" s="114"/>
      <c r="AH143" s="106"/>
      <c r="AI143" s="114"/>
      <c r="AJ143" s="106"/>
      <c r="AK143" s="114"/>
      <c r="AL143" s="106"/>
      <c r="AM143" s="114"/>
      <c r="AN143" s="106"/>
      <c r="AO143" s="114"/>
      <c r="AP143" s="106"/>
      <c r="AQ143" s="114"/>
      <c r="AR143" s="106"/>
      <c r="AS143" s="114"/>
      <c r="AT143" s="106"/>
      <c r="AU143" s="114"/>
      <c r="AV143" s="106"/>
      <c r="AW143" s="114"/>
      <c r="AX143" s="157"/>
      <c r="AY143" s="157"/>
      <c r="AZ143" s="157"/>
      <c r="BA143" s="157"/>
      <c r="BB143" s="157"/>
      <c r="BC143" s="157"/>
    </row>
    <row r="144" spans="1:55" x14ac:dyDescent="0.3">
      <c r="A144" s="114">
        <f t="shared" si="3"/>
        <v>141</v>
      </c>
      <c r="B144" s="179" t="s">
        <v>1413</v>
      </c>
      <c r="C144" s="114">
        <v>0</v>
      </c>
      <c r="D144" s="114" t="s">
        <v>991</v>
      </c>
      <c r="E144" s="114" t="s">
        <v>929</v>
      </c>
      <c r="F144" s="114" t="s">
        <v>909</v>
      </c>
      <c r="G144" s="114"/>
      <c r="H144" s="114"/>
      <c r="I144" s="114"/>
      <c r="J144" s="114"/>
      <c r="K144" s="114"/>
      <c r="L144" s="114"/>
      <c r="M144" s="114"/>
      <c r="N144" s="114">
        <v>5</v>
      </c>
      <c r="O144" s="180">
        <v>1</v>
      </c>
      <c r="P144" s="180">
        <v>65500</v>
      </c>
      <c r="Q144" s="180">
        <v>200</v>
      </c>
      <c r="R144" s="180"/>
      <c r="S144" s="180" t="s">
        <v>1047</v>
      </c>
      <c r="T144" s="181" t="s">
        <v>1414</v>
      </c>
      <c r="U144" s="179" t="s">
        <v>1415</v>
      </c>
      <c r="V144" s="179" t="s">
        <v>1416</v>
      </c>
      <c r="W144" s="114" t="s">
        <v>1417</v>
      </c>
      <c r="X144" s="180">
        <v>16</v>
      </c>
      <c r="Y144" s="182" t="s">
        <v>1305</v>
      </c>
      <c r="Z144" s="183"/>
      <c r="AA144" s="184"/>
      <c r="AB144" s="182"/>
      <c r="AC144" s="114">
        <v>1</v>
      </c>
      <c r="AD144" s="172" t="s">
        <v>887</v>
      </c>
      <c r="AE144" s="114"/>
      <c r="AF144" s="114"/>
      <c r="AG144" s="114"/>
      <c r="AH144" s="106"/>
      <c r="AI144" s="114"/>
      <c r="AJ144" s="106"/>
      <c r="AK144" s="114"/>
      <c r="AL144" s="106" t="s">
        <v>915</v>
      </c>
      <c r="AM144" s="114"/>
      <c r="AN144" s="106"/>
      <c r="AO144" s="114"/>
      <c r="AP144" s="106"/>
      <c r="AQ144" s="114" t="s">
        <v>915</v>
      </c>
      <c r="AR144" s="106"/>
      <c r="AS144" s="114"/>
      <c r="AT144" s="106"/>
      <c r="AU144" s="114"/>
      <c r="AV144" s="106"/>
      <c r="AW144" s="114"/>
      <c r="AX144" s="157"/>
      <c r="AY144" s="157"/>
      <c r="AZ144" s="157"/>
      <c r="BA144" s="157"/>
      <c r="BB144" s="157"/>
      <c r="BC144" s="157"/>
    </row>
    <row r="145" spans="1:55" x14ac:dyDescent="0.3">
      <c r="A145" s="114">
        <f t="shared" si="3"/>
        <v>142</v>
      </c>
      <c r="B145" s="179" t="s">
        <v>1418</v>
      </c>
      <c r="C145" s="114">
        <v>0</v>
      </c>
      <c r="D145" s="114" t="s">
        <v>991</v>
      </c>
      <c r="E145" s="114" t="s">
        <v>929</v>
      </c>
      <c r="F145" s="114" t="s">
        <v>909</v>
      </c>
      <c r="G145" s="114"/>
      <c r="H145" s="114"/>
      <c r="I145" s="114"/>
      <c r="J145" s="114"/>
      <c r="K145" s="114"/>
      <c r="L145" s="114"/>
      <c r="M145" s="114"/>
      <c r="N145" s="114">
        <v>5</v>
      </c>
      <c r="O145" s="180">
        <v>1</v>
      </c>
      <c r="P145" s="180">
        <v>65500</v>
      </c>
      <c r="Q145" s="180">
        <v>200</v>
      </c>
      <c r="R145" s="180"/>
      <c r="S145" s="180" t="s">
        <v>1047</v>
      </c>
      <c r="T145" s="181" t="s">
        <v>1419</v>
      </c>
      <c r="U145" s="179" t="s">
        <v>1420</v>
      </c>
      <c r="V145" s="179" t="s">
        <v>1421</v>
      </c>
      <c r="W145" s="114" t="s">
        <v>1422</v>
      </c>
      <c r="X145" s="180">
        <v>16</v>
      </c>
      <c r="Y145" s="182" t="s">
        <v>1305</v>
      </c>
      <c r="Z145" s="183"/>
      <c r="AA145" s="184"/>
      <c r="AB145" s="182"/>
      <c r="AC145" s="114">
        <v>1</v>
      </c>
      <c r="AD145" s="172" t="s">
        <v>887</v>
      </c>
      <c r="AE145" s="114"/>
      <c r="AF145" s="114"/>
      <c r="AG145" s="114"/>
      <c r="AH145" s="106"/>
      <c r="AI145" s="114"/>
      <c r="AJ145" s="106"/>
      <c r="AK145" s="114"/>
      <c r="AL145" s="106" t="s">
        <v>915</v>
      </c>
      <c r="AM145" s="114"/>
      <c r="AN145" s="106"/>
      <c r="AO145" s="114"/>
      <c r="AP145" s="106"/>
      <c r="AQ145" s="114" t="s">
        <v>915</v>
      </c>
      <c r="AR145" s="106"/>
      <c r="AS145" s="114"/>
      <c r="AT145" s="106"/>
      <c r="AU145" s="114"/>
      <c r="AV145" s="106"/>
      <c r="AW145" s="114"/>
      <c r="AX145" s="157"/>
      <c r="AY145" s="157"/>
      <c r="AZ145" s="157"/>
      <c r="BA145" s="157"/>
      <c r="BB145" s="157"/>
      <c r="BC145" s="157"/>
    </row>
    <row r="146" spans="1:55" x14ac:dyDescent="0.3">
      <c r="A146" s="114">
        <f t="shared" si="3"/>
        <v>143</v>
      </c>
      <c r="B146" s="179" t="s">
        <v>1423</v>
      </c>
      <c r="C146" s="114">
        <v>0</v>
      </c>
      <c r="D146" s="114" t="s">
        <v>991</v>
      </c>
      <c r="E146" s="114" t="s">
        <v>929</v>
      </c>
      <c r="F146" s="114" t="s">
        <v>909</v>
      </c>
      <c r="G146" s="114"/>
      <c r="H146" s="114"/>
      <c r="I146" s="114"/>
      <c r="J146" s="114"/>
      <c r="K146" s="114"/>
      <c r="L146" s="114"/>
      <c r="M146" s="114"/>
      <c r="N146" s="114">
        <v>5</v>
      </c>
      <c r="O146" s="180">
        <v>0</v>
      </c>
      <c r="P146" s="180">
        <v>65500</v>
      </c>
      <c r="Q146" s="180">
        <v>0</v>
      </c>
      <c r="R146" s="180"/>
      <c r="S146" s="180" t="s">
        <v>1047</v>
      </c>
      <c r="T146" s="181" t="s">
        <v>1424</v>
      </c>
      <c r="U146" s="179" t="s">
        <v>1425</v>
      </c>
      <c r="V146" s="179" t="s">
        <v>1426</v>
      </c>
      <c r="W146" s="114" t="s">
        <v>1427</v>
      </c>
      <c r="X146" s="180">
        <v>16</v>
      </c>
      <c r="Y146" s="182" t="s">
        <v>1428</v>
      </c>
      <c r="Z146" s="183"/>
      <c r="AA146" s="184"/>
      <c r="AB146" s="182"/>
      <c r="AC146" s="114">
        <v>1</v>
      </c>
      <c r="AD146" s="172" t="s">
        <v>887</v>
      </c>
      <c r="AE146" s="114"/>
      <c r="AF146" s="114"/>
      <c r="AG146" s="114"/>
      <c r="AH146" s="106"/>
      <c r="AI146" s="114"/>
      <c r="AJ146" s="106"/>
      <c r="AK146" s="114"/>
      <c r="AL146" s="106" t="s">
        <v>915</v>
      </c>
      <c r="AM146" s="114"/>
      <c r="AN146" s="106"/>
      <c r="AO146" s="114"/>
      <c r="AP146" s="106"/>
      <c r="AQ146" s="114" t="s">
        <v>915</v>
      </c>
      <c r="AR146" s="106"/>
      <c r="AS146" s="114"/>
      <c r="AT146" s="106"/>
      <c r="AU146" s="114"/>
      <c r="AV146" s="106"/>
      <c r="AW146" s="114"/>
      <c r="AX146" s="157"/>
      <c r="AY146" s="157"/>
      <c r="AZ146" s="157"/>
      <c r="BA146" s="157"/>
      <c r="BB146" s="157"/>
      <c r="BC146" s="157"/>
    </row>
    <row r="147" spans="1:55" ht="26.4" x14ac:dyDescent="0.3">
      <c r="A147" s="114">
        <f t="shared" si="3"/>
        <v>144</v>
      </c>
      <c r="B147" s="179" t="s">
        <v>1429</v>
      </c>
      <c r="C147" s="114">
        <v>0</v>
      </c>
      <c r="D147" s="114" t="s">
        <v>991</v>
      </c>
      <c r="E147" s="114" t="s">
        <v>929</v>
      </c>
      <c r="F147" s="114" t="s">
        <v>909</v>
      </c>
      <c r="G147" s="114"/>
      <c r="H147" s="114"/>
      <c r="I147" s="114"/>
      <c r="J147" s="114"/>
      <c r="K147" s="114"/>
      <c r="L147" s="114"/>
      <c r="M147" s="114"/>
      <c r="N147" s="114">
        <v>5</v>
      </c>
      <c r="O147" s="180">
        <v>0</v>
      </c>
      <c r="P147" s="180">
        <v>2000</v>
      </c>
      <c r="Q147" s="180">
        <v>60</v>
      </c>
      <c r="R147" s="180"/>
      <c r="S147" s="180" t="s">
        <v>1430</v>
      </c>
      <c r="T147" s="111" t="s">
        <v>1431</v>
      </c>
      <c r="U147" s="113" t="s">
        <v>1432</v>
      </c>
      <c r="V147" s="179" t="s">
        <v>1433</v>
      </c>
      <c r="W147" s="114" t="s">
        <v>1434</v>
      </c>
      <c r="X147" s="180">
        <v>16</v>
      </c>
      <c r="Y147" s="182" t="s">
        <v>913</v>
      </c>
      <c r="Z147" s="183" t="s">
        <v>1435</v>
      </c>
      <c r="AA147" s="184"/>
      <c r="AB147" s="182"/>
      <c r="AC147" s="114">
        <v>1</v>
      </c>
      <c r="AD147" s="172" t="s">
        <v>887</v>
      </c>
      <c r="AE147" s="114"/>
      <c r="AF147" s="114"/>
      <c r="AG147" s="114"/>
      <c r="AH147" s="106"/>
      <c r="AI147" s="114"/>
      <c r="AJ147" s="106"/>
      <c r="AK147" s="114"/>
      <c r="AL147" s="106"/>
      <c r="AM147" s="114"/>
      <c r="AN147" s="106"/>
      <c r="AO147" s="114" t="s">
        <v>915</v>
      </c>
      <c r="AP147" s="106"/>
      <c r="AQ147" s="114" t="s">
        <v>915</v>
      </c>
      <c r="AR147" s="106"/>
      <c r="AS147" s="114"/>
      <c r="AT147" s="106"/>
      <c r="AU147" s="114"/>
      <c r="AV147" s="106"/>
      <c r="AW147" s="114"/>
      <c r="AX147" s="157"/>
      <c r="AY147" s="157"/>
      <c r="AZ147" s="157"/>
      <c r="BA147" s="157"/>
      <c r="BB147" s="157"/>
      <c r="BC147" s="157"/>
    </row>
    <row r="148" spans="1:55" ht="52.8" x14ac:dyDescent="0.3">
      <c r="A148" s="114">
        <f t="shared" si="3"/>
        <v>145</v>
      </c>
      <c r="B148" s="179" t="s">
        <v>1436</v>
      </c>
      <c r="C148" s="114">
        <v>0</v>
      </c>
      <c r="D148" s="114" t="s">
        <v>991</v>
      </c>
      <c r="E148" s="114" t="s">
        <v>980</v>
      </c>
      <c r="F148" s="114" t="s">
        <v>909</v>
      </c>
      <c r="G148" s="114"/>
      <c r="H148" s="114"/>
      <c r="I148" s="114"/>
      <c r="J148" s="114"/>
      <c r="K148" s="114"/>
      <c r="L148" s="114"/>
      <c r="M148" s="114"/>
      <c r="N148" s="114">
        <v>3</v>
      </c>
      <c r="O148" s="180">
        <v>1</v>
      </c>
      <c r="P148" s="180">
        <v>2000</v>
      </c>
      <c r="Q148" s="180">
        <v>100</v>
      </c>
      <c r="R148" s="180">
        <v>0.1</v>
      </c>
      <c r="S148" s="192" t="s">
        <v>1437</v>
      </c>
      <c r="T148" s="181" t="s">
        <v>1438</v>
      </c>
      <c r="U148" s="179" t="s">
        <v>1439</v>
      </c>
      <c r="V148" s="179" t="s">
        <v>1440</v>
      </c>
      <c r="W148" s="114" t="s">
        <v>1441</v>
      </c>
      <c r="X148" s="180">
        <v>16</v>
      </c>
      <c r="Y148" s="182" t="s">
        <v>913</v>
      </c>
      <c r="Z148" s="183" t="s">
        <v>1442</v>
      </c>
      <c r="AA148" s="184"/>
      <c r="AB148" s="182"/>
      <c r="AC148" s="114">
        <v>2</v>
      </c>
      <c r="AD148" s="172" t="s">
        <v>887</v>
      </c>
      <c r="AE148" s="114"/>
      <c r="AF148" s="114"/>
      <c r="AG148" s="114"/>
      <c r="AH148" s="106"/>
      <c r="AI148" s="114" t="s">
        <v>915</v>
      </c>
      <c r="AJ148" s="106"/>
      <c r="AK148" s="114"/>
      <c r="AL148" s="106"/>
      <c r="AM148" s="114"/>
      <c r="AN148" s="106"/>
      <c r="AO148" s="114"/>
      <c r="AP148" s="106"/>
      <c r="AQ148" s="114"/>
      <c r="AR148" s="106"/>
      <c r="AS148" s="114"/>
      <c r="AT148" s="106"/>
      <c r="AU148" s="114"/>
      <c r="AV148" s="106"/>
      <c r="AW148" s="114"/>
      <c r="AX148" s="157"/>
      <c r="AY148" s="157"/>
      <c r="AZ148" s="157"/>
      <c r="BA148" s="157"/>
      <c r="BB148" s="157"/>
      <c r="BC148" s="157"/>
    </row>
    <row r="149" spans="1:55" ht="66" x14ac:dyDescent="0.3">
      <c r="A149" s="114">
        <f t="shared" si="3"/>
        <v>146</v>
      </c>
      <c r="B149" s="179" t="s">
        <v>1443</v>
      </c>
      <c r="C149" s="114">
        <v>0</v>
      </c>
      <c r="D149" s="114" t="s">
        <v>991</v>
      </c>
      <c r="E149" s="114" t="s">
        <v>980</v>
      </c>
      <c r="F149" s="114" t="s">
        <v>909</v>
      </c>
      <c r="G149" s="114"/>
      <c r="H149" s="114"/>
      <c r="I149" s="114"/>
      <c r="J149" s="114"/>
      <c r="K149" s="114"/>
      <c r="L149" s="114"/>
      <c r="M149" s="114"/>
      <c r="N149" s="114">
        <v>3</v>
      </c>
      <c r="O149" s="192" t="s">
        <v>1444</v>
      </c>
      <c r="P149" s="192" t="s">
        <v>1445</v>
      </c>
      <c r="Q149" s="192" t="s">
        <v>1339</v>
      </c>
      <c r="R149" s="180"/>
      <c r="S149" s="192" t="s">
        <v>1437</v>
      </c>
      <c r="T149" s="181" t="s">
        <v>1446</v>
      </c>
      <c r="U149" s="179" t="s">
        <v>1447</v>
      </c>
      <c r="V149" s="179" t="s">
        <v>1448</v>
      </c>
      <c r="W149" s="114" t="s">
        <v>1449</v>
      </c>
      <c r="X149" s="180">
        <v>16</v>
      </c>
      <c r="Y149" s="182" t="s">
        <v>913</v>
      </c>
      <c r="Z149" s="183" t="s">
        <v>1450</v>
      </c>
      <c r="AA149" s="184"/>
      <c r="AB149" s="182"/>
      <c r="AC149" s="114">
        <v>2</v>
      </c>
      <c r="AD149" s="172" t="s">
        <v>887</v>
      </c>
      <c r="AE149" s="114"/>
      <c r="AF149" s="114"/>
      <c r="AG149" s="114"/>
      <c r="AH149" s="106"/>
      <c r="AI149" s="114"/>
      <c r="AJ149" s="106"/>
      <c r="AK149" s="114"/>
      <c r="AL149" s="106"/>
      <c r="AM149" s="114"/>
      <c r="AN149" s="106"/>
      <c r="AO149" s="114"/>
      <c r="AP149" s="106"/>
      <c r="AQ149" s="114"/>
      <c r="AR149" s="106"/>
      <c r="AS149" s="114"/>
      <c r="AT149" s="106"/>
      <c r="AU149" s="114"/>
      <c r="AV149" s="106"/>
      <c r="AW149" s="114"/>
      <c r="AX149" s="157"/>
      <c r="AY149" s="157"/>
      <c r="AZ149" s="157"/>
      <c r="BA149" s="157"/>
      <c r="BB149" s="157"/>
      <c r="BC149" s="157"/>
    </row>
    <row r="150" spans="1:55" ht="79.2" x14ac:dyDescent="0.3">
      <c r="A150" s="114">
        <f t="shared" si="3"/>
        <v>147</v>
      </c>
      <c r="B150" s="179" t="s">
        <v>1451</v>
      </c>
      <c r="C150" s="114">
        <v>0</v>
      </c>
      <c r="D150" s="114" t="s">
        <v>991</v>
      </c>
      <c r="E150" s="114" t="s">
        <v>966</v>
      </c>
      <c r="F150" s="114" t="s">
        <v>909</v>
      </c>
      <c r="G150" s="114"/>
      <c r="H150" s="114"/>
      <c r="I150" s="114"/>
      <c r="J150" s="114"/>
      <c r="K150" s="114"/>
      <c r="L150" s="114"/>
      <c r="M150" s="114"/>
      <c r="N150" s="114">
        <v>3</v>
      </c>
      <c r="O150" s="192" t="s">
        <v>1444</v>
      </c>
      <c r="P150" s="139" t="s">
        <v>1452</v>
      </c>
      <c r="Q150" s="192" t="s">
        <v>1453</v>
      </c>
      <c r="R150" s="180"/>
      <c r="S150" s="192" t="s">
        <v>1437</v>
      </c>
      <c r="T150" s="181" t="s">
        <v>1454</v>
      </c>
      <c r="U150" s="179" t="s">
        <v>1455</v>
      </c>
      <c r="V150" s="179" t="s">
        <v>1456</v>
      </c>
      <c r="W150" s="114" t="s">
        <v>1457</v>
      </c>
      <c r="X150" s="180">
        <v>32</v>
      </c>
      <c r="Y150" s="182" t="s">
        <v>1329</v>
      </c>
      <c r="Z150" s="183" t="s">
        <v>1458</v>
      </c>
      <c r="AA150" s="184"/>
      <c r="AB150" s="182"/>
      <c r="AC150" s="114">
        <v>2</v>
      </c>
      <c r="AD150" s="172" t="s">
        <v>887</v>
      </c>
      <c r="AE150" s="114"/>
      <c r="AF150" s="114"/>
      <c r="AG150" s="114"/>
      <c r="AH150" s="106"/>
      <c r="AI150" s="114"/>
      <c r="AJ150" s="106"/>
      <c r="AK150" s="114"/>
      <c r="AL150" s="106"/>
      <c r="AM150" s="114"/>
      <c r="AN150" s="106"/>
      <c r="AO150" s="114"/>
      <c r="AP150" s="106"/>
      <c r="AQ150" s="114"/>
      <c r="AR150" s="106"/>
      <c r="AS150" s="114"/>
      <c r="AT150" s="106"/>
      <c r="AU150" s="114"/>
      <c r="AV150" s="106"/>
      <c r="AW150" s="114"/>
      <c r="AX150" s="157"/>
      <c r="AY150" s="157"/>
      <c r="AZ150" s="157"/>
      <c r="BA150" s="157"/>
      <c r="BB150" s="157"/>
      <c r="BC150" s="157"/>
    </row>
    <row r="151" spans="1:55" x14ac:dyDescent="0.3">
      <c r="A151" s="114">
        <f t="shared" si="3"/>
        <v>148</v>
      </c>
      <c r="B151" s="179" t="s">
        <v>1459</v>
      </c>
      <c r="C151" s="114">
        <v>0</v>
      </c>
      <c r="D151" s="114" t="s">
        <v>991</v>
      </c>
      <c r="E151" s="114" t="s">
        <v>980</v>
      </c>
      <c r="F151" s="114" t="s">
        <v>909</v>
      </c>
      <c r="G151" s="114"/>
      <c r="H151" s="114" t="s">
        <v>869</v>
      </c>
      <c r="I151" s="114"/>
      <c r="J151" s="114"/>
      <c r="K151" s="114"/>
      <c r="L151" s="114"/>
      <c r="M151" s="114"/>
      <c r="N151" s="114">
        <v>3</v>
      </c>
      <c r="O151" s="180">
        <v>-1000</v>
      </c>
      <c r="P151" s="180">
        <v>1000</v>
      </c>
      <c r="Q151" s="180">
        <v>100</v>
      </c>
      <c r="R151" s="180"/>
      <c r="S151" s="180" t="s">
        <v>1044</v>
      </c>
      <c r="T151" s="181" t="s">
        <v>1460</v>
      </c>
      <c r="U151" s="179" t="s">
        <v>1461</v>
      </c>
      <c r="V151" s="179" t="s">
        <v>1462</v>
      </c>
      <c r="W151" s="114" t="s">
        <v>1463</v>
      </c>
      <c r="X151" s="180">
        <v>16</v>
      </c>
      <c r="Y151" s="182" t="s">
        <v>913</v>
      </c>
      <c r="Z151" s="193"/>
      <c r="AA151" s="184"/>
      <c r="AB151" s="179"/>
      <c r="AC151" s="114">
        <v>2</v>
      </c>
      <c r="AD151" s="172" t="s">
        <v>887</v>
      </c>
      <c r="AE151" s="114"/>
      <c r="AF151" s="114"/>
      <c r="AG151" s="114"/>
      <c r="AH151" s="106"/>
      <c r="AI151" s="114"/>
      <c r="AJ151" s="106"/>
      <c r="AK151" s="114"/>
      <c r="AL151" s="106"/>
      <c r="AM151" s="114"/>
      <c r="AN151" s="106"/>
      <c r="AO151" s="114"/>
      <c r="AP151" s="106"/>
      <c r="AQ151" s="114"/>
      <c r="AR151" s="106"/>
      <c r="AS151" s="114"/>
      <c r="AT151" s="106"/>
      <c r="AU151" s="114"/>
      <c r="AV151" s="106"/>
      <c r="AW151" s="114"/>
      <c r="AX151" s="157"/>
      <c r="AY151" s="157"/>
      <c r="AZ151" s="157"/>
      <c r="BA151" s="157"/>
      <c r="BB151" s="157"/>
      <c r="BC151" s="157"/>
    </row>
    <row r="152" spans="1:55" ht="52.2" x14ac:dyDescent="0.3">
      <c r="A152" s="114">
        <f t="shared" si="3"/>
        <v>149</v>
      </c>
      <c r="B152" s="179" t="s">
        <v>1464</v>
      </c>
      <c r="C152" s="114">
        <v>0</v>
      </c>
      <c r="D152" s="114" t="s">
        <v>991</v>
      </c>
      <c r="E152" s="114" t="s">
        <v>980</v>
      </c>
      <c r="F152" s="114" t="s">
        <v>909</v>
      </c>
      <c r="G152" s="114"/>
      <c r="H152" s="114"/>
      <c r="I152" s="114"/>
      <c r="J152" s="114"/>
      <c r="K152" s="114"/>
      <c r="L152" s="114"/>
      <c r="M152" s="114"/>
      <c r="N152" s="114">
        <v>3</v>
      </c>
      <c r="O152" s="180">
        <v>0</v>
      </c>
      <c r="P152" s="180">
        <v>1000</v>
      </c>
      <c r="Q152" s="180">
        <v>0</v>
      </c>
      <c r="R152" s="180"/>
      <c r="S152" s="180" t="s">
        <v>1047</v>
      </c>
      <c r="T152" s="181" t="s">
        <v>1465</v>
      </c>
      <c r="U152" s="179" t="s">
        <v>1466</v>
      </c>
      <c r="V152" s="179" t="s">
        <v>1467</v>
      </c>
      <c r="W152" s="114" t="s">
        <v>1468</v>
      </c>
      <c r="X152" s="180">
        <v>16</v>
      </c>
      <c r="Y152" s="182" t="s">
        <v>913</v>
      </c>
      <c r="Z152" s="183" t="s">
        <v>1469</v>
      </c>
      <c r="AA152" s="188"/>
      <c r="AB152" s="179"/>
      <c r="AC152" s="114">
        <v>2</v>
      </c>
      <c r="AD152" s="172" t="s">
        <v>887</v>
      </c>
      <c r="AE152" s="114"/>
      <c r="AF152" s="114"/>
      <c r="AG152" s="114"/>
      <c r="AH152" s="106"/>
      <c r="AI152" s="114" t="s">
        <v>915</v>
      </c>
      <c r="AJ152" s="106"/>
      <c r="AK152" s="114"/>
      <c r="AL152" s="106"/>
      <c r="AM152" s="114"/>
      <c r="AN152" s="106"/>
      <c r="AO152" s="114"/>
      <c r="AP152" s="106"/>
      <c r="AQ152" s="114"/>
      <c r="AR152" s="106"/>
      <c r="AS152" s="114"/>
      <c r="AT152" s="106"/>
      <c r="AU152" s="114"/>
      <c r="AV152" s="106"/>
      <c r="AW152" s="114"/>
      <c r="AX152" s="157"/>
      <c r="AY152" s="157"/>
      <c r="AZ152" s="157"/>
      <c r="BA152" s="157"/>
      <c r="BB152" s="157"/>
      <c r="BC152" s="157"/>
    </row>
    <row r="153" spans="1:55" ht="52.2" x14ac:dyDescent="0.3">
      <c r="A153" s="114">
        <f t="shared" si="3"/>
        <v>150</v>
      </c>
      <c r="B153" s="179" t="s">
        <v>1470</v>
      </c>
      <c r="C153" s="114">
        <v>0</v>
      </c>
      <c r="D153" s="114" t="s">
        <v>991</v>
      </c>
      <c r="E153" s="114" t="s">
        <v>980</v>
      </c>
      <c r="F153" s="114" t="s">
        <v>909</v>
      </c>
      <c r="G153" s="114"/>
      <c r="H153" s="114"/>
      <c r="I153" s="114"/>
      <c r="J153" s="114"/>
      <c r="K153" s="114"/>
      <c r="L153" s="114"/>
      <c r="M153" s="114"/>
      <c r="N153" s="114">
        <v>3</v>
      </c>
      <c r="O153" s="180">
        <v>-1000</v>
      </c>
      <c r="P153" s="180">
        <v>1000</v>
      </c>
      <c r="Q153" s="180">
        <v>0</v>
      </c>
      <c r="R153" s="180"/>
      <c r="S153" s="180" t="s">
        <v>1047</v>
      </c>
      <c r="T153" s="181" t="s">
        <v>1471</v>
      </c>
      <c r="U153" s="179" t="s">
        <v>1472</v>
      </c>
      <c r="V153" s="179" t="s">
        <v>1473</v>
      </c>
      <c r="W153" s="114" t="s">
        <v>1474</v>
      </c>
      <c r="X153" s="180">
        <v>16</v>
      </c>
      <c r="Y153" s="182" t="s">
        <v>913</v>
      </c>
      <c r="Z153" s="183" t="s">
        <v>1475</v>
      </c>
      <c r="AA153" s="188"/>
      <c r="AB153" s="182"/>
      <c r="AC153" s="114">
        <v>2</v>
      </c>
      <c r="AD153" s="172" t="s">
        <v>887</v>
      </c>
      <c r="AE153" s="114"/>
      <c r="AF153" s="114"/>
      <c r="AG153" s="114"/>
      <c r="AH153" s="106"/>
      <c r="AI153" s="114" t="s">
        <v>915</v>
      </c>
      <c r="AJ153" s="106"/>
      <c r="AK153" s="114"/>
      <c r="AL153" s="106"/>
      <c r="AM153" s="114"/>
      <c r="AN153" s="106"/>
      <c r="AO153" s="114"/>
      <c r="AP153" s="106"/>
      <c r="AQ153" s="114"/>
      <c r="AR153" s="106"/>
      <c r="AS153" s="114"/>
      <c r="AT153" s="106"/>
      <c r="AU153" s="114"/>
      <c r="AV153" s="106"/>
      <c r="AW153" s="114"/>
      <c r="AX153" s="157"/>
      <c r="AY153" s="157"/>
      <c r="AZ153" s="157"/>
      <c r="BA153" s="157"/>
      <c r="BB153" s="157"/>
      <c r="BC153" s="157"/>
    </row>
    <row r="154" spans="1:55" ht="26.4" x14ac:dyDescent="0.3">
      <c r="A154" s="114">
        <f t="shared" si="3"/>
        <v>151</v>
      </c>
      <c r="B154" s="179" t="s">
        <v>1476</v>
      </c>
      <c r="C154" s="114">
        <v>0</v>
      </c>
      <c r="D154" s="114" t="s">
        <v>991</v>
      </c>
      <c r="E154" s="114" t="s">
        <v>966</v>
      </c>
      <c r="F154" s="114" t="s">
        <v>909</v>
      </c>
      <c r="G154" s="114"/>
      <c r="H154" s="114"/>
      <c r="I154" s="114"/>
      <c r="J154" s="114"/>
      <c r="K154" s="114"/>
      <c r="L154" s="114"/>
      <c r="M154" s="114"/>
      <c r="N154" s="114">
        <v>3</v>
      </c>
      <c r="O154" s="180">
        <v>1</v>
      </c>
      <c r="P154" s="180">
        <v>536870911</v>
      </c>
      <c r="Q154" s="180">
        <v>16777216</v>
      </c>
      <c r="R154" s="180"/>
      <c r="S154" s="180" t="s">
        <v>1238</v>
      </c>
      <c r="T154" s="111" t="s">
        <v>1477</v>
      </c>
      <c r="U154" s="113" t="s">
        <v>1478</v>
      </c>
      <c r="V154" s="179" t="s">
        <v>1479</v>
      </c>
      <c r="W154" s="114" t="s">
        <v>1480</v>
      </c>
      <c r="X154" s="180">
        <v>32</v>
      </c>
      <c r="Y154" s="186" t="s">
        <v>1318</v>
      </c>
      <c r="Z154" s="183" t="s">
        <v>1481</v>
      </c>
      <c r="AA154" s="184"/>
      <c r="AB154" s="182"/>
      <c r="AC154" s="114">
        <v>2</v>
      </c>
      <c r="AD154" s="172" t="s">
        <v>887</v>
      </c>
      <c r="AE154" s="114"/>
      <c r="AF154" s="114"/>
      <c r="AG154" s="114"/>
      <c r="AH154" s="106"/>
      <c r="AI154" s="114"/>
      <c r="AJ154" s="106"/>
      <c r="AK154" s="114" t="s">
        <v>915</v>
      </c>
      <c r="AL154" s="106"/>
      <c r="AM154" s="114"/>
      <c r="AN154" s="106"/>
      <c r="AO154" s="114"/>
      <c r="AP154" s="106"/>
      <c r="AQ154" s="114"/>
      <c r="AR154" s="106"/>
      <c r="AS154" s="114"/>
      <c r="AT154" s="106"/>
      <c r="AU154" s="114"/>
      <c r="AV154" s="106"/>
      <c r="AW154" s="114"/>
      <c r="AX154" s="157"/>
      <c r="AY154" s="157"/>
      <c r="AZ154" s="157"/>
      <c r="BA154" s="157"/>
      <c r="BB154" s="157"/>
      <c r="BC154" s="157"/>
    </row>
    <row r="155" spans="1:55" ht="13.8" x14ac:dyDescent="0.3">
      <c r="A155" s="114">
        <f>A154+1</f>
        <v>152</v>
      </c>
      <c r="B155" s="179" t="s">
        <v>1482</v>
      </c>
      <c r="C155" s="114">
        <v>0</v>
      </c>
      <c r="D155" s="114" t="s">
        <v>991</v>
      </c>
      <c r="E155" s="114" t="s">
        <v>966</v>
      </c>
      <c r="F155" s="114" t="s">
        <v>909</v>
      </c>
      <c r="G155" s="114"/>
      <c r="H155" s="114"/>
      <c r="I155" s="114"/>
      <c r="J155" s="114"/>
      <c r="K155" s="114"/>
      <c r="L155" s="114"/>
      <c r="M155" s="114"/>
      <c r="N155" s="114">
        <v>3</v>
      </c>
      <c r="O155" s="180">
        <v>1</v>
      </c>
      <c r="P155" s="180">
        <v>2147483647</v>
      </c>
      <c r="Q155" s="180">
        <v>100000</v>
      </c>
      <c r="R155" s="180"/>
      <c r="S155" s="180" t="s">
        <v>1238</v>
      </c>
      <c r="T155" s="181" t="s">
        <v>1483</v>
      </c>
      <c r="U155" s="179" t="s">
        <v>1484</v>
      </c>
      <c r="V155" s="179" t="s">
        <v>1485</v>
      </c>
      <c r="W155" s="114" t="s">
        <v>1486</v>
      </c>
      <c r="X155" s="180">
        <v>32</v>
      </c>
      <c r="Y155" s="186" t="s">
        <v>1318</v>
      </c>
      <c r="Z155" s="183"/>
      <c r="AA155" s="184"/>
      <c r="AB155" s="182"/>
      <c r="AC155" s="114">
        <v>2</v>
      </c>
      <c r="AD155" s="172" t="s">
        <v>887</v>
      </c>
      <c r="AE155" s="114"/>
      <c r="AF155" s="114"/>
      <c r="AG155" s="114"/>
      <c r="AH155" s="106"/>
      <c r="AI155" s="114"/>
      <c r="AJ155" s="106"/>
      <c r="AK155" s="114" t="s">
        <v>915</v>
      </c>
      <c r="AL155" s="106"/>
      <c r="AM155" s="114"/>
      <c r="AN155" s="106"/>
      <c r="AO155" s="114"/>
      <c r="AP155" s="106"/>
      <c r="AQ155" s="114"/>
      <c r="AR155" s="106"/>
      <c r="AS155" s="114"/>
      <c r="AT155" s="106"/>
      <c r="AU155" s="114"/>
      <c r="AV155" s="106"/>
      <c r="AW155" s="114"/>
      <c r="AX155" s="157"/>
      <c r="AY155" s="157"/>
      <c r="AZ155" s="157"/>
      <c r="BA155" s="157"/>
      <c r="BB155" s="157"/>
      <c r="BC155" s="157"/>
    </row>
    <row r="156" spans="1:55" ht="26.4" x14ac:dyDescent="0.3">
      <c r="A156" s="114">
        <f t="shared" si="3"/>
        <v>153</v>
      </c>
      <c r="B156" s="179" t="s">
        <v>1487</v>
      </c>
      <c r="C156" s="114">
        <v>0</v>
      </c>
      <c r="D156" s="114" t="s">
        <v>991</v>
      </c>
      <c r="E156" s="114" t="s">
        <v>966</v>
      </c>
      <c r="F156" s="114" t="s">
        <v>909</v>
      </c>
      <c r="G156" s="114"/>
      <c r="H156" s="114" t="s">
        <v>869</v>
      </c>
      <c r="I156" s="114"/>
      <c r="J156" s="114"/>
      <c r="K156" s="114"/>
      <c r="L156" s="114"/>
      <c r="M156" s="114"/>
      <c r="N156" s="114">
        <v>3</v>
      </c>
      <c r="O156" s="180">
        <v>1</v>
      </c>
      <c r="P156" s="180">
        <v>536870912</v>
      </c>
      <c r="Q156" s="180">
        <v>2500</v>
      </c>
      <c r="R156" s="180"/>
      <c r="S156" s="180" t="s">
        <v>1238</v>
      </c>
      <c r="T156" s="181" t="s">
        <v>1488</v>
      </c>
      <c r="U156" s="179" t="s">
        <v>1489</v>
      </c>
      <c r="V156" s="179" t="s">
        <v>1490</v>
      </c>
      <c r="W156" s="114" t="s">
        <v>1491</v>
      </c>
      <c r="X156" s="180">
        <v>32</v>
      </c>
      <c r="Y156" s="186" t="s">
        <v>913</v>
      </c>
      <c r="Z156" s="183" t="s">
        <v>1492</v>
      </c>
      <c r="AA156" s="184"/>
      <c r="AB156" s="182"/>
      <c r="AC156" s="114">
        <v>2</v>
      </c>
      <c r="AD156" s="172" t="s">
        <v>887</v>
      </c>
      <c r="AE156" s="114"/>
      <c r="AF156" s="114"/>
      <c r="AG156" s="114"/>
      <c r="AH156" s="106"/>
      <c r="AI156" s="114"/>
      <c r="AJ156" s="106" t="s">
        <v>915</v>
      </c>
      <c r="AK156" s="114"/>
      <c r="AL156" s="106"/>
      <c r="AM156" s="114"/>
      <c r="AN156" s="106"/>
      <c r="AO156" s="114"/>
      <c r="AP156" s="106"/>
      <c r="AQ156" s="114"/>
      <c r="AR156" s="106"/>
      <c r="AS156" s="114"/>
      <c r="AT156" s="106"/>
      <c r="AU156" s="114"/>
      <c r="AV156" s="106"/>
      <c r="AW156" s="114"/>
      <c r="AX156" s="157"/>
      <c r="AY156" s="157"/>
      <c r="AZ156" s="157"/>
      <c r="BA156" s="157"/>
      <c r="BB156" s="157"/>
      <c r="BC156" s="157"/>
    </row>
    <row r="157" spans="1:55" ht="13.8" x14ac:dyDescent="0.3">
      <c r="A157" s="114">
        <f t="shared" si="3"/>
        <v>154</v>
      </c>
      <c r="B157" s="179" t="s">
        <v>1493</v>
      </c>
      <c r="C157" s="114">
        <v>0</v>
      </c>
      <c r="D157" s="114" t="s">
        <v>991</v>
      </c>
      <c r="E157" s="114" t="s">
        <v>980</v>
      </c>
      <c r="F157" s="114" t="s">
        <v>909</v>
      </c>
      <c r="G157" s="114"/>
      <c r="H157" s="114"/>
      <c r="I157" s="114"/>
      <c r="J157" s="114"/>
      <c r="K157" s="114"/>
      <c r="L157" s="114"/>
      <c r="M157" s="114"/>
      <c r="N157" s="114">
        <v>3</v>
      </c>
      <c r="O157" s="180">
        <v>0</v>
      </c>
      <c r="P157" s="180">
        <v>300</v>
      </c>
      <c r="Q157" s="180">
        <v>10</v>
      </c>
      <c r="R157" s="180"/>
      <c r="S157" s="180" t="s">
        <v>954</v>
      </c>
      <c r="T157" s="181" t="s">
        <v>1494</v>
      </c>
      <c r="U157" s="179" t="s">
        <v>1495</v>
      </c>
      <c r="V157" s="179" t="s">
        <v>1496</v>
      </c>
      <c r="W157" s="114" t="s">
        <v>1497</v>
      </c>
      <c r="X157" s="180">
        <v>16</v>
      </c>
      <c r="Y157" s="186" t="s">
        <v>1305</v>
      </c>
      <c r="Z157" s="183"/>
      <c r="AA157" s="184"/>
      <c r="AB157" s="182"/>
      <c r="AC157" s="114">
        <v>2</v>
      </c>
      <c r="AD157" s="172" t="s">
        <v>887</v>
      </c>
      <c r="AE157" s="114"/>
      <c r="AF157" s="114"/>
      <c r="AG157" s="114"/>
      <c r="AH157" s="106"/>
      <c r="AI157" s="114"/>
      <c r="AJ157" s="106"/>
      <c r="AK157" s="114"/>
      <c r="AL157" s="106"/>
      <c r="AM157" s="114"/>
      <c r="AN157" s="106"/>
      <c r="AO157" s="114"/>
      <c r="AP157" s="106"/>
      <c r="AQ157" s="114"/>
      <c r="AR157" s="106"/>
      <c r="AS157" s="114"/>
      <c r="AT157" s="106"/>
      <c r="AU157" s="114"/>
      <c r="AV157" s="106"/>
      <c r="AW157" s="114"/>
      <c r="AX157" s="157"/>
      <c r="AY157" s="157"/>
      <c r="AZ157" s="157"/>
      <c r="BA157" s="157"/>
      <c r="BB157" s="157"/>
      <c r="BC157" s="157"/>
    </row>
    <row r="158" spans="1:55" ht="13.8" x14ac:dyDescent="0.3">
      <c r="A158" s="114">
        <f t="shared" si="3"/>
        <v>155</v>
      </c>
      <c r="B158" s="179" t="s">
        <v>1498</v>
      </c>
      <c r="C158" s="114">
        <v>0</v>
      </c>
      <c r="D158" s="114" t="s">
        <v>991</v>
      </c>
      <c r="E158" s="114" t="s">
        <v>929</v>
      </c>
      <c r="F158" s="114" t="s">
        <v>909</v>
      </c>
      <c r="G158" s="114"/>
      <c r="H158" s="114"/>
      <c r="I158" s="114"/>
      <c r="J158" s="114"/>
      <c r="K158" s="114"/>
      <c r="L158" s="114"/>
      <c r="M158" s="191" t="s">
        <v>874</v>
      </c>
      <c r="N158" s="114">
        <v>3</v>
      </c>
      <c r="O158" s="180" t="s">
        <v>909</v>
      </c>
      <c r="P158" s="180" t="s">
        <v>1278</v>
      </c>
      <c r="Q158" s="180" t="s">
        <v>909</v>
      </c>
      <c r="R158" s="180"/>
      <c r="S158" s="180"/>
      <c r="T158" s="181" t="s">
        <v>1499</v>
      </c>
      <c r="U158" s="179" t="s">
        <v>1500</v>
      </c>
      <c r="V158" s="179" t="s">
        <v>1501</v>
      </c>
      <c r="W158" s="114" t="s">
        <v>1502</v>
      </c>
      <c r="X158" s="180">
        <v>16</v>
      </c>
      <c r="Y158" s="186" t="s">
        <v>1503</v>
      </c>
      <c r="Z158" s="183" t="s">
        <v>1504</v>
      </c>
      <c r="AA158" s="184"/>
      <c r="AB158" s="182"/>
      <c r="AC158" s="114">
        <v>2</v>
      </c>
      <c r="AD158" s="172" t="s">
        <v>887</v>
      </c>
      <c r="AE158" s="114"/>
      <c r="AF158" s="114"/>
      <c r="AG158" s="114"/>
      <c r="AH158" s="106"/>
      <c r="AI158" s="114"/>
      <c r="AJ158" s="106"/>
      <c r="AK158" s="114"/>
      <c r="AL158" s="106"/>
      <c r="AM158" s="114"/>
      <c r="AN158" s="106"/>
      <c r="AO158" s="114"/>
      <c r="AP158" s="106"/>
      <c r="AQ158" s="114"/>
      <c r="AR158" s="106"/>
      <c r="AS158" s="114"/>
      <c r="AT158" s="106"/>
      <c r="AU158" s="114"/>
      <c r="AV158" s="106"/>
      <c r="AW158" s="114"/>
      <c r="AX158" s="157"/>
      <c r="AY158" s="157"/>
      <c r="AZ158" s="157"/>
      <c r="BA158" s="157"/>
      <c r="BB158" s="157"/>
      <c r="BC158" s="157"/>
    </row>
    <row r="159" spans="1:55" ht="13.8" x14ac:dyDescent="0.3">
      <c r="A159" s="114">
        <f t="shared" si="3"/>
        <v>156</v>
      </c>
      <c r="B159" s="179" t="s">
        <v>1505</v>
      </c>
      <c r="C159" s="114">
        <v>0</v>
      </c>
      <c r="D159" s="114" t="s">
        <v>991</v>
      </c>
      <c r="E159" s="114" t="s">
        <v>929</v>
      </c>
      <c r="F159" s="114" t="s">
        <v>909</v>
      </c>
      <c r="G159" s="114"/>
      <c r="H159" s="114"/>
      <c r="I159" s="114"/>
      <c r="J159" s="114"/>
      <c r="K159" s="114"/>
      <c r="L159" s="114"/>
      <c r="M159" s="114"/>
      <c r="N159" s="114">
        <v>3</v>
      </c>
      <c r="O159" s="180">
        <v>0</v>
      </c>
      <c r="P159" s="180">
        <v>65535</v>
      </c>
      <c r="Q159" s="180">
        <v>0</v>
      </c>
      <c r="R159" s="180"/>
      <c r="S159" s="180" t="s">
        <v>1047</v>
      </c>
      <c r="T159" s="181" t="s">
        <v>1506</v>
      </c>
      <c r="U159" s="179" t="s">
        <v>1507</v>
      </c>
      <c r="V159" s="179" t="s">
        <v>1508</v>
      </c>
      <c r="W159" s="114" t="s">
        <v>1509</v>
      </c>
      <c r="X159" s="180">
        <v>16</v>
      </c>
      <c r="Y159" s="186" t="s">
        <v>1305</v>
      </c>
      <c r="Z159" s="183"/>
      <c r="AA159" s="184"/>
      <c r="AB159" s="182"/>
      <c r="AC159" s="114">
        <v>2</v>
      </c>
      <c r="AD159" s="172" t="s">
        <v>887</v>
      </c>
      <c r="AE159" s="114"/>
      <c r="AF159" s="114"/>
      <c r="AG159" s="114"/>
      <c r="AH159" s="106"/>
      <c r="AI159" s="114"/>
      <c r="AJ159" s="106"/>
      <c r="AK159" s="114"/>
      <c r="AL159" s="106"/>
      <c r="AM159" s="114"/>
      <c r="AN159" s="106"/>
      <c r="AO159" s="114"/>
      <c r="AP159" s="106"/>
      <c r="AQ159" s="114"/>
      <c r="AR159" s="106"/>
      <c r="AS159" s="114"/>
      <c r="AT159" s="106"/>
      <c r="AU159" s="114"/>
      <c r="AV159" s="106"/>
      <c r="AW159" s="114"/>
      <c r="AX159" s="157"/>
      <c r="AY159" s="157"/>
      <c r="AZ159" s="157"/>
      <c r="BA159" s="157"/>
      <c r="BB159" s="157"/>
      <c r="BC159" s="157"/>
    </row>
    <row r="160" spans="1:55" ht="79.2" x14ac:dyDescent="0.3">
      <c r="A160" s="114">
        <f>A159+1</f>
        <v>157</v>
      </c>
      <c r="B160" s="179" t="s">
        <v>1510</v>
      </c>
      <c r="C160" s="114">
        <v>0</v>
      </c>
      <c r="D160" s="114" t="s">
        <v>991</v>
      </c>
      <c r="E160" s="114" t="s">
        <v>980</v>
      </c>
      <c r="F160" s="114" t="s">
        <v>909</v>
      </c>
      <c r="G160" s="114"/>
      <c r="H160" s="114"/>
      <c r="I160" s="114"/>
      <c r="J160" s="114"/>
      <c r="K160" s="114"/>
      <c r="L160" s="114"/>
      <c r="M160" s="114"/>
      <c r="N160" s="114">
        <v>3</v>
      </c>
      <c r="O160" s="180">
        <v>5</v>
      </c>
      <c r="P160" s="180">
        <v>750</v>
      </c>
      <c r="Q160" s="180">
        <v>100</v>
      </c>
      <c r="R160" s="180"/>
      <c r="S160" s="180" t="s">
        <v>1511</v>
      </c>
      <c r="T160" s="181" t="s">
        <v>1512</v>
      </c>
      <c r="U160" s="179" t="s">
        <v>1513</v>
      </c>
      <c r="V160" s="179" t="s">
        <v>1514</v>
      </c>
      <c r="W160" s="114" t="s">
        <v>1515</v>
      </c>
      <c r="X160" s="180">
        <v>16</v>
      </c>
      <c r="Y160" s="186" t="s">
        <v>913</v>
      </c>
      <c r="Z160" s="183" t="s">
        <v>1516</v>
      </c>
      <c r="AA160" s="184"/>
      <c r="AB160" s="182"/>
      <c r="AC160" s="114">
        <v>2</v>
      </c>
      <c r="AD160" s="172" t="s">
        <v>887</v>
      </c>
      <c r="AE160" s="114"/>
      <c r="AF160" s="114"/>
      <c r="AG160" s="114"/>
      <c r="AH160" s="106"/>
      <c r="AI160" s="114" t="s">
        <v>915</v>
      </c>
      <c r="AJ160" s="106"/>
      <c r="AK160" s="114"/>
      <c r="AL160" s="106"/>
      <c r="AM160" s="114"/>
      <c r="AN160" s="106"/>
      <c r="AO160" s="114"/>
      <c r="AP160" s="106"/>
      <c r="AQ160" s="114"/>
      <c r="AR160" s="106"/>
      <c r="AS160" s="114"/>
      <c r="AT160" s="106"/>
      <c r="AU160" s="114"/>
      <c r="AV160" s="106"/>
      <c r="AW160" s="114"/>
      <c r="AX160" s="157"/>
      <c r="AY160" s="157"/>
      <c r="AZ160" s="157"/>
      <c r="BA160" s="157"/>
      <c r="BB160" s="157"/>
      <c r="BC160" s="157"/>
    </row>
    <row r="161" spans="1:55" ht="158.4" x14ac:dyDescent="0.3">
      <c r="A161" s="114">
        <f>A160+1</f>
        <v>158</v>
      </c>
      <c r="B161" s="179" t="s">
        <v>1517</v>
      </c>
      <c r="C161" s="114">
        <v>0</v>
      </c>
      <c r="D161" s="114" t="s">
        <v>991</v>
      </c>
      <c r="E161" s="114" t="s">
        <v>980</v>
      </c>
      <c r="F161" s="114" t="s">
        <v>909</v>
      </c>
      <c r="G161" s="114"/>
      <c r="H161" s="114"/>
      <c r="I161" s="114"/>
      <c r="J161" s="114"/>
      <c r="K161" s="114"/>
      <c r="L161" s="114"/>
      <c r="M161" s="114"/>
      <c r="N161" s="114">
        <v>3</v>
      </c>
      <c r="O161" s="180">
        <v>0</v>
      </c>
      <c r="P161" s="141">
        <v>15000</v>
      </c>
      <c r="Q161" s="107">
        <v>10</v>
      </c>
      <c r="R161" s="180"/>
      <c r="S161" s="180" t="s">
        <v>1518</v>
      </c>
      <c r="T161" s="181" t="s">
        <v>1519</v>
      </c>
      <c r="U161" s="179" t="s">
        <v>220</v>
      </c>
      <c r="V161" s="179" t="s">
        <v>1520</v>
      </c>
      <c r="W161" s="114" t="s">
        <v>1521</v>
      </c>
      <c r="X161" s="180">
        <v>16</v>
      </c>
      <c r="Y161" s="186" t="s">
        <v>913</v>
      </c>
      <c r="Z161" s="183" t="s">
        <v>1522</v>
      </c>
      <c r="AA161" s="184"/>
      <c r="AB161" s="182"/>
      <c r="AC161" s="114">
        <v>2</v>
      </c>
      <c r="AD161" s="172" t="s">
        <v>887</v>
      </c>
      <c r="AE161" s="114"/>
      <c r="AF161" s="114"/>
      <c r="AG161" s="114"/>
      <c r="AH161" s="106"/>
      <c r="AI161" s="114" t="s">
        <v>915</v>
      </c>
      <c r="AJ161" s="106"/>
      <c r="AK161" s="114"/>
      <c r="AL161" s="106"/>
      <c r="AM161" s="114"/>
      <c r="AN161" s="106"/>
      <c r="AO161" s="114"/>
      <c r="AP161" s="106"/>
      <c r="AQ161" s="114"/>
      <c r="AR161" s="106"/>
      <c r="AS161" s="114"/>
      <c r="AT161" s="106"/>
      <c r="AU161" s="114"/>
      <c r="AV161" s="106"/>
      <c r="AW161" s="114"/>
      <c r="AX161" s="157"/>
      <c r="AY161" s="157"/>
      <c r="AZ161" s="157"/>
      <c r="BA161" s="157"/>
      <c r="BB161" s="157"/>
      <c r="BC161" s="157"/>
    </row>
    <row r="162" spans="1:55" ht="26.4" x14ac:dyDescent="0.3">
      <c r="A162" s="114">
        <f t="shared" ref="A162:A220" si="4">A161+1</f>
        <v>159</v>
      </c>
      <c r="B162" s="179" t="s">
        <v>1523</v>
      </c>
      <c r="C162" s="114">
        <v>0</v>
      </c>
      <c r="D162" s="114" t="s">
        <v>991</v>
      </c>
      <c r="E162" s="114" t="s">
        <v>966</v>
      </c>
      <c r="F162" s="114" t="s">
        <v>909</v>
      </c>
      <c r="G162" s="114"/>
      <c r="H162" s="114"/>
      <c r="I162" s="114"/>
      <c r="J162" s="114"/>
      <c r="K162" s="114"/>
      <c r="L162" s="114"/>
      <c r="M162" s="114"/>
      <c r="N162" s="114">
        <v>3</v>
      </c>
      <c r="O162" s="180">
        <v>0</v>
      </c>
      <c r="P162" s="180">
        <v>16777216</v>
      </c>
      <c r="Q162" s="180">
        <v>167772</v>
      </c>
      <c r="R162" s="180"/>
      <c r="S162" s="180" t="s">
        <v>1238</v>
      </c>
      <c r="T162" s="181" t="s">
        <v>1524</v>
      </c>
      <c r="U162" s="179" t="s">
        <v>1525</v>
      </c>
      <c r="V162" s="179" t="s">
        <v>1526</v>
      </c>
      <c r="W162" s="114" t="s">
        <v>1527</v>
      </c>
      <c r="X162" s="180">
        <v>32</v>
      </c>
      <c r="Y162" s="186" t="s">
        <v>1318</v>
      </c>
      <c r="Z162" s="183" t="s">
        <v>1528</v>
      </c>
      <c r="AA162" s="184"/>
      <c r="AB162" s="182"/>
      <c r="AC162" s="114">
        <v>2</v>
      </c>
      <c r="AD162" s="172" t="s">
        <v>887</v>
      </c>
      <c r="AE162" s="114"/>
      <c r="AF162" s="114"/>
      <c r="AG162" s="114"/>
      <c r="AH162" s="106"/>
      <c r="AI162" s="114"/>
      <c r="AJ162" s="106"/>
      <c r="AK162" s="114"/>
      <c r="AL162" s="106"/>
      <c r="AM162" s="114"/>
      <c r="AN162" s="106"/>
      <c r="AO162" s="114"/>
      <c r="AP162" s="106"/>
      <c r="AQ162" s="114"/>
      <c r="AR162" s="106"/>
      <c r="AS162" s="114"/>
      <c r="AT162" s="106"/>
      <c r="AU162" s="114"/>
      <c r="AV162" s="106"/>
      <c r="AW162" s="114"/>
      <c r="AX162" s="157"/>
      <c r="AY162" s="157"/>
      <c r="AZ162" s="157"/>
      <c r="BA162" s="157"/>
      <c r="BB162" s="157"/>
      <c r="BC162" s="157"/>
    </row>
    <row r="163" spans="1:55" ht="105.6" x14ac:dyDescent="0.3">
      <c r="A163" s="114">
        <f t="shared" si="4"/>
        <v>160</v>
      </c>
      <c r="B163" s="179" t="s">
        <v>1529</v>
      </c>
      <c r="C163" s="114">
        <v>0</v>
      </c>
      <c r="D163" s="114" t="s">
        <v>991</v>
      </c>
      <c r="E163" s="114" t="s">
        <v>929</v>
      </c>
      <c r="F163" s="114" t="s">
        <v>909</v>
      </c>
      <c r="G163" s="114"/>
      <c r="H163" s="114"/>
      <c r="I163" s="114"/>
      <c r="J163" s="114"/>
      <c r="K163" s="114"/>
      <c r="L163" s="114"/>
      <c r="M163" s="114"/>
      <c r="N163" s="114">
        <v>3</v>
      </c>
      <c r="O163" s="180">
        <v>10</v>
      </c>
      <c r="P163" s="127">
        <v>28500</v>
      </c>
      <c r="Q163" s="180">
        <v>8000</v>
      </c>
      <c r="R163" s="180"/>
      <c r="S163" s="192" t="s">
        <v>1437</v>
      </c>
      <c r="T163" s="181" t="s">
        <v>1530</v>
      </c>
      <c r="U163" s="179" t="s">
        <v>1531</v>
      </c>
      <c r="V163" s="179" t="s">
        <v>1532</v>
      </c>
      <c r="W163" s="114" t="s">
        <v>1533</v>
      </c>
      <c r="X163" s="180">
        <v>16</v>
      </c>
      <c r="Y163" s="186" t="s">
        <v>913</v>
      </c>
      <c r="Z163" s="183" t="s">
        <v>1534</v>
      </c>
      <c r="AA163" s="184"/>
      <c r="AB163" s="182"/>
      <c r="AC163" s="114">
        <v>2</v>
      </c>
      <c r="AD163" s="172" t="s">
        <v>887</v>
      </c>
      <c r="AE163" s="114"/>
      <c r="AF163" s="114"/>
      <c r="AG163" s="114"/>
      <c r="AH163" s="106"/>
      <c r="AI163" s="114"/>
      <c r="AJ163" s="106"/>
      <c r="AK163" s="114"/>
      <c r="AL163" s="106"/>
      <c r="AM163" s="114" t="s">
        <v>915</v>
      </c>
      <c r="AN163" s="106"/>
      <c r="AO163" s="114"/>
      <c r="AP163" s="106"/>
      <c r="AQ163" s="114"/>
      <c r="AR163" s="106"/>
      <c r="AS163" s="114"/>
      <c r="AT163" s="106"/>
      <c r="AU163" s="114"/>
      <c r="AV163" s="106"/>
      <c r="AW163" s="114"/>
      <c r="AX163" s="157"/>
      <c r="AY163" s="157"/>
      <c r="AZ163" s="157"/>
      <c r="BA163" s="157"/>
      <c r="BB163" s="157"/>
      <c r="BC163" s="157"/>
    </row>
    <row r="164" spans="1:55" ht="13.8" x14ac:dyDescent="0.3">
      <c r="A164" s="114">
        <f t="shared" si="4"/>
        <v>161</v>
      </c>
      <c r="B164" s="179" t="s">
        <v>1535</v>
      </c>
      <c r="C164" s="114">
        <v>0</v>
      </c>
      <c r="D164" s="114" t="s">
        <v>991</v>
      </c>
      <c r="E164" s="114" t="s">
        <v>980</v>
      </c>
      <c r="F164" s="114" t="s">
        <v>909</v>
      </c>
      <c r="G164" s="114"/>
      <c r="H164" s="114"/>
      <c r="I164" s="114"/>
      <c r="J164" s="114"/>
      <c r="K164" s="114"/>
      <c r="L164" s="114"/>
      <c r="M164" s="114"/>
      <c r="N164" s="114">
        <v>3</v>
      </c>
      <c r="O164" s="180">
        <v>0</v>
      </c>
      <c r="P164" s="180">
        <v>120</v>
      </c>
      <c r="Q164" s="180">
        <v>120</v>
      </c>
      <c r="R164" s="180"/>
      <c r="S164" s="180" t="s">
        <v>1044</v>
      </c>
      <c r="T164" s="181" t="s">
        <v>1536</v>
      </c>
      <c r="U164" s="179" t="s">
        <v>1537</v>
      </c>
      <c r="V164" s="179" t="s">
        <v>1538</v>
      </c>
      <c r="W164" s="114" t="s">
        <v>1539</v>
      </c>
      <c r="X164" s="180">
        <v>16</v>
      </c>
      <c r="Y164" s="186" t="s">
        <v>913</v>
      </c>
      <c r="Z164" s="183"/>
      <c r="AA164" s="184"/>
      <c r="AB164" s="182"/>
      <c r="AC164" s="114">
        <v>2</v>
      </c>
      <c r="AD164" s="172" t="s">
        <v>887</v>
      </c>
      <c r="AE164" s="114"/>
      <c r="AF164" s="114"/>
      <c r="AG164" s="114"/>
      <c r="AH164" s="106"/>
      <c r="AI164" s="114"/>
      <c r="AJ164" s="106"/>
      <c r="AK164" s="114"/>
      <c r="AL164" s="106"/>
      <c r="AM164" s="114"/>
      <c r="AN164" s="106"/>
      <c r="AO164" s="114"/>
      <c r="AP164" s="106"/>
      <c r="AQ164" s="114"/>
      <c r="AR164" s="106"/>
      <c r="AS164" s="114"/>
      <c r="AT164" s="106"/>
      <c r="AU164" s="114"/>
      <c r="AV164" s="106"/>
      <c r="AW164" s="114"/>
      <c r="AX164" s="157"/>
      <c r="AY164" s="157"/>
      <c r="AZ164" s="157"/>
      <c r="BA164" s="157"/>
      <c r="BB164" s="157"/>
      <c r="BC164" s="157"/>
    </row>
    <row r="165" spans="1:55" ht="13.8" x14ac:dyDescent="0.3">
      <c r="A165" s="114">
        <f t="shared" si="4"/>
        <v>162</v>
      </c>
      <c r="B165" s="179" t="s">
        <v>1540</v>
      </c>
      <c r="C165" s="114">
        <v>0</v>
      </c>
      <c r="D165" s="114" t="s">
        <v>991</v>
      </c>
      <c r="E165" s="114" t="s">
        <v>980</v>
      </c>
      <c r="F165" s="114" t="s">
        <v>909</v>
      </c>
      <c r="G165" s="114"/>
      <c r="H165" s="114"/>
      <c r="I165" s="114"/>
      <c r="J165" s="114"/>
      <c r="K165" s="114"/>
      <c r="L165" s="114"/>
      <c r="M165" s="114"/>
      <c r="N165" s="114">
        <v>3</v>
      </c>
      <c r="O165" s="180">
        <v>0</v>
      </c>
      <c r="P165" s="180">
        <v>300</v>
      </c>
      <c r="Q165" s="180">
        <v>0</v>
      </c>
      <c r="R165" s="180"/>
      <c r="S165" s="180" t="s">
        <v>1044</v>
      </c>
      <c r="T165" s="181" t="s">
        <v>1541</v>
      </c>
      <c r="U165" s="179" t="s">
        <v>1542</v>
      </c>
      <c r="V165" s="179" t="s">
        <v>1543</v>
      </c>
      <c r="W165" s="114" t="s">
        <v>1544</v>
      </c>
      <c r="X165" s="180">
        <v>16</v>
      </c>
      <c r="Y165" s="186" t="s">
        <v>913</v>
      </c>
      <c r="Z165" s="183"/>
      <c r="AA165" s="184"/>
      <c r="AB165" s="182"/>
      <c r="AC165" s="114">
        <v>2</v>
      </c>
      <c r="AD165" s="172" t="s">
        <v>887</v>
      </c>
      <c r="AE165" s="114"/>
      <c r="AF165" s="114"/>
      <c r="AG165" s="114"/>
      <c r="AH165" s="106"/>
      <c r="AI165" s="114"/>
      <c r="AJ165" s="106"/>
      <c r="AK165" s="114"/>
      <c r="AL165" s="106"/>
      <c r="AM165" s="114"/>
      <c r="AN165" s="106"/>
      <c r="AO165" s="114"/>
      <c r="AP165" s="106"/>
      <c r="AQ165" s="114"/>
      <c r="AR165" s="106"/>
      <c r="AS165" s="114"/>
      <c r="AT165" s="106"/>
      <c r="AU165" s="114"/>
      <c r="AV165" s="106"/>
      <c r="AW165" s="114"/>
      <c r="AX165" s="157"/>
      <c r="AY165" s="157"/>
      <c r="AZ165" s="157"/>
      <c r="BA165" s="157"/>
      <c r="BB165" s="157"/>
      <c r="BC165" s="157"/>
    </row>
    <row r="166" spans="1:55" ht="13.8" x14ac:dyDescent="0.3">
      <c r="A166" s="114">
        <f t="shared" si="4"/>
        <v>163</v>
      </c>
      <c r="B166" s="179" t="s">
        <v>1545</v>
      </c>
      <c r="C166" s="114">
        <v>0</v>
      </c>
      <c r="D166" s="114" t="s">
        <v>991</v>
      </c>
      <c r="E166" s="114" t="s">
        <v>980</v>
      </c>
      <c r="F166" s="114" t="s">
        <v>909</v>
      </c>
      <c r="G166" s="114"/>
      <c r="H166" s="114"/>
      <c r="I166" s="114"/>
      <c r="J166" s="114"/>
      <c r="K166" s="114"/>
      <c r="L166" s="114"/>
      <c r="M166" s="114"/>
      <c r="N166" s="114">
        <v>3</v>
      </c>
      <c r="O166" s="180">
        <v>1</v>
      </c>
      <c r="P166" s="180">
        <v>1000</v>
      </c>
      <c r="Q166" s="180">
        <v>1</v>
      </c>
      <c r="R166" s="180"/>
      <c r="S166" s="180" t="s">
        <v>1047</v>
      </c>
      <c r="T166" s="181" t="s">
        <v>1546</v>
      </c>
      <c r="U166" s="179" t="s">
        <v>1547</v>
      </c>
      <c r="V166" s="179" t="s">
        <v>1548</v>
      </c>
      <c r="W166" s="114" t="s">
        <v>1549</v>
      </c>
      <c r="X166" s="180">
        <v>16</v>
      </c>
      <c r="Y166" s="186" t="s">
        <v>913</v>
      </c>
      <c r="Z166" s="183"/>
      <c r="AA166" s="184"/>
      <c r="AB166" s="182"/>
      <c r="AC166" s="114">
        <v>2</v>
      </c>
      <c r="AD166" s="172" t="s">
        <v>887</v>
      </c>
      <c r="AE166" s="114"/>
      <c r="AF166" s="114"/>
      <c r="AG166" s="114"/>
      <c r="AH166" s="106"/>
      <c r="AI166" s="114"/>
      <c r="AJ166" s="106"/>
      <c r="AK166" s="114"/>
      <c r="AL166" s="106"/>
      <c r="AM166" s="114"/>
      <c r="AN166" s="106"/>
      <c r="AO166" s="114"/>
      <c r="AP166" s="106"/>
      <c r="AQ166" s="114"/>
      <c r="AR166" s="106"/>
      <c r="AS166" s="114"/>
      <c r="AT166" s="106"/>
      <c r="AU166" s="114"/>
      <c r="AV166" s="106"/>
      <c r="AW166" s="114"/>
      <c r="AX166" s="157"/>
      <c r="AY166" s="157"/>
      <c r="AZ166" s="157"/>
      <c r="BA166" s="157"/>
      <c r="BB166" s="157"/>
      <c r="BC166" s="157"/>
    </row>
    <row r="167" spans="1:55" ht="26.4" x14ac:dyDescent="0.3">
      <c r="A167" s="114">
        <f t="shared" si="4"/>
        <v>164</v>
      </c>
      <c r="B167" s="179" t="s">
        <v>1550</v>
      </c>
      <c r="C167" s="114">
        <v>0</v>
      </c>
      <c r="D167" s="114" t="s">
        <v>991</v>
      </c>
      <c r="E167" s="114" t="s">
        <v>980</v>
      </c>
      <c r="F167" s="114" t="s">
        <v>909</v>
      </c>
      <c r="G167" s="114"/>
      <c r="H167" s="114"/>
      <c r="I167" s="114"/>
      <c r="J167" s="114"/>
      <c r="K167" s="114"/>
      <c r="L167" s="114"/>
      <c r="M167" s="114"/>
      <c r="N167" s="114">
        <v>5</v>
      </c>
      <c r="O167" s="180">
        <v>0</v>
      </c>
      <c r="P167" s="180">
        <v>40</v>
      </c>
      <c r="Q167" s="180">
        <v>0</v>
      </c>
      <c r="R167" s="180"/>
      <c r="S167" s="180" t="s">
        <v>1047</v>
      </c>
      <c r="T167" s="181" t="s">
        <v>1551</v>
      </c>
      <c r="U167" s="179" t="s">
        <v>1552</v>
      </c>
      <c r="V167" s="179" t="s">
        <v>1553</v>
      </c>
      <c r="W167" s="114" t="s">
        <v>1554</v>
      </c>
      <c r="X167" s="180">
        <v>16</v>
      </c>
      <c r="Y167" s="182" t="s">
        <v>1555</v>
      </c>
      <c r="Z167" s="183" t="s">
        <v>1556</v>
      </c>
      <c r="AA167" s="184"/>
      <c r="AB167" s="182"/>
      <c r="AC167" s="114">
        <v>1</v>
      </c>
      <c r="AD167" s="172" t="s">
        <v>887</v>
      </c>
      <c r="AE167" s="114"/>
      <c r="AF167" s="114"/>
      <c r="AG167" s="114"/>
      <c r="AH167" s="106"/>
      <c r="AI167" s="114"/>
      <c r="AJ167" s="106"/>
      <c r="AK167" s="114"/>
      <c r="AL167" s="106" t="s">
        <v>915</v>
      </c>
      <c r="AM167" s="114"/>
      <c r="AN167" s="106"/>
      <c r="AO167" s="114"/>
      <c r="AP167" s="106"/>
      <c r="AQ167" s="114"/>
      <c r="AR167" s="106"/>
      <c r="AS167" s="114"/>
      <c r="AT167" s="106"/>
      <c r="AU167" s="114"/>
      <c r="AV167" s="106"/>
      <c r="AW167" s="114"/>
      <c r="AX167" s="157"/>
      <c r="AY167" s="157"/>
      <c r="AZ167" s="157"/>
      <c r="BA167" s="157"/>
      <c r="BB167" s="157"/>
      <c r="BC167" s="157"/>
    </row>
    <row r="168" spans="1:55" ht="13.8" x14ac:dyDescent="0.3">
      <c r="A168" s="114">
        <f t="shared" si="4"/>
        <v>165</v>
      </c>
      <c r="B168" s="179" t="s">
        <v>1557</v>
      </c>
      <c r="C168" s="114">
        <v>0</v>
      </c>
      <c r="D168" s="114" t="s">
        <v>991</v>
      </c>
      <c r="E168" s="114" t="s">
        <v>980</v>
      </c>
      <c r="F168" s="114" t="s">
        <v>909</v>
      </c>
      <c r="G168" s="114"/>
      <c r="H168" s="114"/>
      <c r="I168" s="114"/>
      <c r="J168" s="114"/>
      <c r="K168" s="114"/>
      <c r="L168" s="114"/>
      <c r="M168" s="114"/>
      <c r="N168" s="114">
        <v>3</v>
      </c>
      <c r="O168" s="180">
        <v>0</v>
      </c>
      <c r="P168" s="180">
        <v>100</v>
      </c>
      <c r="Q168" s="180">
        <v>0</v>
      </c>
      <c r="R168" s="180"/>
      <c r="S168" s="180" t="s">
        <v>1044</v>
      </c>
      <c r="T168" s="181" t="s">
        <v>1558</v>
      </c>
      <c r="U168" s="179" t="s">
        <v>1559</v>
      </c>
      <c r="V168" s="179" t="s">
        <v>1559</v>
      </c>
      <c r="W168" s="114" t="s">
        <v>1560</v>
      </c>
      <c r="X168" s="180">
        <v>16</v>
      </c>
      <c r="Y168" s="186" t="s">
        <v>1561</v>
      </c>
      <c r="Z168" s="183"/>
      <c r="AA168" s="184"/>
      <c r="AB168" s="182"/>
      <c r="AC168" s="114">
        <v>2</v>
      </c>
      <c r="AD168" s="172" t="s">
        <v>887</v>
      </c>
      <c r="AE168" s="114"/>
      <c r="AF168" s="114"/>
      <c r="AG168" s="114"/>
      <c r="AH168" s="106"/>
      <c r="AI168" s="114"/>
      <c r="AJ168" s="106"/>
      <c r="AK168" s="114"/>
      <c r="AL168" s="106"/>
      <c r="AM168" s="114"/>
      <c r="AN168" s="106"/>
      <c r="AO168" s="114"/>
      <c r="AP168" s="106"/>
      <c r="AQ168" s="114"/>
      <c r="AR168" s="106"/>
      <c r="AS168" s="114"/>
      <c r="AT168" s="106"/>
      <c r="AU168" s="114"/>
      <c r="AV168" s="106"/>
      <c r="AW168" s="114"/>
      <c r="AX168" s="157"/>
      <c r="AY168" s="157"/>
      <c r="AZ168" s="157"/>
      <c r="BA168" s="157"/>
      <c r="BB168" s="157"/>
      <c r="BC168" s="157"/>
    </row>
    <row r="169" spans="1:55" ht="13.8" x14ac:dyDescent="0.3">
      <c r="A169" s="114">
        <f t="shared" si="4"/>
        <v>166</v>
      </c>
      <c r="B169" s="179" t="s">
        <v>1562</v>
      </c>
      <c r="C169" s="114">
        <v>0</v>
      </c>
      <c r="D169" s="114" t="s">
        <v>991</v>
      </c>
      <c r="E169" s="114" t="s">
        <v>980</v>
      </c>
      <c r="F169" s="114" t="s">
        <v>909</v>
      </c>
      <c r="G169" s="114"/>
      <c r="H169" s="114"/>
      <c r="I169" s="114"/>
      <c r="J169" s="114"/>
      <c r="K169" s="114"/>
      <c r="L169" s="114"/>
      <c r="M169" s="114"/>
      <c r="N169" s="114">
        <v>3</v>
      </c>
      <c r="O169" s="180">
        <v>1</v>
      </c>
      <c r="P169" s="180">
        <v>1000</v>
      </c>
      <c r="Q169" s="180">
        <v>1</v>
      </c>
      <c r="R169" s="180"/>
      <c r="S169" s="180" t="s">
        <v>1047</v>
      </c>
      <c r="T169" s="181" t="s">
        <v>1563</v>
      </c>
      <c r="U169" s="179" t="s">
        <v>1564</v>
      </c>
      <c r="V169" s="179" t="s">
        <v>1565</v>
      </c>
      <c r="W169" s="114" t="s">
        <v>1566</v>
      </c>
      <c r="X169" s="180">
        <v>16</v>
      </c>
      <c r="Y169" s="186" t="s">
        <v>1561</v>
      </c>
      <c r="Z169" s="183"/>
      <c r="AA169" s="184"/>
      <c r="AB169" s="182"/>
      <c r="AC169" s="114">
        <v>2</v>
      </c>
      <c r="AD169" s="172" t="s">
        <v>887</v>
      </c>
      <c r="AE169" s="114"/>
      <c r="AF169" s="114"/>
      <c r="AG169" s="114"/>
      <c r="AH169" s="106"/>
      <c r="AI169" s="114"/>
      <c r="AJ169" s="106"/>
      <c r="AK169" s="114"/>
      <c r="AL169" s="106"/>
      <c r="AM169" s="114"/>
      <c r="AN169" s="106"/>
      <c r="AO169" s="114"/>
      <c r="AP169" s="106"/>
      <c r="AQ169" s="114"/>
      <c r="AR169" s="106"/>
      <c r="AS169" s="114"/>
      <c r="AT169" s="106"/>
      <c r="AU169" s="114"/>
      <c r="AV169" s="106"/>
      <c r="AW169" s="114"/>
      <c r="AX169" s="157"/>
      <c r="AY169" s="157"/>
      <c r="AZ169" s="157"/>
      <c r="BA169" s="157"/>
      <c r="BB169" s="157"/>
      <c r="BC169" s="157"/>
    </row>
    <row r="170" spans="1:55" ht="52.8" x14ac:dyDescent="0.3">
      <c r="A170" s="114">
        <f t="shared" si="4"/>
        <v>167</v>
      </c>
      <c r="B170" s="179" t="s">
        <v>1567</v>
      </c>
      <c r="C170" s="114">
        <v>0</v>
      </c>
      <c r="D170" s="114" t="s">
        <v>991</v>
      </c>
      <c r="E170" s="114" t="s">
        <v>929</v>
      </c>
      <c r="F170" s="114" t="s">
        <v>909</v>
      </c>
      <c r="G170" s="114"/>
      <c r="H170" s="114"/>
      <c r="I170" s="114"/>
      <c r="J170" s="114"/>
      <c r="K170" s="114"/>
      <c r="L170" s="114"/>
      <c r="M170" s="191" t="s">
        <v>874</v>
      </c>
      <c r="N170" s="114">
        <v>3</v>
      </c>
      <c r="O170" s="180" t="s">
        <v>909</v>
      </c>
      <c r="P170" s="180" t="s">
        <v>1278</v>
      </c>
      <c r="Q170" s="180" t="s">
        <v>909</v>
      </c>
      <c r="R170" s="180"/>
      <c r="S170" s="180"/>
      <c r="T170" s="181" t="s">
        <v>1568</v>
      </c>
      <c r="U170" s="179" t="s">
        <v>1569</v>
      </c>
      <c r="V170" s="179" t="s">
        <v>1161</v>
      </c>
      <c r="W170" s="114" t="s">
        <v>1570</v>
      </c>
      <c r="X170" s="180">
        <v>32</v>
      </c>
      <c r="Y170" s="186" t="s">
        <v>1268</v>
      </c>
      <c r="Z170" s="183" t="s">
        <v>1571</v>
      </c>
      <c r="AA170" s="184"/>
      <c r="AB170" s="182"/>
      <c r="AC170" s="114">
        <v>2</v>
      </c>
      <c r="AD170" s="172" t="s">
        <v>887</v>
      </c>
      <c r="AE170" s="114"/>
      <c r="AF170" s="114"/>
      <c r="AG170" s="114"/>
      <c r="AH170" s="106"/>
      <c r="AI170" s="114"/>
      <c r="AJ170" s="106"/>
      <c r="AK170" s="114"/>
      <c r="AL170" s="106"/>
      <c r="AM170" s="114"/>
      <c r="AN170" s="106"/>
      <c r="AO170" s="114"/>
      <c r="AP170" s="106"/>
      <c r="AQ170" s="114"/>
      <c r="AR170" s="106"/>
      <c r="AS170" s="114"/>
      <c r="AT170" s="106"/>
      <c r="AU170" s="114"/>
      <c r="AV170" s="106"/>
      <c r="AW170" s="114"/>
      <c r="AX170" s="157"/>
      <c r="AY170" s="157"/>
      <c r="AZ170" s="157"/>
      <c r="BA170" s="157"/>
      <c r="BB170" s="157"/>
      <c r="BC170" s="157"/>
    </row>
    <row r="171" spans="1:55" x14ac:dyDescent="0.3">
      <c r="A171" s="114">
        <f t="shared" si="4"/>
        <v>168</v>
      </c>
      <c r="B171" s="179" t="s">
        <v>1572</v>
      </c>
      <c r="C171" s="114">
        <v>0</v>
      </c>
      <c r="D171" s="114" t="s">
        <v>991</v>
      </c>
      <c r="E171" s="114" t="s">
        <v>980</v>
      </c>
      <c r="F171" s="114" t="s">
        <v>909</v>
      </c>
      <c r="G171" s="114"/>
      <c r="H171" s="114"/>
      <c r="I171" s="114"/>
      <c r="J171" s="114"/>
      <c r="K171" s="114"/>
      <c r="L171" s="114"/>
      <c r="M171" s="114"/>
      <c r="N171" s="114">
        <v>5</v>
      </c>
      <c r="O171" s="180">
        <v>0</v>
      </c>
      <c r="P171" s="180">
        <v>1000</v>
      </c>
      <c r="Q171" s="180">
        <v>1</v>
      </c>
      <c r="R171" s="180"/>
      <c r="S171" s="180" t="s">
        <v>1573</v>
      </c>
      <c r="T171" s="181" t="s">
        <v>1574</v>
      </c>
      <c r="U171" s="179" t="s">
        <v>1575</v>
      </c>
      <c r="V171" s="179" t="s">
        <v>1576</v>
      </c>
      <c r="W171" s="114" t="s">
        <v>1577</v>
      </c>
      <c r="X171" s="180">
        <v>16</v>
      </c>
      <c r="Y171" s="182" t="s">
        <v>1268</v>
      </c>
      <c r="Z171" s="183" t="s">
        <v>1578</v>
      </c>
      <c r="AA171" s="184"/>
      <c r="AB171" s="182"/>
      <c r="AC171" s="114">
        <v>1</v>
      </c>
      <c r="AD171" s="172" t="s">
        <v>887</v>
      </c>
      <c r="AE171" s="114"/>
      <c r="AF171" s="114"/>
      <c r="AG171" s="114"/>
      <c r="AH171" s="106"/>
      <c r="AI171" s="114"/>
      <c r="AJ171" s="106"/>
      <c r="AK171" s="114"/>
      <c r="AL171" s="106"/>
      <c r="AM171" s="114"/>
      <c r="AN171" s="106"/>
      <c r="AO171" s="114"/>
      <c r="AP171" s="106"/>
      <c r="AQ171" s="114"/>
      <c r="AR171" s="106"/>
      <c r="AS171" s="114"/>
      <c r="AT171" s="106"/>
      <c r="AU171" s="114"/>
      <c r="AV171" s="106"/>
      <c r="AW171" s="114"/>
      <c r="AX171" s="157"/>
      <c r="AY171" s="157"/>
      <c r="AZ171" s="157"/>
      <c r="BA171" s="157"/>
      <c r="BB171" s="157"/>
      <c r="BC171" s="157"/>
    </row>
    <row r="172" spans="1:55" ht="39.6" x14ac:dyDescent="0.3">
      <c r="A172" s="114">
        <f t="shared" si="4"/>
        <v>169</v>
      </c>
      <c r="B172" s="179" t="s">
        <v>1579</v>
      </c>
      <c r="C172" s="114">
        <v>0</v>
      </c>
      <c r="D172" s="114" t="s">
        <v>991</v>
      </c>
      <c r="E172" s="114" t="s">
        <v>980</v>
      </c>
      <c r="F172" s="114" t="s">
        <v>909</v>
      </c>
      <c r="G172" s="114"/>
      <c r="H172" s="114"/>
      <c r="I172" s="114"/>
      <c r="J172" s="114"/>
      <c r="K172" s="114"/>
      <c r="L172" s="114"/>
      <c r="M172" s="114"/>
      <c r="N172" s="114">
        <v>3</v>
      </c>
      <c r="O172" s="180">
        <v>0</v>
      </c>
      <c r="P172" s="180">
        <v>2000</v>
      </c>
      <c r="Q172" s="180">
        <v>0</v>
      </c>
      <c r="R172" s="180">
        <v>0.1</v>
      </c>
      <c r="S172" s="180" t="s">
        <v>1232</v>
      </c>
      <c r="T172" s="181" t="s">
        <v>1580</v>
      </c>
      <c r="U172" s="179" t="s">
        <v>1581</v>
      </c>
      <c r="V172" s="179" t="s">
        <v>1582</v>
      </c>
      <c r="W172" s="114" t="s">
        <v>1583</v>
      </c>
      <c r="X172" s="180">
        <v>16</v>
      </c>
      <c r="Y172" s="182" t="s">
        <v>1268</v>
      </c>
      <c r="Z172" s="183" t="s">
        <v>1584</v>
      </c>
      <c r="AA172" s="184"/>
      <c r="AB172" s="182"/>
      <c r="AC172" s="114">
        <v>2</v>
      </c>
      <c r="AD172" s="172" t="s">
        <v>887</v>
      </c>
      <c r="AE172" s="114"/>
      <c r="AF172" s="114"/>
      <c r="AG172" s="114"/>
      <c r="AH172" s="106"/>
      <c r="AI172" s="114"/>
      <c r="AJ172" s="106"/>
      <c r="AK172" s="114"/>
      <c r="AL172" s="106"/>
      <c r="AM172" s="114"/>
      <c r="AN172" s="106"/>
      <c r="AO172" s="114"/>
      <c r="AP172" s="106"/>
      <c r="AQ172" s="114"/>
      <c r="AR172" s="106"/>
      <c r="AS172" s="114"/>
      <c r="AT172" s="106"/>
      <c r="AU172" s="114"/>
      <c r="AV172" s="106"/>
      <c r="AW172" s="114"/>
      <c r="AX172" s="157"/>
      <c r="AY172" s="157"/>
      <c r="AZ172" s="157"/>
      <c r="BA172" s="157"/>
      <c r="BB172" s="157"/>
      <c r="BC172" s="157"/>
    </row>
    <row r="173" spans="1:55" x14ac:dyDescent="0.3">
      <c r="A173" s="114">
        <f t="shared" si="4"/>
        <v>170</v>
      </c>
      <c r="B173" s="179" t="s">
        <v>1585</v>
      </c>
      <c r="C173" s="114">
        <v>0</v>
      </c>
      <c r="D173" s="114" t="s">
        <v>991</v>
      </c>
      <c r="E173" s="114" t="s">
        <v>980</v>
      </c>
      <c r="F173" s="114" t="s">
        <v>909</v>
      </c>
      <c r="G173" s="114"/>
      <c r="H173" s="114"/>
      <c r="I173" s="114"/>
      <c r="J173" s="114"/>
      <c r="K173" s="114"/>
      <c r="L173" s="114"/>
      <c r="M173" s="114"/>
      <c r="N173" s="114">
        <v>5</v>
      </c>
      <c r="O173" s="180">
        <v>0</v>
      </c>
      <c r="P173" s="180">
        <v>100</v>
      </c>
      <c r="Q173" s="180">
        <v>4</v>
      </c>
      <c r="R173" s="180"/>
      <c r="S173" s="180" t="s">
        <v>1047</v>
      </c>
      <c r="T173" s="181" t="s">
        <v>1586</v>
      </c>
      <c r="U173" s="179" t="s">
        <v>1587</v>
      </c>
      <c r="V173" s="179" t="s">
        <v>1588</v>
      </c>
      <c r="W173" s="114" t="s">
        <v>1589</v>
      </c>
      <c r="X173" s="180">
        <v>16</v>
      </c>
      <c r="Y173" s="182" t="s">
        <v>1318</v>
      </c>
      <c r="Z173" s="183"/>
      <c r="AA173" s="184"/>
      <c r="AB173" s="182"/>
      <c r="AC173" s="114">
        <v>1</v>
      </c>
      <c r="AD173" s="172" t="s">
        <v>887</v>
      </c>
      <c r="AE173" s="114"/>
      <c r="AF173" s="114"/>
      <c r="AG173" s="114"/>
      <c r="AH173" s="106"/>
      <c r="AI173" s="114"/>
      <c r="AJ173" s="106"/>
      <c r="AK173" s="114"/>
      <c r="AL173" s="106" t="s">
        <v>915</v>
      </c>
      <c r="AM173" s="114"/>
      <c r="AN173" s="106"/>
      <c r="AO173" s="114"/>
      <c r="AP173" s="106"/>
      <c r="AQ173" s="114" t="s">
        <v>915</v>
      </c>
      <c r="AR173" s="106"/>
      <c r="AS173" s="114"/>
      <c r="AT173" s="106"/>
      <c r="AU173" s="114"/>
      <c r="AV173" s="106"/>
      <c r="AW173" s="114"/>
      <c r="AX173" s="157"/>
      <c r="AY173" s="157"/>
      <c r="AZ173" s="157"/>
      <c r="BA173" s="157"/>
      <c r="BB173" s="157"/>
      <c r="BC173" s="157"/>
    </row>
    <row r="174" spans="1:55" ht="13.8" x14ac:dyDescent="0.3">
      <c r="A174" s="114">
        <f t="shared" si="4"/>
        <v>171</v>
      </c>
      <c r="B174" s="179" t="s">
        <v>1590</v>
      </c>
      <c r="C174" s="114">
        <v>0</v>
      </c>
      <c r="D174" s="114" t="s">
        <v>991</v>
      </c>
      <c r="E174" s="114" t="s">
        <v>966</v>
      </c>
      <c r="F174" s="114" t="s">
        <v>909</v>
      </c>
      <c r="G174" s="114"/>
      <c r="H174" s="114"/>
      <c r="I174" s="114"/>
      <c r="J174" s="114"/>
      <c r="K174" s="114"/>
      <c r="L174" s="114"/>
      <c r="M174" s="114"/>
      <c r="N174" s="114">
        <v>3</v>
      </c>
      <c r="O174" s="107">
        <v>50</v>
      </c>
      <c r="P174" s="107">
        <v>16777216</v>
      </c>
      <c r="Q174" s="180">
        <v>5000</v>
      </c>
      <c r="R174" s="180"/>
      <c r="S174" s="180" t="s">
        <v>1591</v>
      </c>
      <c r="T174" s="181" t="s">
        <v>1592</v>
      </c>
      <c r="U174" s="179" t="s">
        <v>1593</v>
      </c>
      <c r="V174" s="179" t="s">
        <v>1594</v>
      </c>
      <c r="W174" s="114" t="s">
        <v>1595</v>
      </c>
      <c r="X174" s="179">
        <v>32</v>
      </c>
      <c r="Y174" s="186" t="s">
        <v>1268</v>
      </c>
      <c r="Z174" s="183"/>
      <c r="AA174" s="184"/>
      <c r="AB174" s="182"/>
      <c r="AC174" s="114">
        <v>2</v>
      </c>
      <c r="AD174" s="172" t="s">
        <v>887</v>
      </c>
      <c r="AE174" s="114"/>
      <c r="AF174" s="114"/>
      <c r="AG174" s="114"/>
      <c r="AH174" s="106"/>
      <c r="AI174" s="114"/>
      <c r="AJ174" s="106"/>
      <c r="AK174" s="114"/>
      <c r="AL174" s="106"/>
      <c r="AM174" s="114"/>
      <c r="AN174" s="106"/>
      <c r="AO174" s="114"/>
      <c r="AP174" s="106"/>
      <c r="AQ174" s="114"/>
      <c r="AR174" s="106"/>
      <c r="AS174" s="114"/>
      <c r="AT174" s="106"/>
      <c r="AU174" s="114"/>
      <c r="AV174" s="106"/>
      <c r="AW174" s="114"/>
      <c r="AX174" s="157"/>
      <c r="AY174" s="157"/>
      <c r="AZ174" s="157"/>
      <c r="BA174" s="157"/>
      <c r="BB174" s="157"/>
      <c r="BC174" s="157"/>
    </row>
    <row r="175" spans="1:55" ht="13.8" x14ac:dyDescent="0.3">
      <c r="A175" s="114">
        <f t="shared" si="4"/>
        <v>172</v>
      </c>
      <c r="B175" s="179" t="s">
        <v>1596</v>
      </c>
      <c r="C175" s="114">
        <v>0</v>
      </c>
      <c r="D175" s="114" t="s">
        <v>991</v>
      </c>
      <c r="E175" s="114" t="s">
        <v>966</v>
      </c>
      <c r="F175" s="114" t="s">
        <v>909</v>
      </c>
      <c r="G175" s="114"/>
      <c r="H175" s="114"/>
      <c r="I175" s="114"/>
      <c r="J175" s="114"/>
      <c r="K175" s="114"/>
      <c r="L175" s="114"/>
      <c r="M175" s="114"/>
      <c r="N175" s="114">
        <v>3</v>
      </c>
      <c r="O175" s="180">
        <v>1</v>
      </c>
      <c r="P175" s="180">
        <v>2147483647</v>
      </c>
      <c r="Q175" s="180">
        <v>30000</v>
      </c>
      <c r="R175" s="180"/>
      <c r="S175" s="180" t="s">
        <v>1238</v>
      </c>
      <c r="T175" s="181" t="s">
        <v>1597</v>
      </c>
      <c r="U175" s="179" t="s">
        <v>1598</v>
      </c>
      <c r="V175" s="179" t="s">
        <v>1599</v>
      </c>
      <c r="W175" s="114" t="s">
        <v>1600</v>
      </c>
      <c r="X175" s="179">
        <v>32</v>
      </c>
      <c r="Y175" s="186" t="s">
        <v>1268</v>
      </c>
      <c r="Z175" s="183"/>
      <c r="AA175" s="184"/>
      <c r="AB175" s="182"/>
      <c r="AC175" s="114">
        <v>2</v>
      </c>
      <c r="AD175" s="172" t="s">
        <v>887</v>
      </c>
      <c r="AE175" s="114"/>
      <c r="AF175" s="114"/>
      <c r="AG175" s="114"/>
      <c r="AH175" s="106"/>
      <c r="AI175" s="114"/>
      <c r="AJ175" s="106"/>
      <c r="AK175" s="114"/>
      <c r="AL175" s="106"/>
      <c r="AM175" s="114"/>
      <c r="AN175" s="106"/>
      <c r="AO175" s="114"/>
      <c r="AP175" s="106"/>
      <c r="AQ175" s="114"/>
      <c r="AR175" s="106"/>
      <c r="AS175" s="114"/>
      <c r="AT175" s="106"/>
      <c r="AU175" s="114"/>
      <c r="AV175" s="106"/>
      <c r="AW175" s="114"/>
      <c r="AX175" s="157"/>
      <c r="AY175" s="157"/>
      <c r="AZ175" s="157"/>
      <c r="BA175" s="157"/>
      <c r="BB175" s="157"/>
      <c r="BC175" s="157"/>
    </row>
    <row r="176" spans="1:55" ht="26.4" x14ac:dyDescent="0.3">
      <c r="A176" s="114">
        <f t="shared" si="4"/>
        <v>173</v>
      </c>
      <c r="B176" s="179" t="s">
        <v>1601</v>
      </c>
      <c r="C176" s="114">
        <v>0</v>
      </c>
      <c r="D176" s="114" t="s">
        <v>991</v>
      </c>
      <c r="E176" s="114" t="s">
        <v>929</v>
      </c>
      <c r="F176" s="114" t="s">
        <v>909</v>
      </c>
      <c r="G176" s="114"/>
      <c r="H176" s="114"/>
      <c r="I176" s="114"/>
      <c r="J176" s="114"/>
      <c r="K176" s="114"/>
      <c r="L176" s="114"/>
      <c r="M176" s="191" t="s">
        <v>874</v>
      </c>
      <c r="N176" s="114">
        <v>3</v>
      </c>
      <c r="O176" s="180" t="s">
        <v>909</v>
      </c>
      <c r="P176" s="180" t="s">
        <v>1602</v>
      </c>
      <c r="Q176" s="180" t="s">
        <v>909</v>
      </c>
      <c r="R176" s="180"/>
      <c r="S176" s="180"/>
      <c r="T176" s="181" t="s">
        <v>1603</v>
      </c>
      <c r="U176" s="179" t="s">
        <v>1604</v>
      </c>
      <c r="V176" s="179" t="s">
        <v>1605</v>
      </c>
      <c r="W176" s="114" t="s">
        <v>1606</v>
      </c>
      <c r="X176" s="179">
        <v>16</v>
      </c>
      <c r="Y176" s="186" t="s">
        <v>1268</v>
      </c>
      <c r="Z176" s="183" t="s">
        <v>1607</v>
      </c>
      <c r="AA176" s="184"/>
      <c r="AB176" s="182"/>
      <c r="AC176" s="114">
        <v>2</v>
      </c>
      <c r="AD176" s="172" t="s">
        <v>887</v>
      </c>
      <c r="AE176" s="114"/>
      <c r="AF176" s="114"/>
      <c r="AG176" s="114"/>
      <c r="AH176" s="106"/>
      <c r="AI176" s="114"/>
      <c r="AJ176" s="106" t="s">
        <v>915</v>
      </c>
      <c r="AK176" s="114"/>
      <c r="AL176" s="106"/>
      <c r="AM176" s="114"/>
      <c r="AN176" s="106"/>
      <c r="AO176" s="114"/>
      <c r="AP176" s="106"/>
      <c r="AQ176" s="114"/>
      <c r="AR176" s="106"/>
      <c r="AS176" s="114"/>
      <c r="AT176" s="106"/>
      <c r="AU176" s="114"/>
      <c r="AV176" s="106"/>
      <c r="AW176" s="114"/>
      <c r="AX176" s="157"/>
      <c r="AY176" s="157"/>
      <c r="AZ176" s="157"/>
      <c r="BA176" s="157"/>
      <c r="BB176" s="157"/>
      <c r="BC176" s="157"/>
    </row>
    <row r="177" spans="1:55" x14ac:dyDescent="0.3">
      <c r="A177" s="114">
        <f t="shared" si="4"/>
        <v>174</v>
      </c>
      <c r="B177" s="179" t="s">
        <v>1608</v>
      </c>
      <c r="C177" s="114">
        <v>0</v>
      </c>
      <c r="D177" s="114" t="s">
        <v>991</v>
      </c>
      <c r="E177" s="114" t="s">
        <v>980</v>
      </c>
      <c r="F177" s="114" t="s">
        <v>909</v>
      </c>
      <c r="G177" s="114"/>
      <c r="H177" s="114"/>
      <c r="I177" s="114"/>
      <c r="J177" s="114"/>
      <c r="K177" s="114"/>
      <c r="L177" s="114"/>
      <c r="M177" s="114"/>
      <c r="N177" s="114">
        <v>5</v>
      </c>
      <c r="O177" s="180">
        <v>0</v>
      </c>
      <c r="P177" s="180">
        <v>1000</v>
      </c>
      <c r="Q177" s="180">
        <v>100</v>
      </c>
      <c r="R177" s="180"/>
      <c r="S177" s="180" t="s">
        <v>1047</v>
      </c>
      <c r="T177" s="181" t="s">
        <v>1609</v>
      </c>
      <c r="U177" s="179" t="s">
        <v>1610</v>
      </c>
      <c r="V177" s="179" t="s">
        <v>1611</v>
      </c>
      <c r="W177" s="114" t="s">
        <v>1612</v>
      </c>
      <c r="X177" s="180">
        <v>16</v>
      </c>
      <c r="Y177" s="182" t="s">
        <v>1268</v>
      </c>
      <c r="Z177" s="183"/>
      <c r="AA177" s="184"/>
      <c r="AB177" s="182"/>
      <c r="AC177" s="114">
        <v>1</v>
      </c>
      <c r="AD177" s="172" t="s">
        <v>887</v>
      </c>
      <c r="AE177" s="114"/>
      <c r="AF177" s="114"/>
      <c r="AG177" s="114"/>
      <c r="AH177" s="106"/>
      <c r="AI177" s="114"/>
      <c r="AJ177" s="106"/>
      <c r="AK177" s="114"/>
      <c r="AL177" s="106"/>
      <c r="AM177" s="114"/>
      <c r="AN177" s="106"/>
      <c r="AO177" s="114"/>
      <c r="AP177" s="106"/>
      <c r="AQ177" s="114"/>
      <c r="AR177" s="106"/>
      <c r="AS177" s="114"/>
      <c r="AT177" s="106"/>
      <c r="AU177" s="114"/>
      <c r="AV177" s="106"/>
      <c r="AW177" s="114"/>
      <c r="AX177" s="157"/>
      <c r="AY177" s="157"/>
      <c r="AZ177" s="157"/>
      <c r="BA177" s="157"/>
      <c r="BB177" s="157"/>
      <c r="BC177" s="157"/>
    </row>
    <row r="178" spans="1:55" ht="52.8" x14ac:dyDescent="0.3">
      <c r="A178" s="114">
        <f t="shared" si="4"/>
        <v>175</v>
      </c>
      <c r="B178" s="179" t="s">
        <v>1613</v>
      </c>
      <c r="C178" s="114">
        <v>0</v>
      </c>
      <c r="D178" s="114" t="s">
        <v>991</v>
      </c>
      <c r="E178" s="114" t="s">
        <v>980</v>
      </c>
      <c r="F178" s="114" t="s">
        <v>909</v>
      </c>
      <c r="G178" s="114"/>
      <c r="H178" s="114" t="s">
        <v>869</v>
      </c>
      <c r="I178" s="114"/>
      <c r="J178" s="114"/>
      <c r="K178" s="114"/>
      <c r="L178" s="114"/>
      <c r="M178" s="114"/>
      <c r="N178" s="114">
        <v>3</v>
      </c>
      <c r="O178" s="180">
        <v>0</v>
      </c>
      <c r="P178" s="127">
        <v>28500</v>
      </c>
      <c r="Q178" s="180">
        <v>8000</v>
      </c>
      <c r="R178" s="180"/>
      <c r="S178" s="192" t="s">
        <v>1437</v>
      </c>
      <c r="T178" s="181" t="s">
        <v>1614</v>
      </c>
      <c r="U178" s="179" t="s">
        <v>1615</v>
      </c>
      <c r="V178" s="179" t="s">
        <v>1616</v>
      </c>
      <c r="W178" s="114" t="s">
        <v>1617</v>
      </c>
      <c r="X178" s="179">
        <v>16</v>
      </c>
      <c r="Y178" s="182" t="s">
        <v>913</v>
      </c>
      <c r="Z178" s="183" t="s">
        <v>1618</v>
      </c>
      <c r="AA178" s="184"/>
      <c r="AB178" s="182"/>
      <c r="AC178" s="114">
        <v>2</v>
      </c>
      <c r="AD178" s="172" t="s">
        <v>887</v>
      </c>
      <c r="AE178" s="114"/>
      <c r="AF178" s="114"/>
      <c r="AG178" s="114"/>
      <c r="AH178" s="106"/>
      <c r="AI178" s="114"/>
      <c r="AJ178" s="106"/>
      <c r="AK178" s="114"/>
      <c r="AL178" s="106"/>
      <c r="AM178" s="114"/>
      <c r="AN178" s="106"/>
      <c r="AO178" s="114"/>
      <c r="AP178" s="106"/>
      <c r="AQ178" s="114"/>
      <c r="AR178" s="106"/>
      <c r="AS178" s="114"/>
      <c r="AT178" s="106"/>
      <c r="AU178" s="114"/>
      <c r="AV178" s="106"/>
      <c r="AW178" s="114"/>
      <c r="AX178" s="157"/>
      <c r="AY178" s="157"/>
      <c r="AZ178" s="157"/>
      <c r="BA178" s="157"/>
      <c r="BB178" s="157"/>
      <c r="BC178" s="157"/>
    </row>
    <row r="179" spans="1:55" x14ac:dyDescent="0.3">
      <c r="A179" s="114">
        <f t="shared" si="4"/>
        <v>176</v>
      </c>
      <c r="B179" s="179" t="s">
        <v>1619</v>
      </c>
      <c r="C179" s="114">
        <v>0</v>
      </c>
      <c r="D179" s="114" t="s">
        <v>991</v>
      </c>
      <c r="E179" s="114" t="s">
        <v>980</v>
      </c>
      <c r="F179" s="114" t="s">
        <v>909</v>
      </c>
      <c r="G179" s="114"/>
      <c r="H179" s="114"/>
      <c r="I179" s="114"/>
      <c r="J179" s="114"/>
      <c r="K179" s="114"/>
      <c r="L179" s="114"/>
      <c r="M179" s="114"/>
      <c r="N179" s="114">
        <v>3</v>
      </c>
      <c r="O179" s="180">
        <v>0</v>
      </c>
      <c r="P179" s="180">
        <v>12000</v>
      </c>
      <c r="Q179" s="180">
        <v>0</v>
      </c>
      <c r="R179" s="180"/>
      <c r="S179" s="180" t="s">
        <v>1620</v>
      </c>
      <c r="T179" s="181" t="s">
        <v>1621</v>
      </c>
      <c r="U179" s="179" t="s">
        <v>1622</v>
      </c>
      <c r="V179" s="179" t="s">
        <v>1622</v>
      </c>
      <c r="W179" s="114" t="s">
        <v>1623</v>
      </c>
      <c r="X179" s="179">
        <v>16</v>
      </c>
      <c r="Y179" s="182" t="s">
        <v>1555</v>
      </c>
      <c r="Z179" s="183"/>
      <c r="AA179" s="184"/>
      <c r="AB179" s="182"/>
      <c r="AC179" s="114">
        <v>2</v>
      </c>
      <c r="AD179" s="172" t="s">
        <v>887</v>
      </c>
      <c r="AE179" s="114"/>
      <c r="AF179" s="114"/>
      <c r="AG179" s="114"/>
      <c r="AH179" s="106"/>
      <c r="AI179" s="114"/>
      <c r="AJ179" s="106"/>
      <c r="AK179" s="114"/>
      <c r="AL179" s="106"/>
      <c r="AM179" s="114"/>
      <c r="AN179" s="106"/>
      <c r="AO179" s="114"/>
      <c r="AP179" s="106"/>
      <c r="AQ179" s="114"/>
      <c r="AR179" s="106"/>
      <c r="AS179" s="114"/>
      <c r="AT179" s="106"/>
      <c r="AU179" s="114"/>
      <c r="AV179" s="106"/>
      <c r="AW179" s="114"/>
      <c r="AX179" s="157"/>
      <c r="AY179" s="157"/>
      <c r="AZ179" s="157"/>
      <c r="BA179" s="157"/>
      <c r="BB179" s="157"/>
      <c r="BC179" s="157"/>
    </row>
    <row r="180" spans="1:55" x14ac:dyDescent="0.3">
      <c r="A180" s="114">
        <f t="shared" si="4"/>
        <v>177</v>
      </c>
      <c r="B180" s="179" t="s">
        <v>1624</v>
      </c>
      <c r="C180" s="114">
        <v>0</v>
      </c>
      <c r="D180" s="114" t="s">
        <v>991</v>
      </c>
      <c r="E180" s="114" t="s">
        <v>980</v>
      </c>
      <c r="F180" s="114" t="s">
        <v>909</v>
      </c>
      <c r="G180" s="114"/>
      <c r="H180" s="114"/>
      <c r="I180" s="114"/>
      <c r="J180" s="114"/>
      <c r="K180" s="114"/>
      <c r="L180" s="114"/>
      <c r="M180" s="114"/>
      <c r="N180" s="114">
        <v>9</v>
      </c>
      <c r="O180" s="180">
        <v>1</v>
      </c>
      <c r="P180" s="180">
        <v>300</v>
      </c>
      <c r="Q180" s="180">
        <v>1</v>
      </c>
      <c r="R180" s="180"/>
      <c r="S180" s="180" t="s">
        <v>1044</v>
      </c>
      <c r="T180" s="111" t="s">
        <v>436</v>
      </c>
      <c r="U180" s="113" t="s">
        <v>1625</v>
      </c>
      <c r="V180" s="179" t="s">
        <v>1626</v>
      </c>
      <c r="W180" s="114" t="s">
        <v>1627</v>
      </c>
      <c r="X180" s="180">
        <v>16</v>
      </c>
      <c r="Y180" s="182" t="s">
        <v>1503</v>
      </c>
      <c r="Z180" s="183"/>
      <c r="AA180" s="184"/>
      <c r="AB180" s="182"/>
      <c r="AC180" s="114">
        <v>3</v>
      </c>
      <c r="AD180" s="172" t="s">
        <v>887</v>
      </c>
      <c r="AE180" s="114"/>
      <c r="AF180" s="114"/>
      <c r="AG180" s="114"/>
      <c r="AH180" s="106"/>
      <c r="AI180" s="114"/>
      <c r="AJ180" s="106"/>
      <c r="AK180" s="114"/>
      <c r="AL180" s="106"/>
      <c r="AM180" s="114"/>
      <c r="AN180" s="106"/>
      <c r="AO180" s="114"/>
      <c r="AP180" s="106"/>
      <c r="AQ180" s="114"/>
      <c r="AR180" s="106"/>
      <c r="AS180" s="114"/>
      <c r="AT180" s="106"/>
      <c r="AU180" s="114"/>
      <c r="AV180" s="106"/>
      <c r="AW180" s="114"/>
      <c r="AX180" s="157"/>
      <c r="AY180" s="157"/>
      <c r="AZ180" s="157"/>
      <c r="BA180" s="157"/>
      <c r="BB180" s="157"/>
      <c r="BC180" s="157"/>
    </row>
    <row r="181" spans="1:55" x14ac:dyDescent="0.3">
      <c r="A181" s="114">
        <f t="shared" si="4"/>
        <v>178</v>
      </c>
      <c r="B181" s="179" t="s">
        <v>1628</v>
      </c>
      <c r="C181" s="114">
        <v>0</v>
      </c>
      <c r="D181" s="114" t="s">
        <v>991</v>
      </c>
      <c r="E181" s="114" t="s">
        <v>980</v>
      </c>
      <c r="F181" s="114" t="s">
        <v>909</v>
      </c>
      <c r="G181" s="114"/>
      <c r="H181" s="114"/>
      <c r="I181" s="114"/>
      <c r="J181" s="114"/>
      <c r="K181" s="114"/>
      <c r="L181" s="114"/>
      <c r="M181" s="114"/>
      <c r="N181" s="114">
        <v>9</v>
      </c>
      <c r="O181" s="180">
        <v>2</v>
      </c>
      <c r="P181" s="180">
        <v>2000</v>
      </c>
      <c r="Q181" s="180">
        <v>2000</v>
      </c>
      <c r="R181" s="180"/>
      <c r="S181" s="180" t="s">
        <v>1047</v>
      </c>
      <c r="T181" s="111" t="s">
        <v>1629</v>
      </c>
      <c r="U181" s="113" t="s">
        <v>1630</v>
      </c>
      <c r="V181" s="179" t="s">
        <v>1631</v>
      </c>
      <c r="W181" s="114" t="s">
        <v>1632</v>
      </c>
      <c r="X181" s="180">
        <v>16</v>
      </c>
      <c r="Y181" s="182" t="s">
        <v>1503</v>
      </c>
      <c r="Z181" s="183"/>
      <c r="AA181" s="184"/>
      <c r="AB181" s="182"/>
      <c r="AC181" s="114">
        <v>3</v>
      </c>
      <c r="AD181" s="172" t="s">
        <v>887</v>
      </c>
      <c r="AE181" s="114"/>
      <c r="AF181" s="114"/>
      <c r="AG181" s="114"/>
      <c r="AH181" s="106"/>
      <c r="AI181" s="114"/>
      <c r="AJ181" s="106"/>
      <c r="AK181" s="114"/>
      <c r="AL181" s="106"/>
      <c r="AM181" s="114"/>
      <c r="AN181" s="106"/>
      <c r="AO181" s="114"/>
      <c r="AP181" s="106"/>
      <c r="AQ181" s="114"/>
      <c r="AR181" s="106"/>
      <c r="AS181" s="114"/>
      <c r="AT181" s="106"/>
      <c r="AU181" s="114"/>
      <c r="AV181" s="106"/>
      <c r="AW181" s="114"/>
      <c r="AX181" s="157"/>
      <c r="AY181" s="157"/>
      <c r="AZ181" s="157"/>
      <c r="BA181" s="157"/>
      <c r="BB181" s="157"/>
      <c r="BC181" s="157"/>
    </row>
    <row r="182" spans="1:55" x14ac:dyDescent="0.3">
      <c r="A182" s="114">
        <f t="shared" si="4"/>
        <v>179</v>
      </c>
      <c r="B182" s="179" t="s">
        <v>1633</v>
      </c>
      <c r="C182" s="114">
        <v>0</v>
      </c>
      <c r="D182" s="114" t="s">
        <v>991</v>
      </c>
      <c r="E182" s="114" t="s">
        <v>966</v>
      </c>
      <c r="F182" s="114" t="s">
        <v>909</v>
      </c>
      <c r="G182" s="114"/>
      <c r="H182" s="114" t="s">
        <v>869</v>
      </c>
      <c r="I182" s="114"/>
      <c r="J182" s="114"/>
      <c r="K182" s="114"/>
      <c r="L182" s="114"/>
      <c r="M182" s="114"/>
      <c r="N182" s="114">
        <v>3</v>
      </c>
      <c r="O182" s="180">
        <v>0</v>
      </c>
      <c r="P182" s="180">
        <v>160000</v>
      </c>
      <c r="Q182" s="180">
        <v>0</v>
      </c>
      <c r="R182" s="180"/>
      <c r="S182" s="180"/>
      <c r="T182" s="181" t="s">
        <v>1634</v>
      </c>
      <c r="U182" s="179" t="s">
        <v>1635</v>
      </c>
      <c r="V182" s="179" t="s">
        <v>1636</v>
      </c>
      <c r="W182" s="114" t="s">
        <v>1637</v>
      </c>
      <c r="X182" s="180">
        <v>32</v>
      </c>
      <c r="Y182" s="182" t="s">
        <v>913</v>
      </c>
      <c r="Z182" s="183"/>
      <c r="AA182" s="184"/>
      <c r="AB182" s="182"/>
      <c r="AC182" s="114">
        <v>2</v>
      </c>
      <c r="AD182" s="172" t="s">
        <v>887</v>
      </c>
      <c r="AE182" s="114"/>
      <c r="AF182" s="114"/>
      <c r="AG182" s="114"/>
      <c r="AH182" s="106"/>
      <c r="AI182" s="114"/>
      <c r="AJ182" s="106" t="s">
        <v>915</v>
      </c>
      <c r="AK182" s="114"/>
      <c r="AL182" s="106"/>
      <c r="AM182" s="114"/>
      <c r="AN182" s="106"/>
      <c r="AO182" s="114"/>
      <c r="AP182" s="106"/>
      <c r="AQ182" s="114"/>
      <c r="AR182" s="106"/>
      <c r="AS182" s="114"/>
      <c r="AT182" s="106"/>
      <c r="AU182" s="114"/>
      <c r="AV182" s="106"/>
      <c r="AW182" s="114"/>
      <c r="AX182" s="157"/>
      <c r="AY182" s="157"/>
      <c r="AZ182" s="157"/>
      <c r="BA182" s="157"/>
      <c r="BB182" s="157"/>
      <c r="BC182" s="157"/>
    </row>
    <row r="183" spans="1:55" x14ac:dyDescent="0.3">
      <c r="A183" s="114">
        <f t="shared" si="4"/>
        <v>180</v>
      </c>
      <c r="B183" s="179" t="s">
        <v>1638</v>
      </c>
      <c r="C183" s="114">
        <v>0</v>
      </c>
      <c r="D183" s="114" t="s">
        <v>991</v>
      </c>
      <c r="E183" s="114" t="s">
        <v>980</v>
      </c>
      <c r="F183" s="114" t="s">
        <v>909</v>
      </c>
      <c r="G183" s="114"/>
      <c r="H183" s="114"/>
      <c r="I183" s="114"/>
      <c r="J183" s="114"/>
      <c r="K183" s="114"/>
      <c r="L183" s="114"/>
      <c r="M183" s="114"/>
      <c r="N183" s="114">
        <v>3</v>
      </c>
      <c r="O183" s="180">
        <v>0</v>
      </c>
      <c r="P183" s="180">
        <v>800</v>
      </c>
      <c r="Q183" s="180">
        <v>0</v>
      </c>
      <c r="R183" s="180"/>
      <c r="S183" s="180" t="s">
        <v>1047</v>
      </c>
      <c r="T183" s="181" t="s">
        <v>1639</v>
      </c>
      <c r="U183" s="179" t="s">
        <v>1640</v>
      </c>
      <c r="V183" s="179" t="s">
        <v>1641</v>
      </c>
      <c r="W183" s="114" t="s">
        <v>1642</v>
      </c>
      <c r="X183" s="180">
        <v>16</v>
      </c>
      <c r="Y183" s="182" t="s">
        <v>913</v>
      </c>
      <c r="Z183" s="183" t="s">
        <v>1643</v>
      </c>
      <c r="AA183" s="184"/>
      <c r="AB183" s="179"/>
      <c r="AC183" s="114">
        <v>2</v>
      </c>
      <c r="AD183" s="172" t="s">
        <v>887</v>
      </c>
      <c r="AE183" s="114"/>
      <c r="AF183" s="114"/>
      <c r="AG183" s="114"/>
      <c r="AH183" s="106"/>
      <c r="AI183" s="114"/>
      <c r="AJ183" s="106"/>
      <c r="AK183" s="114"/>
      <c r="AL183" s="106"/>
      <c r="AM183" s="114"/>
      <c r="AN183" s="106"/>
      <c r="AO183" s="114"/>
      <c r="AP183" s="106"/>
      <c r="AQ183" s="114"/>
      <c r="AR183" s="106"/>
      <c r="AS183" s="114"/>
      <c r="AT183" s="106"/>
      <c r="AU183" s="114"/>
      <c r="AV183" s="106"/>
      <c r="AW183" s="114"/>
      <c r="AX183" s="157"/>
      <c r="AY183" s="157"/>
      <c r="AZ183" s="157"/>
      <c r="BA183" s="157"/>
      <c r="BB183" s="157"/>
      <c r="BC183" s="157"/>
    </row>
    <row r="184" spans="1:55" x14ac:dyDescent="0.3">
      <c r="A184" s="114">
        <f t="shared" si="4"/>
        <v>181</v>
      </c>
      <c r="B184" s="179" t="s">
        <v>1644</v>
      </c>
      <c r="C184" s="114">
        <v>0</v>
      </c>
      <c r="D184" s="114" t="s">
        <v>991</v>
      </c>
      <c r="E184" s="114" t="s">
        <v>980</v>
      </c>
      <c r="F184" s="114" t="s">
        <v>909</v>
      </c>
      <c r="G184" s="114"/>
      <c r="H184" s="114"/>
      <c r="I184" s="114"/>
      <c r="J184" s="114" t="s">
        <v>871</v>
      </c>
      <c r="K184" s="114"/>
      <c r="L184" s="114"/>
      <c r="M184" s="114"/>
      <c r="N184" s="114">
        <v>3</v>
      </c>
      <c r="O184" s="180">
        <v>-10000</v>
      </c>
      <c r="P184" s="180">
        <v>10000</v>
      </c>
      <c r="Q184" s="180">
        <v>0</v>
      </c>
      <c r="R184" s="180"/>
      <c r="S184" s="180" t="s">
        <v>1620</v>
      </c>
      <c r="T184" s="181" t="s">
        <v>1645</v>
      </c>
      <c r="U184" s="179" t="s">
        <v>1646</v>
      </c>
      <c r="V184" s="179" t="s">
        <v>1647</v>
      </c>
      <c r="W184" s="114" t="s">
        <v>1648</v>
      </c>
      <c r="X184" s="180">
        <v>16</v>
      </c>
      <c r="Y184" s="182" t="s">
        <v>913</v>
      </c>
      <c r="Z184" s="183"/>
      <c r="AA184" s="184"/>
      <c r="AB184" s="182"/>
      <c r="AC184" s="114">
        <v>2</v>
      </c>
      <c r="AD184" s="172" t="s">
        <v>887</v>
      </c>
      <c r="AE184" s="114"/>
      <c r="AF184" s="114"/>
      <c r="AG184" s="114"/>
      <c r="AH184" s="106"/>
      <c r="AI184" s="114"/>
      <c r="AJ184" s="106"/>
      <c r="AK184" s="114"/>
      <c r="AL184" s="106"/>
      <c r="AM184" s="114"/>
      <c r="AN184" s="106"/>
      <c r="AO184" s="114"/>
      <c r="AP184" s="106"/>
      <c r="AQ184" s="114"/>
      <c r="AR184" s="106"/>
      <c r="AS184" s="114"/>
      <c r="AT184" s="106"/>
      <c r="AU184" s="114"/>
      <c r="AV184" s="106"/>
      <c r="AW184" s="114"/>
      <c r="AX184" s="157"/>
      <c r="AY184" s="157"/>
      <c r="AZ184" s="157"/>
      <c r="BA184" s="157"/>
      <c r="BB184" s="157"/>
      <c r="BC184" s="157"/>
    </row>
    <row r="185" spans="1:55" x14ac:dyDescent="0.3">
      <c r="A185" s="114">
        <f t="shared" si="4"/>
        <v>182</v>
      </c>
      <c r="B185" s="179" t="s">
        <v>1649</v>
      </c>
      <c r="C185" s="114">
        <v>0</v>
      </c>
      <c r="D185" s="114" t="s">
        <v>991</v>
      </c>
      <c r="E185" s="114" t="s">
        <v>980</v>
      </c>
      <c r="F185" s="114" t="s">
        <v>909</v>
      </c>
      <c r="G185" s="114"/>
      <c r="H185" s="114"/>
      <c r="I185" s="114"/>
      <c r="J185" s="114" t="s">
        <v>871</v>
      </c>
      <c r="K185" s="114"/>
      <c r="L185" s="114"/>
      <c r="M185" s="114"/>
      <c r="N185" s="114">
        <v>3</v>
      </c>
      <c r="O185" s="180">
        <v>-10000</v>
      </c>
      <c r="P185" s="180">
        <v>10000</v>
      </c>
      <c r="Q185" s="180">
        <v>0</v>
      </c>
      <c r="R185" s="180"/>
      <c r="S185" s="180" t="s">
        <v>1620</v>
      </c>
      <c r="T185" s="181" t="s">
        <v>1650</v>
      </c>
      <c r="U185" s="179" t="s">
        <v>1651</v>
      </c>
      <c r="V185" s="179" t="s">
        <v>1652</v>
      </c>
      <c r="W185" s="114" t="s">
        <v>1653</v>
      </c>
      <c r="X185" s="180">
        <v>16</v>
      </c>
      <c r="Y185" s="182" t="s">
        <v>913</v>
      </c>
      <c r="Z185" s="183"/>
      <c r="AA185" s="184"/>
      <c r="AB185" s="182"/>
      <c r="AC185" s="114">
        <v>2</v>
      </c>
      <c r="AD185" s="172" t="s">
        <v>887</v>
      </c>
      <c r="AE185" s="114"/>
      <c r="AF185" s="114"/>
      <c r="AG185" s="114"/>
      <c r="AH185" s="106"/>
      <c r="AI185" s="114"/>
      <c r="AJ185" s="106"/>
      <c r="AK185" s="114"/>
      <c r="AL185" s="106"/>
      <c r="AM185" s="114"/>
      <c r="AN185" s="106"/>
      <c r="AO185" s="114"/>
      <c r="AP185" s="106"/>
      <c r="AQ185" s="114"/>
      <c r="AR185" s="106"/>
      <c r="AS185" s="114"/>
      <c r="AT185" s="106"/>
      <c r="AU185" s="114"/>
      <c r="AV185" s="106"/>
      <c r="AW185" s="114"/>
      <c r="AX185" s="157"/>
      <c r="AY185" s="157"/>
      <c r="AZ185" s="157"/>
      <c r="BA185" s="157"/>
      <c r="BB185" s="157"/>
      <c r="BC185" s="157"/>
    </row>
    <row r="186" spans="1:55" ht="26.4" x14ac:dyDescent="0.3">
      <c r="A186" s="114">
        <f t="shared" si="4"/>
        <v>183</v>
      </c>
      <c r="B186" s="179" t="s">
        <v>1654</v>
      </c>
      <c r="C186" s="114">
        <v>0</v>
      </c>
      <c r="D186" s="114" t="s">
        <v>991</v>
      </c>
      <c r="E186" s="122" t="s">
        <v>944</v>
      </c>
      <c r="F186" s="114" t="s">
        <v>909</v>
      </c>
      <c r="G186" s="114"/>
      <c r="H186" s="114"/>
      <c r="I186" s="114"/>
      <c r="J186" s="114"/>
      <c r="K186" s="114"/>
      <c r="L186" s="114"/>
      <c r="M186" s="114"/>
      <c r="N186" s="114">
        <v>9</v>
      </c>
      <c r="O186" s="107" t="s">
        <v>1181</v>
      </c>
      <c r="P186" s="107" t="s">
        <v>1655</v>
      </c>
      <c r="Q186" s="107" t="s">
        <v>1181</v>
      </c>
      <c r="R186" s="180"/>
      <c r="S186" s="180"/>
      <c r="T186" s="111" t="s">
        <v>440</v>
      </c>
      <c r="U186" s="113" t="s">
        <v>1656</v>
      </c>
      <c r="V186" s="179" t="s">
        <v>1657</v>
      </c>
      <c r="W186" s="114" t="s">
        <v>1658</v>
      </c>
      <c r="X186" s="180">
        <v>16</v>
      </c>
      <c r="Y186" s="182" t="s">
        <v>913</v>
      </c>
      <c r="Z186" s="183" t="s">
        <v>1659</v>
      </c>
      <c r="AA186" s="184"/>
      <c r="AB186" s="182"/>
      <c r="AC186" s="114">
        <v>3</v>
      </c>
      <c r="AD186" s="172" t="s">
        <v>887</v>
      </c>
      <c r="AE186" s="114"/>
      <c r="AF186" s="114"/>
      <c r="AG186" s="114"/>
      <c r="AH186" s="106"/>
      <c r="AI186" s="114"/>
      <c r="AJ186" s="106"/>
      <c r="AK186" s="114"/>
      <c r="AL186" s="106"/>
      <c r="AM186" s="114"/>
      <c r="AN186" s="106"/>
      <c r="AO186" s="114"/>
      <c r="AP186" s="106"/>
      <c r="AQ186" s="114"/>
      <c r="AR186" s="106"/>
      <c r="AS186" s="114"/>
      <c r="AT186" s="106"/>
      <c r="AU186" s="114"/>
      <c r="AV186" s="106" t="s">
        <v>915</v>
      </c>
      <c r="AW186" s="114"/>
      <c r="AX186" s="157"/>
      <c r="AY186" s="157"/>
      <c r="AZ186" s="157"/>
      <c r="BA186" s="157"/>
      <c r="BB186" s="157"/>
      <c r="BC186" s="157"/>
    </row>
    <row r="187" spans="1:55" x14ac:dyDescent="0.3">
      <c r="A187" s="114">
        <f t="shared" si="4"/>
        <v>184</v>
      </c>
      <c r="B187" s="179" t="s">
        <v>1660</v>
      </c>
      <c r="C187" s="114">
        <v>0</v>
      </c>
      <c r="D187" s="114" t="s">
        <v>991</v>
      </c>
      <c r="E187" s="114" t="s">
        <v>966</v>
      </c>
      <c r="F187" s="114" t="s">
        <v>909</v>
      </c>
      <c r="G187" s="114"/>
      <c r="H187" s="114"/>
      <c r="I187" s="114"/>
      <c r="J187" s="114"/>
      <c r="K187" s="114"/>
      <c r="L187" s="114"/>
      <c r="M187" s="114"/>
      <c r="N187" s="114">
        <v>9</v>
      </c>
      <c r="O187" s="180">
        <v>0</v>
      </c>
      <c r="P187" s="180">
        <v>100000000</v>
      </c>
      <c r="Q187" s="180">
        <v>0</v>
      </c>
      <c r="R187" s="180"/>
      <c r="S187" s="180"/>
      <c r="T187" s="181" t="s">
        <v>442</v>
      </c>
      <c r="U187" s="111" t="s">
        <v>1661</v>
      </c>
      <c r="V187" s="179" t="s">
        <v>1662</v>
      </c>
      <c r="W187" s="114" t="s">
        <v>1663</v>
      </c>
      <c r="X187" s="180">
        <v>32</v>
      </c>
      <c r="Y187" s="182" t="s">
        <v>913</v>
      </c>
      <c r="Z187" s="183"/>
      <c r="AA187" s="184"/>
      <c r="AB187" s="182"/>
      <c r="AC187" s="114">
        <v>3</v>
      </c>
      <c r="AD187" s="172" t="s">
        <v>887</v>
      </c>
      <c r="AE187" s="114"/>
      <c r="AF187" s="114"/>
      <c r="AG187" s="114"/>
      <c r="AH187" s="106"/>
      <c r="AI187" s="114"/>
      <c r="AJ187" s="106"/>
      <c r="AK187" s="114"/>
      <c r="AL187" s="106"/>
      <c r="AM187" s="114"/>
      <c r="AN187" s="106"/>
      <c r="AO187" s="114"/>
      <c r="AP187" s="106"/>
      <c r="AQ187" s="114"/>
      <c r="AR187" s="106"/>
      <c r="AS187" s="114"/>
      <c r="AT187" s="106"/>
      <c r="AU187" s="114"/>
      <c r="AV187" s="106" t="s">
        <v>915</v>
      </c>
      <c r="AW187" s="114"/>
      <c r="AX187" s="157"/>
      <c r="AY187" s="157"/>
      <c r="AZ187" s="157"/>
      <c r="BA187" s="157"/>
      <c r="BB187" s="157"/>
      <c r="BC187" s="157"/>
    </row>
    <row r="188" spans="1:55" ht="26.4" x14ac:dyDescent="0.3">
      <c r="A188" s="114">
        <f t="shared" si="4"/>
        <v>185</v>
      </c>
      <c r="B188" s="179" t="s">
        <v>1664</v>
      </c>
      <c r="C188" s="114">
        <v>0</v>
      </c>
      <c r="D188" s="114" t="s">
        <v>991</v>
      </c>
      <c r="E188" s="114" t="s">
        <v>980</v>
      </c>
      <c r="F188" s="114" t="s">
        <v>909</v>
      </c>
      <c r="G188" s="114"/>
      <c r="H188" s="114"/>
      <c r="I188" s="114"/>
      <c r="J188" s="114"/>
      <c r="K188" s="114"/>
      <c r="L188" s="114"/>
      <c r="M188" s="114"/>
      <c r="N188" s="114">
        <v>5</v>
      </c>
      <c r="O188" s="180">
        <v>0</v>
      </c>
      <c r="P188" s="180">
        <v>2047</v>
      </c>
      <c r="Q188" s="180">
        <v>36</v>
      </c>
      <c r="R188" s="180"/>
      <c r="S188" s="180" t="s">
        <v>1665</v>
      </c>
      <c r="T188" s="181" t="s">
        <v>1666</v>
      </c>
      <c r="U188" s="179" t="s">
        <v>1667</v>
      </c>
      <c r="V188" s="179" t="s">
        <v>1668</v>
      </c>
      <c r="W188" s="114" t="s">
        <v>1669</v>
      </c>
      <c r="X188" s="179">
        <v>16</v>
      </c>
      <c r="Y188" s="182" t="s">
        <v>1318</v>
      </c>
      <c r="Z188" s="183" t="s">
        <v>1670</v>
      </c>
      <c r="AA188" s="184"/>
      <c r="AB188" s="182"/>
      <c r="AC188" s="114">
        <v>1</v>
      </c>
      <c r="AD188" s="172" t="s">
        <v>887</v>
      </c>
      <c r="AE188" s="114"/>
      <c r="AF188" s="114"/>
      <c r="AG188" s="114"/>
      <c r="AH188" s="106"/>
      <c r="AI188" s="114"/>
      <c r="AJ188" s="106"/>
      <c r="AK188" s="114"/>
      <c r="AL188" s="106"/>
      <c r="AM188" s="114"/>
      <c r="AN188" s="106" t="s">
        <v>915</v>
      </c>
      <c r="AO188" s="114"/>
      <c r="AP188" s="106"/>
      <c r="AQ188" s="114" t="s">
        <v>915</v>
      </c>
      <c r="AR188" s="106"/>
      <c r="AS188" s="114"/>
      <c r="AT188" s="106"/>
      <c r="AU188" s="114"/>
      <c r="AV188" s="106"/>
      <c r="AW188" s="114"/>
      <c r="AX188" s="157"/>
      <c r="AY188" s="157"/>
      <c r="AZ188" s="157"/>
      <c r="BA188" s="157"/>
      <c r="BB188" s="157"/>
      <c r="BC188" s="157"/>
    </row>
    <row r="189" spans="1:55" x14ac:dyDescent="0.3">
      <c r="A189" s="114">
        <f t="shared" si="4"/>
        <v>186</v>
      </c>
      <c r="B189" s="179" t="s">
        <v>1671</v>
      </c>
      <c r="C189" s="114">
        <v>0</v>
      </c>
      <c r="D189" s="114" t="s">
        <v>991</v>
      </c>
      <c r="E189" s="114" t="s">
        <v>980</v>
      </c>
      <c r="F189" s="114" t="s">
        <v>909</v>
      </c>
      <c r="G189" s="114"/>
      <c r="H189" s="114"/>
      <c r="I189" s="114"/>
      <c r="J189" s="114"/>
      <c r="K189" s="114"/>
      <c r="L189" s="114"/>
      <c r="M189" s="114"/>
      <c r="N189" s="114">
        <v>5</v>
      </c>
      <c r="O189" s="180">
        <v>10</v>
      </c>
      <c r="P189" s="180">
        <v>500</v>
      </c>
      <c r="Q189" s="180">
        <v>100</v>
      </c>
      <c r="R189" s="180"/>
      <c r="S189" s="180" t="s">
        <v>1044</v>
      </c>
      <c r="T189" s="181" t="s">
        <v>1672</v>
      </c>
      <c r="U189" s="179" t="s">
        <v>1673</v>
      </c>
      <c r="V189" s="179" t="s">
        <v>1674</v>
      </c>
      <c r="W189" s="114" t="s">
        <v>1675</v>
      </c>
      <c r="X189" s="179">
        <v>16</v>
      </c>
      <c r="Y189" s="182" t="s">
        <v>1318</v>
      </c>
      <c r="Z189" s="183"/>
      <c r="AA189" s="184"/>
      <c r="AB189" s="182"/>
      <c r="AC189" s="114">
        <v>1</v>
      </c>
      <c r="AD189" s="172" t="s">
        <v>887</v>
      </c>
      <c r="AE189" s="114"/>
      <c r="AF189" s="114"/>
      <c r="AG189" s="114"/>
      <c r="AH189" s="106"/>
      <c r="AI189" s="114"/>
      <c r="AJ189" s="106"/>
      <c r="AK189" s="114"/>
      <c r="AL189" s="106"/>
      <c r="AM189" s="114"/>
      <c r="AN189" s="106"/>
      <c r="AO189" s="114"/>
      <c r="AP189" s="106"/>
      <c r="AQ189" s="114"/>
      <c r="AR189" s="106"/>
      <c r="AS189" s="114"/>
      <c r="AT189" s="106"/>
      <c r="AU189" s="114"/>
      <c r="AV189" s="106"/>
      <c r="AW189" s="114"/>
      <c r="AX189" s="157"/>
      <c r="AY189" s="157"/>
      <c r="AZ189" s="157"/>
      <c r="BA189" s="157"/>
      <c r="BB189" s="157"/>
      <c r="BC189" s="157"/>
    </row>
    <row r="190" spans="1:55" x14ac:dyDescent="0.3">
      <c r="A190" s="114">
        <f t="shared" si="4"/>
        <v>187</v>
      </c>
      <c r="B190" s="179" t="s">
        <v>1676</v>
      </c>
      <c r="C190" s="114">
        <v>0</v>
      </c>
      <c r="D190" s="114" t="s">
        <v>991</v>
      </c>
      <c r="E190" s="114" t="s">
        <v>980</v>
      </c>
      <c r="F190" s="114" t="s">
        <v>909</v>
      </c>
      <c r="G190" s="114"/>
      <c r="H190" s="114"/>
      <c r="I190" s="114"/>
      <c r="J190" s="114"/>
      <c r="K190" s="114"/>
      <c r="L190" s="114"/>
      <c r="M190" s="114"/>
      <c r="N190" s="114">
        <v>5</v>
      </c>
      <c r="O190" s="180">
        <v>0</v>
      </c>
      <c r="P190" s="180">
        <v>100</v>
      </c>
      <c r="Q190" s="180">
        <v>50</v>
      </c>
      <c r="R190" s="180"/>
      <c r="S190" s="180" t="s">
        <v>1044</v>
      </c>
      <c r="T190" s="181" t="s">
        <v>1677</v>
      </c>
      <c r="U190" s="179" t="s">
        <v>1678</v>
      </c>
      <c r="V190" s="179" t="s">
        <v>1679</v>
      </c>
      <c r="W190" s="114" t="s">
        <v>1680</v>
      </c>
      <c r="X190" s="179">
        <v>16</v>
      </c>
      <c r="Y190" s="182" t="s">
        <v>1318</v>
      </c>
      <c r="Z190" s="183"/>
      <c r="AA190" s="184"/>
      <c r="AB190" s="182"/>
      <c r="AC190" s="114">
        <v>1</v>
      </c>
      <c r="AD190" s="172" t="s">
        <v>887</v>
      </c>
      <c r="AE190" s="114"/>
      <c r="AF190" s="114"/>
      <c r="AG190" s="114"/>
      <c r="AH190" s="106"/>
      <c r="AI190" s="114"/>
      <c r="AJ190" s="106"/>
      <c r="AK190" s="114"/>
      <c r="AL190" s="106"/>
      <c r="AM190" s="114"/>
      <c r="AN190" s="106" t="s">
        <v>915</v>
      </c>
      <c r="AO190" s="114"/>
      <c r="AP190" s="106"/>
      <c r="AQ190" s="114"/>
      <c r="AR190" s="106"/>
      <c r="AS190" s="114"/>
      <c r="AT190" s="106"/>
      <c r="AU190" s="114"/>
      <c r="AV190" s="106"/>
      <c r="AW190" s="114"/>
      <c r="AX190" s="157"/>
      <c r="AY190" s="157"/>
      <c r="AZ190" s="157"/>
      <c r="BA190" s="157"/>
      <c r="BB190" s="157"/>
      <c r="BC190" s="157"/>
    </row>
    <row r="191" spans="1:55" x14ac:dyDescent="0.3">
      <c r="A191" s="114">
        <f t="shared" si="4"/>
        <v>188</v>
      </c>
      <c r="B191" s="179" t="s">
        <v>1681</v>
      </c>
      <c r="C191" s="114">
        <v>0</v>
      </c>
      <c r="D191" s="114" t="s">
        <v>991</v>
      </c>
      <c r="E191" s="114" t="s">
        <v>980</v>
      </c>
      <c r="F191" s="114" t="s">
        <v>909</v>
      </c>
      <c r="G191" s="114"/>
      <c r="H191" s="114"/>
      <c r="I191" s="114"/>
      <c r="J191" s="114"/>
      <c r="K191" s="114"/>
      <c r="L191" s="114"/>
      <c r="M191" s="114"/>
      <c r="N191" s="114">
        <v>5</v>
      </c>
      <c r="O191" s="180">
        <v>2</v>
      </c>
      <c r="P191" s="180">
        <v>100</v>
      </c>
      <c r="Q191" s="180">
        <v>5</v>
      </c>
      <c r="R191" s="180"/>
      <c r="S191" s="180" t="s">
        <v>1047</v>
      </c>
      <c r="T191" s="181" t="s">
        <v>1682</v>
      </c>
      <c r="U191" s="179" t="s">
        <v>1683</v>
      </c>
      <c r="V191" s="179" t="s">
        <v>1684</v>
      </c>
      <c r="W191" s="114" t="s">
        <v>1685</v>
      </c>
      <c r="X191" s="179">
        <v>16</v>
      </c>
      <c r="Y191" s="182" t="s">
        <v>1318</v>
      </c>
      <c r="Z191" s="183"/>
      <c r="AA191" s="184"/>
      <c r="AB191" s="182"/>
      <c r="AC191" s="114">
        <v>1</v>
      </c>
      <c r="AD191" s="172" t="s">
        <v>887</v>
      </c>
      <c r="AE191" s="114"/>
      <c r="AF191" s="114"/>
      <c r="AG191" s="114"/>
      <c r="AH191" s="106"/>
      <c r="AI191" s="114"/>
      <c r="AJ191" s="106"/>
      <c r="AK191" s="114"/>
      <c r="AL191" s="106"/>
      <c r="AM191" s="114"/>
      <c r="AN191" s="106" t="s">
        <v>915</v>
      </c>
      <c r="AO191" s="114"/>
      <c r="AP191" s="106"/>
      <c r="AQ191" s="114"/>
      <c r="AR191" s="106"/>
      <c r="AS191" s="114"/>
      <c r="AT191" s="106"/>
      <c r="AU191" s="114"/>
      <c r="AV191" s="106"/>
      <c r="AW191" s="114"/>
      <c r="AX191" s="157"/>
      <c r="AY191" s="157"/>
      <c r="AZ191" s="157"/>
      <c r="BA191" s="157"/>
      <c r="BB191" s="157"/>
      <c r="BC191" s="157"/>
    </row>
    <row r="192" spans="1:55" ht="39.6" x14ac:dyDescent="0.3">
      <c r="A192" s="114">
        <f t="shared" si="4"/>
        <v>189</v>
      </c>
      <c r="B192" s="179" t="s">
        <v>1686</v>
      </c>
      <c r="C192" s="114">
        <v>0</v>
      </c>
      <c r="D192" s="114" t="s">
        <v>991</v>
      </c>
      <c r="E192" s="114" t="s">
        <v>980</v>
      </c>
      <c r="F192" s="114" t="s">
        <v>909</v>
      </c>
      <c r="G192" s="114"/>
      <c r="H192" s="114"/>
      <c r="I192" s="114"/>
      <c r="J192" s="114"/>
      <c r="K192" s="114"/>
      <c r="L192" s="114"/>
      <c r="M192" s="114"/>
      <c r="N192" s="114">
        <v>5</v>
      </c>
      <c r="O192" s="180">
        <v>0</v>
      </c>
      <c r="P192" s="180">
        <v>8191</v>
      </c>
      <c r="Q192" s="180">
        <v>144</v>
      </c>
      <c r="R192" s="180"/>
      <c r="S192" s="180" t="s">
        <v>1665</v>
      </c>
      <c r="T192" s="181" t="s">
        <v>1687</v>
      </c>
      <c r="U192" s="179" t="s">
        <v>1688</v>
      </c>
      <c r="V192" s="179" t="s">
        <v>1689</v>
      </c>
      <c r="W192" s="114" t="s">
        <v>1690</v>
      </c>
      <c r="X192" s="179">
        <v>16</v>
      </c>
      <c r="Y192" s="182" t="s">
        <v>913</v>
      </c>
      <c r="Z192" s="183" t="s">
        <v>1691</v>
      </c>
      <c r="AA192" s="184"/>
      <c r="AB192" s="182"/>
      <c r="AC192" s="114">
        <v>1</v>
      </c>
      <c r="AD192" s="172" t="s">
        <v>887</v>
      </c>
      <c r="AE192" s="114"/>
      <c r="AF192" s="114"/>
      <c r="AG192" s="114"/>
      <c r="AH192" s="106"/>
      <c r="AI192" s="114"/>
      <c r="AJ192" s="106"/>
      <c r="AK192" s="114"/>
      <c r="AL192" s="106"/>
      <c r="AM192" s="114"/>
      <c r="AN192" s="106"/>
      <c r="AO192" s="114" t="s">
        <v>915</v>
      </c>
      <c r="AP192" s="106"/>
      <c r="AQ192" s="114" t="s">
        <v>915</v>
      </c>
      <c r="AR192" s="106"/>
      <c r="AS192" s="114"/>
      <c r="AT192" s="106"/>
      <c r="AU192" s="114"/>
      <c r="AV192" s="106"/>
      <c r="AW192" s="114"/>
      <c r="AX192" s="157"/>
      <c r="AY192" s="157"/>
      <c r="AZ192" s="157"/>
      <c r="BA192" s="157"/>
      <c r="BB192" s="157"/>
      <c r="BC192" s="157"/>
    </row>
    <row r="193" spans="1:55" x14ac:dyDescent="0.3">
      <c r="A193" s="114">
        <f t="shared" si="4"/>
        <v>190</v>
      </c>
      <c r="B193" s="179" t="s">
        <v>1692</v>
      </c>
      <c r="C193" s="114">
        <v>0</v>
      </c>
      <c r="D193" s="114" t="s">
        <v>991</v>
      </c>
      <c r="E193" s="114" t="s">
        <v>980</v>
      </c>
      <c r="F193" s="114" t="s">
        <v>909</v>
      </c>
      <c r="G193" s="114"/>
      <c r="H193" s="114"/>
      <c r="I193" s="114"/>
      <c r="J193" s="114"/>
      <c r="K193" s="114"/>
      <c r="L193" s="114"/>
      <c r="M193" s="114"/>
      <c r="N193" s="114">
        <v>5</v>
      </c>
      <c r="O193" s="180">
        <v>10</v>
      </c>
      <c r="P193" s="180">
        <v>500</v>
      </c>
      <c r="Q193" s="180">
        <v>100</v>
      </c>
      <c r="R193" s="180"/>
      <c r="S193" s="180" t="s">
        <v>1044</v>
      </c>
      <c r="T193" s="181" t="s">
        <v>1693</v>
      </c>
      <c r="U193" s="179" t="s">
        <v>1694</v>
      </c>
      <c r="V193" s="179" t="s">
        <v>1695</v>
      </c>
      <c r="W193" s="114" t="s">
        <v>1696</v>
      </c>
      <c r="X193" s="180">
        <v>16</v>
      </c>
      <c r="Y193" s="182" t="s">
        <v>913</v>
      </c>
      <c r="Z193" s="183"/>
      <c r="AA193" s="184"/>
      <c r="AB193" s="182"/>
      <c r="AC193" s="114">
        <v>1</v>
      </c>
      <c r="AD193" s="172" t="s">
        <v>887</v>
      </c>
      <c r="AE193" s="114"/>
      <c r="AF193" s="114"/>
      <c r="AG193" s="114"/>
      <c r="AH193" s="106"/>
      <c r="AI193" s="114"/>
      <c r="AJ193" s="106"/>
      <c r="AK193" s="114"/>
      <c r="AL193" s="106"/>
      <c r="AM193" s="114"/>
      <c r="AN193" s="106"/>
      <c r="AO193" s="114"/>
      <c r="AP193" s="106"/>
      <c r="AQ193" s="114"/>
      <c r="AR193" s="106"/>
      <c r="AS193" s="114"/>
      <c r="AT193" s="106"/>
      <c r="AU193" s="114"/>
      <c r="AV193" s="106"/>
      <c r="AW193" s="114"/>
      <c r="AX193" s="157"/>
      <c r="AY193" s="157"/>
      <c r="AZ193" s="157"/>
      <c r="BA193" s="157"/>
      <c r="BB193" s="157"/>
      <c r="BC193" s="157"/>
    </row>
    <row r="194" spans="1:55" ht="26.4" x14ac:dyDescent="0.3">
      <c r="A194" s="114">
        <f t="shared" si="4"/>
        <v>191</v>
      </c>
      <c r="B194" s="179" t="s">
        <v>1697</v>
      </c>
      <c r="C194" s="114">
        <v>0</v>
      </c>
      <c r="D194" s="114" t="s">
        <v>991</v>
      </c>
      <c r="E194" s="114" t="s">
        <v>980</v>
      </c>
      <c r="F194" s="114" t="s">
        <v>909</v>
      </c>
      <c r="G194" s="114"/>
      <c r="H194" s="114"/>
      <c r="I194" s="114"/>
      <c r="J194" s="114"/>
      <c r="K194" s="114"/>
      <c r="L194" s="114"/>
      <c r="M194" s="114"/>
      <c r="N194" s="114">
        <v>5</v>
      </c>
      <c r="O194" s="180">
        <v>0</v>
      </c>
      <c r="P194" s="180">
        <v>1023</v>
      </c>
      <c r="Q194" s="180">
        <v>23</v>
      </c>
      <c r="R194" s="180"/>
      <c r="S194" s="180" t="s">
        <v>1665</v>
      </c>
      <c r="T194" s="181" t="s">
        <v>1698</v>
      </c>
      <c r="U194" s="179" t="s">
        <v>1699</v>
      </c>
      <c r="V194" s="179" t="s">
        <v>1700</v>
      </c>
      <c r="W194" s="114" t="s">
        <v>1701</v>
      </c>
      <c r="X194" s="180">
        <v>16</v>
      </c>
      <c r="Y194" s="182" t="s">
        <v>913</v>
      </c>
      <c r="Z194" s="183" t="s">
        <v>1702</v>
      </c>
      <c r="AA194" s="184"/>
      <c r="AB194" s="182"/>
      <c r="AC194" s="114">
        <v>1</v>
      </c>
      <c r="AD194" s="172" t="s">
        <v>887</v>
      </c>
      <c r="AE194" s="114"/>
      <c r="AF194" s="114"/>
      <c r="AG194" s="114"/>
      <c r="AH194" s="106"/>
      <c r="AI194" s="114"/>
      <c r="AJ194" s="106"/>
      <c r="AK194" s="114"/>
      <c r="AL194" s="106"/>
      <c r="AM194" s="114"/>
      <c r="AN194" s="106"/>
      <c r="AO194" s="114" t="s">
        <v>915</v>
      </c>
      <c r="AP194" s="106"/>
      <c r="AQ194" s="114" t="s">
        <v>915</v>
      </c>
      <c r="AR194" s="106"/>
      <c r="AS194" s="114"/>
      <c r="AT194" s="106"/>
      <c r="AU194" s="114"/>
      <c r="AV194" s="106"/>
      <c r="AW194" s="114"/>
      <c r="AX194" s="157"/>
      <c r="AY194" s="157"/>
      <c r="AZ194" s="157"/>
      <c r="BA194" s="157"/>
      <c r="BB194" s="157"/>
      <c r="BC194" s="157"/>
    </row>
    <row r="195" spans="1:55" x14ac:dyDescent="0.3">
      <c r="A195" s="114">
        <f t="shared" si="4"/>
        <v>192</v>
      </c>
      <c r="B195" s="179" t="s">
        <v>1703</v>
      </c>
      <c r="C195" s="114">
        <v>0</v>
      </c>
      <c r="D195" s="114" t="s">
        <v>991</v>
      </c>
      <c r="E195" s="114" t="s">
        <v>980</v>
      </c>
      <c r="F195" s="114" t="s">
        <v>909</v>
      </c>
      <c r="G195" s="114"/>
      <c r="H195" s="114"/>
      <c r="I195" s="114"/>
      <c r="J195" s="114"/>
      <c r="K195" s="114"/>
      <c r="L195" s="114"/>
      <c r="M195" s="114"/>
      <c r="N195" s="114">
        <v>5</v>
      </c>
      <c r="O195" s="180">
        <v>0</v>
      </c>
      <c r="P195" s="180">
        <v>100</v>
      </c>
      <c r="Q195" s="180">
        <v>0</v>
      </c>
      <c r="R195" s="180"/>
      <c r="S195" s="180" t="s">
        <v>1044</v>
      </c>
      <c r="T195" s="111" t="s">
        <v>1704</v>
      </c>
      <c r="U195" s="179" t="s">
        <v>1705</v>
      </c>
      <c r="V195" s="179" t="s">
        <v>1706</v>
      </c>
      <c r="W195" s="114" t="s">
        <v>1707</v>
      </c>
      <c r="X195" s="180">
        <v>16</v>
      </c>
      <c r="Y195" s="182" t="s">
        <v>913</v>
      </c>
      <c r="Z195" s="183"/>
      <c r="AA195" s="184"/>
      <c r="AB195" s="182"/>
      <c r="AC195" s="114">
        <v>1</v>
      </c>
      <c r="AD195" s="172" t="s">
        <v>887</v>
      </c>
      <c r="AE195" s="114"/>
      <c r="AF195" s="114"/>
      <c r="AG195" s="114"/>
      <c r="AH195" s="106"/>
      <c r="AI195" s="114"/>
      <c r="AJ195" s="106"/>
      <c r="AK195" s="114"/>
      <c r="AL195" s="106"/>
      <c r="AM195" s="114"/>
      <c r="AN195" s="106"/>
      <c r="AO195" s="114" t="s">
        <v>915</v>
      </c>
      <c r="AP195" s="106"/>
      <c r="AQ195" s="114"/>
      <c r="AR195" s="106"/>
      <c r="AS195" s="114"/>
      <c r="AT195" s="106"/>
      <c r="AU195" s="114"/>
      <c r="AV195" s="106"/>
      <c r="AW195" s="114"/>
      <c r="AX195" s="157"/>
      <c r="AY195" s="157"/>
      <c r="AZ195" s="157"/>
      <c r="BA195" s="157"/>
      <c r="BB195" s="157"/>
      <c r="BC195" s="157"/>
    </row>
    <row r="196" spans="1:55" ht="264" x14ac:dyDescent="0.3">
      <c r="A196" s="114">
        <f t="shared" si="4"/>
        <v>193</v>
      </c>
      <c r="B196" s="179" t="s">
        <v>1708</v>
      </c>
      <c r="C196" s="114">
        <v>0</v>
      </c>
      <c r="D196" s="114" t="s">
        <v>991</v>
      </c>
      <c r="E196" s="114" t="s">
        <v>980</v>
      </c>
      <c r="F196" s="114" t="s">
        <v>909</v>
      </c>
      <c r="G196" s="114"/>
      <c r="H196" s="114"/>
      <c r="I196" s="114"/>
      <c r="J196" s="114" t="s">
        <v>871</v>
      </c>
      <c r="K196" s="114"/>
      <c r="L196" s="114"/>
      <c r="M196" s="114"/>
      <c r="N196" s="114">
        <v>3</v>
      </c>
      <c r="O196" s="180">
        <v>0</v>
      </c>
      <c r="P196" s="180">
        <v>501</v>
      </c>
      <c r="Q196" s="180">
        <v>1</v>
      </c>
      <c r="R196" s="180"/>
      <c r="S196" s="180"/>
      <c r="T196" s="181" t="s">
        <v>1709</v>
      </c>
      <c r="U196" s="179" t="s">
        <v>1710</v>
      </c>
      <c r="V196" s="179" t="s">
        <v>1711</v>
      </c>
      <c r="W196" s="114" t="s">
        <v>1712</v>
      </c>
      <c r="X196" s="180">
        <v>16</v>
      </c>
      <c r="Y196" s="182" t="s">
        <v>913</v>
      </c>
      <c r="Z196" s="183" t="s">
        <v>1713</v>
      </c>
      <c r="AA196" s="184"/>
      <c r="AB196" s="182"/>
      <c r="AC196" s="114"/>
      <c r="AD196" s="172" t="s">
        <v>887</v>
      </c>
      <c r="AE196" s="114"/>
      <c r="AF196" s="114"/>
      <c r="AG196" s="114"/>
      <c r="AH196" s="106"/>
      <c r="AI196" s="114"/>
      <c r="AJ196" s="106"/>
      <c r="AK196" s="114"/>
      <c r="AL196" s="106"/>
      <c r="AM196" s="114"/>
      <c r="AN196" s="106"/>
      <c r="AO196" s="114"/>
      <c r="AP196" s="106"/>
      <c r="AQ196" s="114"/>
      <c r="AR196" s="106"/>
      <c r="AS196" s="114"/>
      <c r="AT196" s="106"/>
      <c r="AU196" s="114"/>
      <c r="AV196" s="106"/>
      <c r="AW196" s="114"/>
      <c r="AX196" s="157"/>
      <c r="AY196" s="157"/>
      <c r="AZ196" s="157"/>
      <c r="BA196" s="157"/>
      <c r="BB196" s="157"/>
      <c r="BC196" s="157"/>
    </row>
    <row r="197" spans="1:55" x14ac:dyDescent="0.3">
      <c r="A197" s="114">
        <f t="shared" si="4"/>
        <v>194</v>
      </c>
      <c r="B197" s="179" t="s">
        <v>1714</v>
      </c>
      <c r="C197" s="114">
        <v>0</v>
      </c>
      <c r="D197" s="114" t="s">
        <v>991</v>
      </c>
      <c r="E197" s="114" t="s">
        <v>980</v>
      </c>
      <c r="F197" s="114" t="s">
        <v>909</v>
      </c>
      <c r="G197" s="114"/>
      <c r="H197" s="114"/>
      <c r="I197" s="114"/>
      <c r="J197" s="114"/>
      <c r="K197" s="114"/>
      <c r="L197" s="114"/>
      <c r="M197" s="114"/>
      <c r="N197" s="114">
        <v>6</v>
      </c>
      <c r="O197" s="180">
        <v>0</v>
      </c>
      <c r="P197" s="180">
        <v>20</v>
      </c>
      <c r="Q197" s="180">
        <v>2</v>
      </c>
      <c r="R197" s="180"/>
      <c r="S197" s="180" t="s">
        <v>1047</v>
      </c>
      <c r="T197" s="181" t="s">
        <v>1715</v>
      </c>
      <c r="U197" s="179" t="s">
        <v>1716</v>
      </c>
      <c r="V197" s="179" t="s">
        <v>1717</v>
      </c>
      <c r="W197" s="114" t="s">
        <v>1718</v>
      </c>
      <c r="X197" s="180">
        <v>16</v>
      </c>
      <c r="Y197" s="182" t="s">
        <v>913</v>
      </c>
      <c r="Z197" s="183"/>
      <c r="AA197" s="184"/>
      <c r="AB197" s="182"/>
      <c r="AC197" s="114">
        <v>3</v>
      </c>
      <c r="AD197" s="172" t="s">
        <v>887</v>
      </c>
      <c r="AE197" s="114"/>
      <c r="AF197" s="114"/>
      <c r="AG197" s="114"/>
      <c r="AH197" s="106"/>
      <c r="AI197" s="114"/>
      <c r="AJ197" s="106"/>
      <c r="AK197" s="114"/>
      <c r="AL197" s="106"/>
      <c r="AM197" s="114"/>
      <c r="AN197" s="106"/>
      <c r="AO197" s="114"/>
      <c r="AP197" s="106"/>
      <c r="AQ197" s="114"/>
      <c r="AR197" s="106"/>
      <c r="AS197" s="114"/>
      <c r="AT197" s="106"/>
      <c r="AU197" s="114"/>
      <c r="AV197" s="106"/>
      <c r="AW197" s="114"/>
      <c r="AX197" s="157"/>
      <c r="AY197" s="157"/>
      <c r="AZ197" s="157"/>
      <c r="BA197" s="157"/>
      <c r="BB197" s="157"/>
      <c r="BC197" s="157"/>
    </row>
    <row r="198" spans="1:55" ht="39.6" x14ac:dyDescent="0.3">
      <c r="A198" s="114">
        <f t="shared" si="4"/>
        <v>195</v>
      </c>
      <c r="B198" s="179" t="s">
        <v>1719</v>
      </c>
      <c r="C198" s="114">
        <v>0</v>
      </c>
      <c r="D198" s="114" t="s">
        <v>991</v>
      </c>
      <c r="E198" s="114" t="s">
        <v>929</v>
      </c>
      <c r="F198" s="114" t="s">
        <v>909</v>
      </c>
      <c r="G198" s="114"/>
      <c r="H198" s="114"/>
      <c r="I198" s="114"/>
      <c r="J198" s="114"/>
      <c r="K198" s="114"/>
      <c r="L198" s="114"/>
      <c r="M198" s="191" t="s">
        <v>874</v>
      </c>
      <c r="N198" s="114">
        <v>6</v>
      </c>
      <c r="O198" s="180" t="s">
        <v>909</v>
      </c>
      <c r="P198" s="180" t="s">
        <v>1720</v>
      </c>
      <c r="Q198" s="180" t="s">
        <v>1721</v>
      </c>
      <c r="R198" s="180"/>
      <c r="S198" s="180"/>
      <c r="T198" s="181" t="s">
        <v>1722</v>
      </c>
      <c r="U198" s="179" t="s">
        <v>1723</v>
      </c>
      <c r="V198" s="179" t="s">
        <v>1724</v>
      </c>
      <c r="W198" s="114" t="s">
        <v>1725</v>
      </c>
      <c r="X198" s="180">
        <v>16</v>
      </c>
      <c r="Y198" s="182" t="s">
        <v>913</v>
      </c>
      <c r="Z198" s="183" t="s">
        <v>1726</v>
      </c>
      <c r="AA198" s="184"/>
      <c r="AB198" s="182"/>
      <c r="AC198" s="114">
        <v>3</v>
      </c>
      <c r="AD198" s="172" t="s">
        <v>887</v>
      </c>
      <c r="AE198" s="114"/>
      <c r="AF198" s="114"/>
      <c r="AG198" s="114"/>
      <c r="AH198" s="106"/>
      <c r="AI198" s="114"/>
      <c r="AJ198" s="106"/>
      <c r="AK198" s="114"/>
      <c r="AL198" s="106"/>
      <c r="AM198" s="114"/>
      <c r="AN198" s="106"/>
      <c r="AO198" s="114"/>
      <c r="AP198" s="106"/>
      <c r="AQ198" s="114"/>
      <c r="AR198" s="106"/>
      <c r="AS198" s="114"/>
      <c r="AT198" s="106"/>
      <c r="AU198" s="114"/>
      <c r="AV198" s="106"/>
      <c r="AW198" s="114"/>
      <c r="AX198" s="157"/>
      <c r="AY198" s="157"/>
      <c r="AZ198" s="157"/>
      <c r="BA198" s="157"/>
      <c r="BB198" s="157"/>
      <c r="BC198" s="157"/>
    </row>
    <row r="199" spans="1:55" ht="39.6" x14ac:dyDescent="0.3">
      <c r="A199" s="114">
        <f t="shared" si="4"/>
        <v>196</v>
      </c>
      <c r="B199" s="179" t="s">
        <v>1727</v>
      </c>
      <c r="C199" s="114">
        <v>0</v>
      </c>
      <c r="D199" s="114" t="s">
        <v>991</v>
      </c>
      <c r="E199" s="114" t="s">
        <v>929</v>
      </c>
      <c r="F199" s="114" t="s">
        <v>909</v>
      </c>
      <c r="G199" s="114"/>
      <c r="H199" s="114"/>
      <c r="I199" s="114"/>
      <c r="J199" s="114"/>
      <c r="K199" s="114"/>
      <c r="L199" s="114"/>
      <c r="M199" s="191" t="s">
        <v>874</v>
      </c>
      <c r="N199" s="114">
        <v>6</v>
      </c>
      <c r="O199" s="180" t="s">
        <v>909</v>
      </c>
      <c r="P199" s="180" t="s">
        <v>1720</v>
      </c>
      <c r="Q199" s="180" t="s">
        <v>1267</v>
      </c>
      <c r="R199" s="180"/>
      <c r="S199" s="180"/>
      <c r="T199" s="181" t="s">
        <v>1728</v>
      </c>
      <c r="U199" s="179" t="s">
        <v>1729</v>
      </c>
      <c r="V199" s="179" t="s">
        <v>1730</v>
      </c>
      <c r="W199" s="114" t="s">
        <v>1731</v>
      </c>
      <c r="X199" s="180">
        <v>16</v>
      </c>
      <c r="Y199" s="182" t="s">
        <v>913</v>
      </c>
      <c r="Z199" s="183" t="s">
        <v>1726</v>
      </c>
      <c r="AA199" s="184"/>
      <c r="AB199" s="182"/>
      <c r="AC199" s="114">
        <v>3</v>
      </c>
      <c r="AD199" s="172" t="s">
        <v>887</v>
      </c>
      <c r="AE199" s="114"/>
      <c r="AF199" s="114"/>
      <c r="AG199" s="114"/>
      <c r="AH199" s="106"/>
      <c r="AI199" s="114"/>
      <c r="AJ199" s="106"/>
      <c r="AK199" s="114"/>
      <c r="AL199" s="106"/>
      <c r="AM199" s="114"/>
      <c r="AN199" s="106"/>
      <c r="AO199" s="114"/>
      <c r="AP199" s="106"/>
      <c r="AQ199" s="114"/>
      <c r="AR199" s="106"/>
      <c r="AS199" s="114"/>
      <c r="AT199" s="106"/>
      <c r="AU199" s="114"/>
      <c r="AV199" s="106"/>
      <c r="AW199" s="114"/>
      <c r="AX199" s="157"/>
      <c r="AY199" s="157"/>
      <c r="AZ199" s="157"/>
      <c r="BA199" s="157"/>
      <c r="BB199" s="157"/>
      <c r="BC199" s="157"/>
    </row>
    <row r="200" spans="1:55" ht="39.6" x14ac:dyDescent="0.3">
      <c r="A200" s="114">
        <f t="shared" si="4"/>
        <v>197</v>
      </c>
      <c r="B200" s="179" t="s">
        <v>1732</v>
      </c>
      <c r="C200" s="114">
        <v>0</v>
      </c>
      <c r="D200" s="114" t="s">
        <v>991</v>
      </c>
      <c r="E200" s="114" t="s">
        <v>929</v>
      </c>
      <c r="F200" s="114" t="s">
        <v>909</v>
      </c>
      <c r="G200" s="114"/>
      <c r="H200" s="114"/>
      <c r="I200" s="114"/>
      <c r="J200" s="114"/>
      <c r="K200" s="114"/>
      <c r="L200" s="114"/>
      <c r="M200" s="191" t="s">
        <v>874</v>
      </c>
      <c r="N200" s="114">
        <v>6</v>
      </c>
      <c r="O200" s="180" t="s">
        <v>909</v>
      </c>
      <c r="P200" s="180" t="s">
        <v>1720</v>
      </c>
      <c r="Q200" s="180" t="s">
        <v>1267</v>
      </c>
      <c r="R200" s="180"/>
      <c r="S200" s="180"/>
      <c r="T200" s="181" t="s">
        <v>1733</v>
      </c>
      <c r="U200" s="179" t="s">
        <v>1734</v>
      </c>
      <c r="V200" s="179" t="s">
        <v>1735</v>
      </c>
      <c r="W200" s="114" t="s">
        <v>1736</v>
      </c>
      <c r="X200" s="180">
        <v>16</v>
      </c>
      <c r="Y200" s="182" t="s">
        <v>913</v>
      </c>
      <c r="Z200" s="183" t="s">
        <v>1726</v>
      </c>
      <c r="AA200" s="184"/>
      <c r="AB200" s="182"/>
      <c r="AC200" s="114">
        <v>3</v>
      </c>
      <c r="AD200" s="172" t="s">
        <v>887</v>
      </c>
      <c r="AE200" s="114"/>
      <c r="AF200" s="114"/>
      <c r="AG200" s="114"/>
      <c r="AH200" s="106"/>
      <c r="AI200" s="114"/>
      <c r="AJ200" s="106"/>
      <c r="AK200" s="114"/>
      <c r="AL200" s="106"/>
      <c r="AM200" s="114"/>
      <c r="AN200" s="106"/>
      <c r="AO200" s="114"/>
      <c r="AP200" s="106"/>
      <c r="AQ200" s="114"/>
      <c r="AR200" s="106"/>
      <c r="AS200" s="114"/>
      <c r="AT200" s="106"/>
      <c r="AU200" s="114"/>
      <c r="AV200" s="106"/>
      <c r="AW200" s="114"/>
      <c r="AX200" s="157"/>
      <c r="AY200" s="157"/>
      <c r="AZ200" s="157"/>
      <c r="BA200" s="157"/>
      <c r="BB200" s="157"/>
      <c r="BC200" s="157"/>
    </row>
    <row r="201" spans="1:55" ht="39.6" x14ac:dyDescent="0.3">
      <c r="A201" s="114">
        <f t="shared" si="4"/>
        <v>198</v>
      </c>
      <c r="B201" s="179" t="s">
        <v>1737</v>
      </c>
      <c r="C201" s="114">
        <v>0</v>
      </c>
      <c r="D201" s="114" t="s">
        <v>991</v>
      </c>
      <c r="E201" s="114" t="s">
        <v>929</v>
      </c>
      <c r="F201" s="114" t="s">
        <v>909</v>
      </c>
      <c r="G201" s="114"/>
      <c r="H201" s="114"/>
      <c r="I201" s="114"/>
      <c r="J201" s="114"/>
      <c r="K201" s="114"/>
      <c r="L201" s="114"/>
      <c r="M201" s="191" t="s">
        <v>874</v>
      </c>
      <c r="N201" s="114">
        <v>6</v>
      </c>
      <c r="O201" s="180" t="s">
        <v>909</v>
      </c>
      <c r="P201" s="180" t="s">
        <v>1720</v>
      </c>
      <c r="Q201" s="180" t="s">
        <v>1267</v>
      </c>
      <c r="R201" s="180"/>
      <c r="S201" s="180"/>
      <c r="T201" s="181" t="s">
        <v>1738</v>
      </c>
      <c r="U201" s="179" t="s">
        <v>1739</v>
      </c>
      <c r="V201" s="179" t="s">
        <v>1740</v>
      </c>
      <c r="W201" s="114" t="s">
        <v>1741</v>
      </c>
      <c r="X201" s="180">
        <v>16</v>
      </c>
      <c r="Y201" s="182" t="s">
        <v>913</v>
      </c>
      <c r="Z201" s="183" t="s">
        <v>1726</v>
      </c>
      <c r="AA201" s="184"/>
      <c r="AB201" s="182"/>
      <c r="AC201" s="114">
        <v>3</v>
      </c>
      <c r="AD201" s="172" t="s">
        <v>887</v>
      </c>
      <c r="AE201" s="114"/>
      <c r="AF201" s="114"/>
      <c r="AG201" s="114"/>
      <c r="AH201" s="106"/>
      <c r="AI201" s="114"/>
      <c r="AJ201" s="106"/>
      <c r="AK201" s="114"/>
      <c r="AL201" s="106"/>
      <c r="AM201" s="114"/>
      <c r="AN201" s="106"/>
      <c r="AO201" s="114"/>
      <c r="AP201" s="106"/>
      <c r="AQ201" s="114"/>
      <c r="AR201" s="106"/>
      <c r="AS201" s="114"/>
      <c r="AT201" s="106"/>
      <c r="AU201" s="114"/>
      <c r="AV201" s="106"/>
      <c r="AW201" s="114"/>
      <c r="AX201" s="157"/>
      <c r="AY201" s="157"/>
      <c r="AZ201" s="157"/>
      <c r="BA201" s="157"/>
      <c r="BB201" s="157"/>
      <c r="BC201" s="157"/>
    </row>
    <row r="202" spans="1:55" ht="39.6" x14ac:dyDescent="0.3">
      <c r="A202" s="114">
        <f t="shared" si="4"/>
        <v>199</v>
      </c>
      <c r="B202" s="179" t="s">
        <v>1742</v>
      </c>
      <c r="C202" s="114">
        <v>0</v>
      </c>
      <c r="D202" s="114" t="s">
        <v>991</v>
      </c>
      <c r="E202" s="114" t="s">
        <v>929</v>
      </c>
      <c r="F202" s="114" t="s">
        <v>909</v>
      </c>
      <c r="G202" s="114"/>
      <c r="H202" s="114"/>
      <c r="I202" s="114"/>
      <c r="J202" s="114"/>
      <c r="K202" s="114"/>
      <c r="L202" s="114"/>
      <c r="M202" s="191" t="s">
        <v>874</v>
      </c>
      <c r="N202" s="114">
        <v>6</v>
      </c>
      <c r="O202" s="180" t="s">
        <v>909</v>
      </c>
      <c r="P202" s="180" t="s">
        <v>1720</v>
      </c>
      <c r="Q202" s="180" t="s">
        <v>1267</v>
      </c>
      <c r="R202" s="180"/>
      <c r="S202" s="180"/>
      <c r="T202" s="181" t="s">
        <v>1743</v>
      </c>
      <c r="U202" s="179" t="s">
        <v>1744</v>
      </c>
      <c r="V202" s="179" t="s">
        <v>1745</v>
      </c>
      <c r="W202" s="114" t="s">
        <v>1746</v>
      </c>
      <c r="X202" s="180">
        <v>16</v>
      </c>
      <c r="Y202" s="182" t="s">
        <v>913</v>
      </c>
      <c r="Z202" s="183" t="s">
        <v>1726</v>
      </c>
      <c r="AA202" s="184"/>
      <c r="AB202" s="182"/>
      <c r="AC202" s="114">
        <v>3</v>
      </c>
      <c r="AD202" s="172" t="s">
        <v>887</v>
      </c>
      <c r="AE202" s="114"/>
      <c r="AF202" s="114"/>
      <c r="AG202" s="114"/>
      <c r="AH202" s="106"/>
      <c r="AI202" s="114"/>
      <c r="AJ202" s="106"/>
      <c r="AK202" s="114"/>
      <c r="AL202" s="106"/>
      <c r="AM202" s="114"/>
      <c r="AN202" s="106"/>
      <c r="AO202" s="114"/>
      <c r="AP202" s="106"/>
      <c r="AQ202" s="114"/>
      <c r="AR202" s="106"/>
      <c r="AS202" s="114"/>
      <c r="AT202" s="106"/>
      <c r="AU202" s="114"/>
      <c r="AV202" s="106"/>
      <c r="AW202" s="114"/>
      <c r="AX202" s="157"/>
      <c r="AY202" s="157"/>
      <c r="AZ202" s="157"/>
      <c r="BA202" s="157"/>
      <c r="BB202" s="157"/>
      <c r="BC202" s="157"/>
    </row>
    <row r="203" spans="1:55" ht="39.6" x14ac:dyDescent="0.3">
      <c r="A203" s="114">
        <f t="shared" si="4"/>
        <v>200</v>
      </c>
      <c r="B203" s="179" t="s">
        <v>1747</v>
      </c>
      <c r="C203" s="114">
        <v>0</v>
      </c>
      <c r="D203" s="114" t="s">
        <v>991</v>
      </c>
      <c r="E203" s="114" t="s">
        <v>929</v>
      </c>
      <c r="F203" s="114" t="s">
        <v>909</v>
      </c>
      <c r="G203" s="114"/>
      <c r="H203" s="114"/>
      <c r="I203" s="114"/>
      <c r="J203" s="114"/>
      <c r="K203" s="114"/>
      <c r="L203" s="114"/>
      <c r="M203" s="191" t="s">
        <v>874</v>
      </c>
      <c r="N203" s="114">
        <v>6</v>
      </c>
      <c r="O203" s="180" t="s">
        <v>909</v>
      </c>
      <c r="P203" s="180" t="s">
        <v>1720</v>
      </c>
      <c r="Q203" s="180" t="s">
        <v>1267</v>
      </c>
      <c r="R203" s="180"/>
      <c r="S203" s="180"/>
      <c r="T203" s="181" t="s">
        <v>1748</v>
      </c>
      <c r="U203" s="179" t="s">
        <v>1749</v>
      </c>
      <c r="V203" s="179" t="s">
        <v>1750</v>
      </c>
      <c r="W203" s="114" t="s">
        <v>1751</v>
      </c>
      <c r="X203" s="180">
        <v>16</v>
      </c>
      <c r="Y203" s="182" t="s">
        <v>913</v>
      </c>
      <c r="Z203" s="183" t="s">
        <v>1726</v>
      </c>
      <c r="AA203" s="184"/>
      <c r="AB203" s="182"/>
      <c r="AC203" s="114">
        <v>3</v>
      </c>
      <c r="AD203" s="172" t="s">
        <v>887</v>
      </c>
      <c r="AE203" s="114"/>
      <c r="AF203" s="114"/>
      <c r="AG203" s="114"/>
      <c r="AH203" s="106"/>
      <c r="AI203" s="114"/>
      <c r="AJ203" s="106"/>
      <c r="AK203" s="114"/>
      <c r="AL203" s="106"/>
      <c r="AM203" s="114"/>
      <c r="AN203" s="106"/>
      <c r="AO203" s="114"/>
      <c r="AP203" s="106"/>
      <c r="AQ203" s="114"/>
      <c r="AR203" s="106"/>
      <c r="AS203" s="114"/>
      <c r="AT203" s="106"/>
      <c r="AU203" s="114"/>
      <c r="AV203" s="106"/>
      <c r="AW203" s="114"/>
      <c r="AX203" s="157"/>
      <c r="AY203" s="157"/>
      <c r="AZ203" s="157"/>
      <c r="BA203" s="157"/>
      <c r="BB203" s="157"/>
      <c r="BC203" s="157"/>
    </row>
    <row r="204" spans="1:55" ht="39.6" x14ac:dyDescent="0.3">
      <c r="A204" s="114">
        <f t="shared" si="4"/>
        <v>201</v>
      </c>
      <c r="B204" s="179" t="s">
        <v>1752</v>
      </c>
      <c r="C204" s="114">
        <v>0</v>
      </c>
      <c r="D204" s="114" t="s">
        <v>991</v>
      </c>
      <c r="E204" s="114" t="s">
        <v>929</v>
      </c>
      <c r="F204" s="114" t="s">
        <v>909</v>
      </c>
      <c r="G204" s="114"/>
      <c r="H204" s="114"/>
      <c r="I204" s="114"/>
      <c r="J204" s="114"/>
      <c r="K204" s="114"/>
      <c r="L204" s="114"/>
      <c r="M204" s="191" t="s">
        <v>874</v>
      </c>
      <c r="N204" s="114">
        <v>6</v>
      </c>
      <c r="O204" s="180" t="s">
        <v>909</v>
      </c>
      <c r="P204" s="180" t="s">
        <v>1720</v>
      </c>
      <c r="Q204" s="180" t="s">
        <v>1267</v>
      </c>
      <c r="R204" s="180"/>
      <c r="S204" s="180"/>
      <c r="T204" s="181" t="s">
        <v>1753</v>
      </c>
      <c r="U204" s="179" t="s">
        <v>1754</v>
      </c>
      <c r="V204" s="179" t="s">
        <v>1755</v>
      </c>
      <c r="W204" s="114" t="s">
        <v>1756</v>
      </c>
      <c r="X204" s="180">
        <v>16</v>
      </c>
      <c r="Y204" s="182" t="s">
        <v>913</v>
      </c>
      <c r="Z204" s="183" t="s">
        <v>1726</v>
      </c>
      <c r="AA204" s="184"/>
      <c r="AB204" s="182"/>
      <c r="AC204" s="114">
        <v>3</v>
      </c>
      <c r="AD204" s="172" t="s">
        <v>887</v>
      </c>
      <c r="AE204" s="114"/>
      <c r="AF204" s="114"/>
      <c r="AG204" s="114"/>
      <c r="AH204" s="106"/>
      <c r="AI204" s="114"/>
      <c r="AJ204" s="106"/>
      <c r="AK204" s="114"/>
      <c r="AL204" s="106"/>
      <c r="AM204" s="114"/>
      <c r="AN204" s="106"/>
      <c r="AO204" s="114"/>
      <c r="AP204" s="106"/>
      <c r="AQ204" s="114"/>
      <c r="AR204" s="106"/>
      <c r="AS204" s="114"/>
      <c r="AT204" s="106"/>
      <c r="AU204" s="114"/>
      <c r="AV204" s="106"/>
      <c r="AW204" s="114"/>
      <c r="AX204" s="157"/>
      <c r="AY204" s="157"/>
      <c r="AZ204" s="157"/>
      <c r="BA204" s="157"/>
      <c r="BB204" s="157"/>
      <c r="BC204" s="157"/>
    </row>
    <row r="205" spans="1:55" ht="66" x14ac:dyDescent="0.3">
      <c r="A205" s="114">
        <f t="shared" si="4"/>
        <v>202</v>
      </c>
      <c r="B205" s="179" t="s">
        <v>1757</v>
      </c>
      <c r="C205" s="114">
        <v>0</v>
      </c>
      <c r="D205" s="114" t="s">
        <v>991</v>
      </c>
      <c r="E205" s="114" t="s">
        <v>929</v>
      </c>
      <c r="F205" s="114" t="s">
        <v>909</v>
      </c>
      <c r="G205" s="114"/>
      <c r="H205" s="114"/>
      <c r="I205" s="114"/>
      <c r="J205" s="114"/>
      <c r="K205" s="114"/>
      <c r="L205" s="114"/>
      <c r="M205" s="191" t="s">
        <v>874</v>
      </c>
      <c r="N205" s="114">
        <v>6</v>
      </c>
      <c r="O205" s="180" t="s">
        <v>909</v>
      </c>
      <c r="P205" s="180" t="s">
        <v>1720</v>
      </c>
      <c r="Q205" s="180" t="s">
        <v>1267</v>
      </c>
      <c r="R205" s="180"/>
      <c r="S205" s="180"/>
      <c r="T205" s="181" t="s">
        <v>1758</v>
      </c>
      <c r="U205" s="179" t="s">
        <v>1759</v>
      </c>
      <c r="V205" s="179" t="s">
        <v>1760</v>
      </c>
      <c r="W205" s="114" t="s">
        <v>1761</v>
      </c>
      <c r="X205" s="180">
        <v>16</v>
      </c>
      <c r="Y205" s="182" t="s">
        <v>913</v>
      </c>
      <c r="Z205" s="183" t="s">
        <v>1762</v>
      </c>
      <c r="AA205" s="184"/>
      <c r="AB205" s="182"/>
      <c r="AC205" s="114">
        <v>3</v>
      </c>
      <c r="AD205" s="172" t="s">
        <v>887</v>
      </c>
      <c r="AE205" s="114"/>
      <c r="AF205" s="114"/>
      <c r="AG205" s="114"/>
      <c r="AH205" s="106"/>
      <c r="AI205" s="114"/>
      <c r="AJ205" s="106"/>
      <c r="AK205" s="114"/>
      <c r="AL205" s="106"/>
      <c r="AM205" s="114"/>
      <c r="AN205" s="106"/>
      <c r="AO205" s="114"/>
      <c r="AP205" s="106"/>
      <c r="AQ205" s="114"/>
      <c r="AR205" s="106"/>
      <c r="AS205" s="114"/>
      <c r="AT205" s="106"/>
      <c r="AU205" s="114"/>
      <c r="AV205" s="106"/>
      <c r="AW205" s="114"/>
      <c r="AX205" s="157"/>
      <c r="AY205" s="157"/>
      <c r="AZ205" s="157"/>
      <c r="BA205" s="157"/>
      <c r="BB205" s="157"/>
      <c r="BC205" s="157"/>
    </row>
    <row r="206" spans="1:55" x14ac:dyDescent="0.3">
      <c r="A206" s="114">
        <f>A205+1</f>
        <v>203</v>
      </c>
      <c r="B206" s="179" t="s">
        <v>1763</v>
      </c>
      <c r="C206" s="114">
        <v>0</v>
      </c>
      <c r="D206" s="114" t="s">
        <v>991</v>
      </c>
      <c r="E206" s="114" t="s">
        <v>929</v>
      </c>
      <c r="F206" s="114" t="s">
        <v>909</v>
      </c>
      <c r="G206" s="114"/>
      <c r="H206" s="114"/>
      <c r="I206" s="114"/>
      <c r="J206" s="114"/>
      <c r="K206" s="114"/>
      <c r="L206" s="114"/>
      <c r="M206" s="191" t="s">
        <v>874</v>
      </c>
      <c r="N206" s="114">
        <v>6</v>
      </c>
      <c r="O206" s="180" t="s">
        <v>909</v>
      </c>
      <c r="P206" s="180" t="s">
        <v>1764</v>
      </c>
      <c r="Q206" s="180" t="s">
        <v>1267</v>
      </c>
      <c r="R206" s="180"/>
      <c r="S206" s="180"/>
      <c r="T206" s="181" t="s">
        <v>1765</v>
      </c>
      <c r="U206" s="179" t="s">
        <v>1766</v>
      </c>
      <c r="V206" s="179" t="s">
        <v>1767</v>
      </c>
      <c r="W206" s="114" t="s">
        <v>1768</v>
      </c>
      <c r="X206" s="180">
        <v>16</v>
      </c>
      <c r="Y206" s="182" t="s">
        <v>913</v>
      </c>
      <c r="Z206" s="183"/>
      <c r="AA206" s="184"/>
      <c r="AB206" s="182"/>
      <c r="AC206" s="114">
        <v>3</v>
      </c>
      <c r="AD206" s="172" t="s">
        <v>887</v>
      </c>
      <c r="AE206" s="114"/>
      <c r="AF206" s="114"/>
      <c r="AG206" s="114"/>
      <c r="AH206" s="106"/>
      <c r="AI206" s="114"/>
      <c r="AJ206" s="106"/>
      <c r="AK206" s="114"/>
      <c r="AL206" s="106"/>
      <c r="AM206" s="114"/>
      <c r="AN206" s="106"/>
      <c r="AO206" s="114"/>
      <c r="AP206" s="106"/>
      <c r="AQ206" s="114"/>
      <c r="AR206" s="106"/>
      <c r="AS206" s="114"/>
      <c r="AT206" s="106"/>
      <c r="AU206" s="114"/>
      <c r="AV206" s="106"/>
      <c r="AW206" s="114"/>
      <c r="AX206" s="157"/>
      <c r="AY206" s="157"/>
      <c r="AZ206" s="157"/>
      <c r="BA206" s="157"/>
      <c r="BB206" s="157"/>
      <c r="BC206" s="157"/>
    </row>
    <row r="207" spans="1:55" x14ac:dyDescent="0.3">
      <c r="A207" s="114">
        <f t="shared" si="4"/>
        <v>204</v>
      </c>
      <c r="B207" s="179" t="s">
        <v>1769</v>
      </c>
      <c r="C207" s="114">
        <v>0</v>
      </c>
      <c r="D207" s="114" t="s">
        <v>991</v>
      </c>
      <c r="E207" s="114" t="s">
        <v>929</v>
      </c>
      <c r="F207" s="114" t="s">
        <v>909</v>
      </c>
      <c r="G207" s="114"/>
      <c r="H207" s="114"/>
      <c r="I207" s="114"/>
      <c r="J207" s="114"/>
      <c r="K207" s="114"/>
      <c r="L207" s="114"/>
      <c r="M207" s="191" t="s">
        <v>874</v>
      </c>
      <c r="N207" s="114">
        <v>6</v>
      </c>
      <c r="O207" s="180" t="s">
        <v>909</v>
      </c>
      <c r="P207" s="180" t="s">
        <v>1764</v>
      </c>
      <c r="Q207" s="180" t="s">
        <v>1267</v>
      </c>
      <c r="R207" s="180"/>
      <c r="S207" s="180"/>
      <c r="T207" s="181" t="s">
        <v>1770</v>
      </c>
      <c r="U207" s="179" t="s">
        <v>1771</v>
      </c>
      <c r="V207" s="179" t="s">
        <v>1772</v>
      </c>
      <c r="W207" s="114" t="s">
        <v>1773</v>
      </c>
      <c r="X207" s="180">
        <v>16</v>
      </c>
      <c r="Y207" s="182" t="s">
        <v>913</v>
      </c>
      <c r="Z207" s="183"/>
      <c r="AA207" s="184"/>
      <c r="AB207" s="182"/>
      <c r="AC207" s="114">
        <v>3</v>
      </c>
      <c r="AD207" s="172" t="s">
        <v>887</v>
      </c>
      <c r="AE207" s="114"/>
      <c r="AF207" s="114"/>
      <c r="AG207" s="114"/>
      <c r="AH207" s="106"/>
      <c r="AI207" s="114"/>
      <c r="AJ207" s="106"/>
      <c r="AK207" s="114"/>
      <c r="AL207" s="106"/>
      <c r="AM207" s="114"/>
      <c r="AN207" s="106"/>
      <c r="AO207" s="114"/>
      <c r="AP207" s="106"/>
      <c r="AQ207" s="114"/>
      <c r="AR207" s="106"/>
      <c r="AS207" s="114"/>
      <c r="AT207" s="106"/>
      <c r="AU207" s="114"/>
      <c r="AV207" s="106"/>
      <c r="AW207" s="114"/>
      <c r="AX207" s="157"/>
      <c r="AY207" s="157"/>
      <c r="AZ207" s="157"/>
      <c r="BA207" s="157"/>
      <c r="BB207" s="157"/>
      <c r="BC207" s="157"/>
    </row>
    <row r="208" spans="1:55" x14ac:dyDescent="0.3">
      <c r="A208" s="114">
        <f t="shared" si="4"/>
        <v>205</v>
      </c>
      <c r="B208" s="179" t="s">
        <v>1774</v>
      </c>
      <c r="C208" s="114">
        <v>0</v>
      </c>
      <c r="D208" s="114" t="s">
        <v>991</v>
      </c>
      <c r="E208" s="114" t="s">
        <v>929</v>
      </c>
      <c r="F208" s="114" t="s">
        <v>909</v>
      </c>
      <c r="G208" s="114"/>
      <c r="H208" s="114"/>
      <c r="I208" s="114"/>
      <c r="J208" s="114"/>
      <c r="K208" s="114"/>
      <c r="L208" s="114"/>
      <c r="M208" s="191" t="s">
        <v>874</v>
      </c>
      <c r="N208" s="114">
        <v>6</v>
      </c>
      <c r="O208" s="180" t="s">
        <v>909</v>
      </c>
      <c r="P208" s="180" t="s">
        <v>1764</v>
      </c>
      <c r="Q208" s="180" t="s">
        <v>1267</v>
      </c>
      <c r="R208" s="180"/>
      <c r="S208" s="180"/>
      <c r="T208" s="181" t="s">
        <v>1775</v>
      </c>
      <c r="U208" s="179" t="s">
        <v>1776</v>
      </c>
      <c r="V208" s="179" t="s">
        <v>1777</v>
      </c>
      <c r="W208" s="114" t="s">
        <v>1778</v>
      </c>
      <c r="X208" s="180">
        <v>16</v>
      </c>
      <c r="Y208" s="182" t="s">
        <v>913</v>
      </c>
      <c r="Z208" s="183"/>
      <c r="AA208" s="184"/>
      <c r="AB208" s="182"/>
      <c r="AC208" s="114">
        <v>3</v>
      </c>
      <c r="AD208" s="172" t="s">
        <v>887</v>
      </c>
      <c r="AE208" s="114"/>
      <c r="AF208" s="114"/>
      <c r="AG208" s="114"/>
      <c r="AH208" s="106"/>
      <c r="AI208" s="114"/>
      <c r="AJ208" s="106"/>
      <c r="AK208" s="114"/>
      <c r="AL208" s="106"/>
      <c r="AM208" s="114"/>
      <c r="AN208" s="106"/>
      <c r="AO208" s="114"/>
      <c r="AP208" s="106"/>
      <c r="AQ208" s="114"/>
      <c r="AR208" s="106"/>
      <c r="AS208" s="114"/>
      <c r="AT208" s="106"/>
      <c r="AU208" s="114"/>
      <c r="AV208" s="106"/>
      <c r="AW208" s="114"/>
      <c r="AX208" s="157"/>
      <c r="AY208" s="157"/>
      <c r="AZ208" s="157"/>
      <c r="BA208" s="157"/>
      <c r="BB208" s="157"/>
      <c r="BC208" s="157"/>
    </row>
    <row r="209" spans="1:55" x14ac:dyDescent="0.3">
      <c r="A209" s="114">
        <f t="shared" si="4"/>
        <v>206</v>
      </c>
      <c r="B209" s="179" t="s">
        <v>1779</v>
      </c>
      <c r="C209" s="114">
        <v>0</v>
      </c>
      <c r="D209" s="114" t="s">
        <v>991</v>
      </c>
      <c r="E209" s="114" t="s">
        <v>929</v>
      </c>
      <c r="F209" s="114" t="s">
        <v>909</v>
      </c>
      <c r="G209" s="114"/>
      <c r="H209" s="114"/>
      <c r="I209" s="114"/>
      <c r="J209" s="114"/>
      <c r="K209" s="114"/>
      <c r="L209" s="114"/>
      <c r="M209" s="191" t="s">
        <v>874</v>
      </c>
      <c r="N209" s="114">
        <v>6</v>
      </c>
      <c r="O209" s="180" t="s">
        <v>909</v>
      </c>
      <c r="P209" s="180" t="s">
        <v>1764</v>
      </c>
      <c r="Q209" s="180" t="s">
        <v>1267</v>
      </c>
      <c r="R209" s="180"/>
      <c r="S209" s="180"/>
      <c r="T209" s="181" t="s">
        <v>1780</v>
      </c>
      <c r="U209" s="179" t="s">
        <v>1781</v>
      </c>
      <c r="V209" s="179" t="s">
        <v>1782</v>
      </c>
      <c r="W209" s="114" t="s">
        <v>1783</v>
      </c>
      <c r="X209" s="180">
        <v>16</v>
      </c>
      <c r="Y209" s="182" t="s">
        <v>913</v>
      </c>
      <c r="Z209" s="183"/>
      <c r="AA209" s="184"/>
      <c r="AB209" s="182"/>
      <c r="AC209" s="114">
        <v>3</v>
      </c>
      <c r="AD209" s="172" t="s">
        <v>887</v>
      </c>
      <c r="AE209" s="114"/>
      <c r="AF209" s="114"/>
      <c r="AG209" s="114"/>
      <c r="AH209" s="106"/>
      <c r="AI209" s="114"/>
      <c r="AJ209" s="106"/>
      <c r="AK209" s="114"/>
      <c r="AL209" s="106"/>
      <c r="AM209" s="114"/>
      <c r="AN209" s="106"/>
      <c r="AO209" s="114"/>
      <c r="AP209" s="106"/>
      <c r="AQ209" s="114"/>
      <c r="AR209" s="106"/>
      <c r="AS209" s="114"/>
      <c r="AT209" s="106"/>
      <c r="AU209" s="114"/>
      <c r="AV209" s="106"/>
      <c r="AW209" s="114"/>
      <c r="AX209" s="157"/>
      <c r="AY209" s="157"/>
      <c r="AZ209" s="157"/>
      <c r="BA209" s="157"/>
      <c r="BB209" s="157"/>
      <c r="BC209" s="157"/>
    </row>
    <row r="210" spans="1:55" x14ac:dyDescent="0.3">
      <c r="A210" s="114">
        <f t="shared" si="4"/>
        <v>207</v>
      </c>
      <c r="B210" s="179" t="s">
        <v>1784</v>
      </c>
      <c r="C210" s="114">
        <v>0</v>
      </c>
      <c r="D210" s="114" t="s">
        <v>991</v>
      </c>
      <c r="E210" s="114" t="s">
        <v>929</v>
      </c>
      <c r="F210" s="114" t="s">
        <v>909</v>
      </c>
      <c r="G210" s="114"/>
      <c r="H210" s="114"/>
      <c r="I210" s="114"/>
      <c r="J210" s="114"/>
      <c r="K210" s="114"/>
      <c r="L210" s="114"/>
      <c r="M210" s="191" t="s">
        <v>874</v>
      </c>
      <c r="N210" s="114">
        <v>6</v>
      </c>
      <c r="O210" s="180" t="s">
        <v>909</v>
      </c>
      <c r="P210" s="180" t="s">
        <v>1764</v>
      </c>
      <c r="Q210" s="180" t="s">
        <v>1267</v>
      </c>
      <c r="R210" s="180"/>
      <c r="S210" s="180"/>
      <c r="T210" s="181" t="s">
        <v>1785</v>
      </c>
      <c r="U210" s="179" t="s">
        <v>1786</v>
      </c>
      <c r="V210" s="179" t="s">
        <v>1787</v>
      </c>
      <c r="W210" s="114" t="s">
        <v>1788</v>
      </c>
      <c r="X210" s="180">
        <v>16</v>
      </c>
      <c r="Y210" s="182" t="s">
        <v>913</v>
      </c>
      <c r="Z210" s="183"/>
      <c r="AA210" s="184"/>
      <c r="AB210" s="182"/>
      <c r="AC210" s="114">
        <v>3</v>
      </c>
      <c r="AD210" s="172" t="s">
        <v>887</v>
      </c>
      <c r="AE210" s="114"/>
      <c r="AF210" s="114"/>
      <c r="AG210" s="114"/>
      <c r="AH210" s="106"/>
      <c r="AI210" s="114"/>
      <c r="AJ210" s="106"/>
      <c r="AK210" s="114"/>
      <c r="AL210" s="106"/>
      <c r="AM210" s="114"/>
      <c r="AN210" s="106"/>
      <c r="AO210" s="114"/>
      <c r="AP210" s="106"/>
      <c r="AQ210" s="114"/>
      <c r="AR210" s="106"/>
      <c r="AS210" s="114"/>
      <c r="AT210" s="106"/>
      <c r="AU210" s="114"/>
      <c r="AV210" s="106"/>
      <c r="AW210" s="114"/>
      <c r="AX210" s="157"/>
      <c r="AY210" s="157"/>
      <c r="AZ210" s="157"/>
      <c r="BA210" s="157"/>
      <c r="BB210" s="157"/>
      <c r="BC210" s="157"/>
    </row>
    <row r="211" spans="1:55" x14ac:dyDescent="0.3">
      <c r="A211" s="114">
        <f t="shared" si="4"/>
        <v>208</v>
      </c>
      <c r="B211" s="179" t="s">
        <v>1789</v>
      </c>
      <c r="C211" s="114">
        <v>0</v>
      </c>
      <c r="D211" s="114" t="s">
        <v>991</v>
      </c>
      <c r="E211" s="114" t="s">
        <v>980</v>
      </c>
      <c r="F211" s="114" t="s">
        <v>909</v>
      </c>
      <c r="G211" s="114"/>
      <c r="H211" s="114"/>
      <c r="I211" s="114"/>
      <c r="J211" s="114"/>
      <c r="K211" s="114"/>
      <c r="L211" s="114"/>
      <c r="M211" s="114"/>
      <c r="N211" s="114">
        <v>5</v>
      </c>
      <c r="O211" s="180">
        <v>50</v>
      </c>
      <c r="P211" s="180">
        <v>5000</v>
      </c>
      <c r="Q211" s="180">
        <v>1000</v>
      </c>
      <c r="R211" s="180"/>
      <c r="S211" s="180" t="s">
        <v>1382</v>
      </c>
      <c r="T211" s="181" t="s">
        <v>1790</v>
      </c>
      <c r="U211" s="179" t="s">
        <v>1791</v>
      </c>
      <c r="V211" s="179" t="s">
        <v>1792</v>
      </c>
      <c r="W211" s="114" t="s">
        <v>1793</v>
      </c>
      <c r="X211" s="180">
        <v>16</v>
      </c>
      <c r="Y211" s="182" t="s">
        <v>913</v>
      </c>
      <c r="Z211" s="183"/>
      <c r="AA211" s="184"/>
      <c r="AB211" s="182"/>
      <c r="AC211" s="114">
        <v>1</v>
      </c>
      <c r="AD211" s="172" t="s">
        <v>887</v>
      </c>
      <c r="AE211" s="114"/>
      <c r="AF211" s="114"/>
      <c r="AG211" s="114"/>
      <c r="AH211" s="106"/>
      <c r="AI211" s="114"/>
      <c r="AJ211" s="106"/>
      <c r="AK211" s="114"/>
      <c r="AL211" s="106" t="s">
        <v>915</v>
      </c>
      <c r="AM211" s="114"/>
      <c r="AN211" s="106"/>
      <c r="AO211" s="114"/>
      <c r="AP211" s="106"/>
      <c r="AQ211" s="114" t="s">
        <v>915</v>
      </c>
      <c r="AR211" s="106"/>
      <c r="AS211" s="114"/>
      <c r="AT211" s="106"/>
      <c r="AU211" s="114"/>
      <c r="AV211" s="106"/>
      <c r="AW211" s="114"/>
      <c r="AX211" s="157"/>
      <c r="AY211" s="157"/>
      <c r="AZ211" s="157"/>
      <c r="BA211" s="157"/>
      <c r="BB211" s="157"/>
      <c r="BC211" s="157"/>
    </row>
    <row r="212" spans="1:55" x14ac:dyDescent="0.3">
      <c r="A212" s="114">
        <f t="shared" si="4"/>
        <v>209</v>
      </c>
      <c r="B212" s="179" t="s">
        <v>1794</v>
      </c>
      <c r="C212" s="114">
        <v>0</v>
      </c>
      <c r="D212" s="114" t="s">
        <v>991</v>
      </c>
      <c r="E212" s="114" t="s">
        <v>980</v>
      </c>
      <c r="F212" s="114" t="s">
        <v>909</v>
      </c>
      <c r="G212" s="114"/>
      <c r="H212" s="114"/>
      <c r="I212" s="114"/>
      <c r="J212" s="114"/>
      <c r="K212" s="114"/>
      <c r="L212" s="114"/>
      <c r="M212" s="114"/>
      <c r="N212" s="114">
        <v>5</v>
      </c>
      <c r="O212" s="180">
        <v>0</v>
      </c>
      <c r="P212" s="180">
        <v>40</v>
      </c>
      <c r="Q212" s="180">
        <v>0</v>
      </c>
      <c r="R212" s="187"/>
      <c r="S212" s="180" t="s">
        <v>1795</v>
      </c>
      <c r="T212" s="181" t="s">
        <v>1796</v>
      </c>
      <c r="U212" s="179" t="s">
        <v>1797</v>
      </c>
      <c r="V212" s="179" t="s">
        <v>1798</v>
      </c>
      <c r="W212" s="114" t="s">
        <v>1799</v>
      </c>
      <c r="X212" s="180">
        <v>16</v>
      </c>
      <c r="Y212" s="182" t="s">
        <v>913</v>
      </c>
      <c r="Z212" s="183"/>
      <c r="AA212" s="184"/>
      <c r="AB212" s="182"/>
      <c r="AC212" s="114">
        <v>1</v>
      </c>
      <c r="AD212" s="172" t="s">
        <v>887</v>
      </c>
      <c r="AE212" s="114"/>
      <c r="AF212" s="114"/>
      <c r="AG212" s="114"/>
      <c r="AH212" s="106"/>
      <c r="AI212" s="114"/>
      <c r="AJ212" s="106"/>
      <c r="AK212" s="114"/>
      <c r="AL212" s="106" t="s">
        <v>915</v>
      </c>
      <c r="AM212" s="114"/>
      <c r="AN212" s="106"/>
      <c r="AO212" s="114"/>
      <c r="AP212" s="106"/>
      <c r="AQ212" s="114" t="s">
        <v>915</v>
      </c>
      <c r="AR212" s="106"/>
      <c r="AS212" s="114"/>
      <c r="AT212" s="106"/>
      <c r="AU212" s="114"/>
      <c r="AV212" s="106"/>
      <c r="AW212" s="114"/>
      <c r="AX212" s="157"/>
      <c r="AY212" s="157"/>
      <c r="AZ212" s="157"/>
      <c r="BA212" s="157"/>
      <c r="BB212" s="157"/>
      <c r="BC212" s="157"/>
    </row>
    <row r="213" spans="1:55" ht="79.2" x14ac:dyDescent="0.3">
      <c r="A213" s="114">
        <f>A212+1</f>
        <v>210</v>
      </c>
      <c r="B213" s="179" t="s">
        <v>1800</v>
      </c>
      <c r="C213" s="114">
        <v>0</v>
      </c>
      <c r="D213" s="114" t="s">
        <v>991</v>
      </c>
      <c r="E213" s="114" t="s">
        <v>980</v>
      </c>
      <c r="F213" s="114" t="s">
        <v>909</v>
      </c>
      <c r="G213" s="114"/>
      <c r="H213" s="114"/>
      <c r="I213" s="114"/>
      <c r="J213" s="114"/>
      <c r="K213" s="114"/>
      <c r="L213" s="114"/>
      <c r="M213" s="114"/>
      <c r="N213" s="114">
        <v>5</v>
      </c>
      <c r="O213" s="180">
        <v>0</v>
      </c>
      <c r="P213" s="180">
        <v>1000</v>
      </c>
      <c r="Q213" s="180">
        <v>8</v>
      </c>
      <c r="R213" s="180">
        <v>0.1</v>
      </c>
      <c r="S213" s="180" t="s">
        <v>1047</v>
      </c>
      <c r="T213" s="181" t="s">
        <v>1801</v>
      </c>
      <c r="U213" s="179" t="s">
        <v>1802</v>
      </c>
      <c r="V213" s="179" t="s">
        <v>1803</v>
      </c>
      <c r="W213" s="114" t="s">
        <v>1804</v>
      </c>
      <c r="X213" s="180">
        <v>16</v>
      </c>
      <c r="Y213" s="182" t="s">
        <v>913</v>
      </c>
      <c r="Z213" s="183" t="s">
        <v>1805</v>
      </c>
      <c r="AA213" s="184" t="s">
        <v>935</v>
      </c>
      <c r="AB213" s="182"/>
      <c r="AC213" s="114">
        <v>1</v>
      </c>
      <c r="AD213" s="172" t="s">
        <v>887</v>
      </c>
      <c r="AE213" s="114"/>
      <c r="AF213" s="114"/>
      <c r="AG213" s="114"/>
      <c r="AH213" s="106"/>
      <c r="AI213" s="114"/>
      <c r="AJ213" s="106"/>
      <c r="AK213" s="114"/>
      <c r="AL213" s="106"/>
      <c r="AM213" s="114"/>
      <c r="AN213" s="106"/>
      <c r="AO213" s="114"/>
      <c r="AP213" s="106" t="s">
        <v>915</v>
      </c>
      <c r="AQ213" s="114" t="s">
        <v>915</v>
      </c>
      <c r="AR213" s="106"/>
      <c r="AS213" s="114"/>
      <c r="AT213" s="106"/>
      <c r="AU213" s="114"/>
      <c r="AV213" s="106"/>
      <c r="AW213" s="114"/>
      <c r="AX213" s="157"/>
      <c r="AY213" s="157"/>
      <c r="AZ213" s="157"/>
      <c r="BA213" s="157"/>
      <c r="BB213" s="157"/>
      <c r="BC213" s="157"/>
    </row>
    <row r="214" spans="1:55" x14ac:dyDescent="0.3">
      <c r="A214" s="114">
        <f t="shared" si="4"/>
        <v>211</v>
      </c>
      <c r="B214" s="179" t="s">
        <v>1806</v>
      </c>
      <c r="C214" s="114">
        <v>0</v>
      </c>
      <c r="D214" s="114" t="s">
        <v>991</v>
      </c>
      <c r="E214" s="114" t="s">
        <v>980</v>
      </c>
      <c r="F214" s="114" t="s">
        <v>909</v>
      </c>
      <c r="G214" s="114"/>
      <c r="H214" s="114"/>
      <c r="I214" s="114"/>
      <c r="J214" s="114"/>
      <c r="K214" s="114"/>
      <c r="L214" s="114"/>
      <c r="M214" s="114"/>
      <c r="N214" s="114">
        <v>5</v>
      </c>
      <c r="O214" s="180">
        <v>0</v>
      </c>
      <c r="P214" s="180">
        <v>1023</v>
      </c>
      <c r="Q214" s="180">
        <v>0</v>
      </c>
      <c r="R214" s="180"/>
      <c r="S214" s="180" t="s">
        <v>1665</v>
      </c>
      <c r="T214" s="181" t="s">
        <v>1807</v>
      </c>
      <c r="U214" s="179" t="s">
        <v>1808</v>
      </c>
      <c r="V214" s="179" t="s">
        <v>1808</v>
      </c>
      <c r="W214" s="114" t="s">
        <v>1809</v>
      </c>
      <c r="X214" s="180">
        <v>16</v>
      </c>
      <c r="Y214" s="182" t="s">
        <v>913</v>
      </c>
      <c r="Z214" s="183"/>
      <c r="AA214" s="184"/>
      <c r="AB214" s="182"/>
      <c r="AC214" s="114">
        <v>1</v>
      </c>
      <c r="AD214" s="172" t="s">
        <v>887</v>
      </c>
      <c r="AE214" s="114"/>
      <c r="AF214" s="114"/>
      <c r="AG214" s="114"/>
      <c r="AH214" s="106"/>
      <c r="AI214" s="114"/>
      <c r="AJ214" s="106"/>
      <c r="AK214" s="114"/>
      <c r="AL214" s="106"/>
      <c r="AM214" s="114"/>
      <c r="AN214" s="106"/>
      <c r="AO214" s="114"/>
      <c r="AP214" s="106"/>
      <c r="AQ214" s="114"/>
      <c r="AR214" s="106"/>
      <c r="AS214" s="114"/>
      <c r="AT214" s="106"/>
      <c r="AU214" s="114"/>
      <c r="AV214" s="106"/>
      <c r="AW214" s="114"/>
      <c r="AX214" s="157"/>
      <c r="AY214" s="157"/>
      <c r="AZ214" s="157"/>
      <c r="BA214" s="157"/>
      <c r="BB214" s="157"/>
      <c r="BC214" s="157"/>
    </row>
    <row r="215" spans="1:55" x14ac:dyDescent="0.3">
      <c r="A215" s="114">
        <f t="shared" si="4"/>
        <v>212</v>
      </c>
      <c r="B215" s="179" t="s">
        <v>1810</v>
      </c>
      <c r="C215" s="114">
        <v>0</v>
      </c>
      <c r="D215" s="114" t="s">
        <v>991</v>
      </c>
      <c r="E215" s="114" t="s">
        <v>929</v>
      </c>
      <c r="F215" s="114" t="s">
        <v>909</v>
      </c>
      <c r="G215" s="114"/>
      <c r="H215" s="114"/>
      <c r="I215" s="114"/>
      <c r="J215" s="114"/>
      <c r="K215" s="114"/>
      <c r="L215" s="114"/>
      <c r="M215" s="191" t="s">
        <v>874</v>
      </c>
      <c r="N215" s="114">
        <v>5</v>
      </c>
      <c r="O215" s="180" t="s">
        <v>909</v>
      </c>
      <c r="P215" s="180" t="s">
        <v>1811</v>
      </c>
      <c r="Q215" s="180" t="s">
        <v>909</v>
      </c>
      <c r="R215" s="180"/>
      <c r="S215" s="180"/>
      <c r="T215" s="181" t="s">
        <v>1812</v>
      </c>
      <c r="U215" s="179" t="s">
        <v>1813</v>
      </c>
      <c r="V215" s="179" t="s">
        <v>1814</v>
      </c>
      <c r="W215" s="114" t="s">
        <v>1815</v>
      </c>
      <c r="X215" s="180">
        <v>16</v>
      </c>
      <c r="Y215" s="182" t="s">
        <v>913</v>
      </c>
      <c r="Z215" s="183"/>
      <c r="AA215" s="184"/>
      <c r="AB215" s="182"/>
      <c r="AC215" s="114">
        <v>1</v>
      </c>
      <c r="AD215" s="172" t="s">
        <v>887</v>
      </c>
      <c r="AE215" s="114"/>
      <c r="AF215" s="114"/>
      <c r="AG215" s="114"/>
      <c r="AH215" s="106"/>
      <c r="AI215" s="114"/>
      <c r="AJ215" s="106"/>
      <c r="AK215" s="114"/>
      <c r="AL215" s="106"/>
      <c r="AM215" s="114"/>
      <c r="AN215" s="106"/>
      <c r="AO215" s="114"/>
      <c r="AP215" s="106"/>
      <c r="AQ215" s="114"/>
      <c r="AR215" s="106"/>
      <c r="AS215" s="114"/>
      <c r="AT215" s="106"/>
      <c r="AU215" s="114"/>
      <c r="AV215" s="106"/>
      <c r="AW215" s="114"/>
      <c r="AX215" s="157"/>
      <c r="AY215" s="157"/>
      <c r="AZ215" s="157"/>
      <c r="BA215" s="157"/>
      <c r="BB215" s="157"/>
      <c r="BC215" s="157"/>
    </row>
    <row r="216" spans="1:55" x14ac:dyDescent="0.3">
      <c r="A216" s="114">
        <f t="shared" si="4"/>
        <v>213</v>
      </c>
      <c r="B216" s="179" t="s">
        <v>1816</v>
      </c>
      <c r="C216" s="114">
        <v>0</v>
      </c>
      <c r="D216" s="114" t="s">
        <v>991</v>
      </c>
      <c r="E216" s="114" t="s">
        <v>980</v>
      </c>
      <c r="F216" s="114" t="s">
        <v>909</v>
      </c>
      <c r="G216" s="114"/>
      <c r="H216" s="114"/>
      <c r="I216" s="114"/>
      <c r="J216" s="114"/>
      <c r="K216" s="114"/>
      <c r="L216" s="114"/>
      <c r="M216" s="114"/>
      <c r="N216" s="114">
        <v>5</v>
      </c>
      <c r="O216" s="180">
        <v>0</v>
      </c>
      <c r="P216" s="180">
        <v>1000</v>
      </c>
      <c r="Q216" s="180">
        <v>10</v>
      </c>
      <c r="R216" s="180"/>
      <c r="S216" s="180" t="s">
        <v>1047</v>
      </c>
      <c r="T216" s="181" t="s">
        <v>1817</v>
      </c>
      <c r="U216" s="179" t="s">
        <v>1818</v>
      </c>
      <c r="V216" s="179" t="s">
        <v>1818</v>
      </c>
      <c r="W216" s="114" t="s">
        <v>1819</v>
      </c>
      <c r="X216" s="180">
        <v>16</v>
      </c>
      <c r="Y216" s="182" t="s">
        <v>913</v>
      </c>
      <c r="Z216" s="183"/>
      <c r="AA216" s="184"/>
      <c r="AB216" s="182"/>
      <c r="AC216" s="114">
        <v>1</v>
      </c>
      <c r="AD216" s="172" t="s">
        <v>887</v>
      </c>
      <c r="AE216" s="114"/>
      <c r="AF216" s="114"/>
      <c r="AG216" s="114"/>
      <c r="AH216" s="106"/>
      <c r="AI216" s="114"/>
      <c r="AJ216" s="106"/>
      <c r="AK216" s="114"/>
      <c r="AL216" s="106"/>
      <c r="AM216" s="114"/>
      <c r="AN216" s="106"/>
      <c r="AO216" s="114"/>
      <c r="AP216" s="106"/>
      <c r="AQ216" s="114"/>
      <c r="AR216" s="106"/>
      <c r="AS216" s="114"/>
      <c r="AT216" s="106"/>
      <c r="AU216" s="114"/>
      <c r="AV216" s="106"/>
      <c r="AW216" s="114"/>
      <c r="AX216" s="157"/>
      <c r="AY216" s="157"/>
      <c r="AZ216" s="157"/>
      <c r="BA216" s="157"/>
      <c r="BB216" s="157"/>
      <c r="BC216" s="157"/>
    </row>
    <row r="217" spans="1:55" x14ac:dyDescent="0.3">
      <c r="A217" s="114">
        <f t="shared" si="4"/>
        <v>214</v>
      </c>
      <c r="B217" s="179" t="s">
        <v>1820</v>
      </c>
      <c r="C217" s="114">
        <v>0</v>
      </c>
      <c r="D217" s="114" t="s">
        <v>991</v>
      </c>
      <c r="E217" s="114" t="s">
        <v>966</v>
      </c>
      <c r="F217" s="114" t="s">
        <v>909</v>
      </c>
      <c r="G217" s="114"/>
      <c r="H217" s="114"/>
      <c r="I217" s="114"/>
      <c r="J217" s="114"/>
      <c r="K217" s="114"/>
      <c r="L217" s="114"/>
      <c r="M217" s="114"/>
      <c r="N217" s="114">
        <v>5</v>
      </c>
      <c r="O217" s="180">
        <v>0</v>
      </c>
      <c r="P217" s="180">
        <v>50331648</v>
      </c>
      <c r="Q217" s="180">
        <v>16777216</v>
      </c>
      <c r="R217" s="180"/>
      <c r="S217" s="180"/>
      <c r="T217" s="181" t="s">
        <v>1821</v>
      </c>
      <c r="U217" s="179" t="s">
        <v>1822</v>
      </c>
      <c r="V217" s="179" t="s">
        <v>1823</v>
      </c>
      <c r="W217" s="114" t="s">
        <v>1824</v>
      </c>
      <c r="X217" s="180">
        <v>32</v>
      </c>
      <c r="Y217" s="182" t="s">
        <v>913</v>
      </c>
      <c r="Z217" s="183" t="s">
        <v>1825</v>
      </c>
      <c r="AA217" s="184"/>
      <c r="AB217" s="179"/>
      <c r="AC217" s="114">
        <v>1</v>
      </c>
      <c r="AD217" s="172" t="s">
        <v>887</v>
      </c>
      <c r="AE217" s="114"/>
      <c r="AF217" s="114"/>
      <c r="AG217" s="114"/>
      <c r="AH217" s="106"/>
      <c r="AI217" s="114"/>
      <c r="AJ217" s="106"/>
      <c r="AK217" s="114"/>
      <c r="AL217" s="106"/>
      <c r="AM217" s="114"/>
      <c r="AN217" s="106"/>
      <c r="AO217" s="114"/>
      <c r="AP217" s="106"/>
      <c r="AQ217" s="114"/>
      <c r="AR217" s="106"/>
      <c r="AS217" s="114"/>
      <c r="AT217" s="106"/>
      <c r="AU217" s="114"/>
      <c r="AV217" s="106"/>
      <c r="AW217" s="114"/>
      <c r="AX217" s="157"/>
      <c r="AY217" s="157"/>
      <c r="AZ217" s="157"/>
      <c r="BA217" s="157"/>
      <c r="BB217" s="157"/>
      <c r="BC217" s="157"/>
    </row>
    <row r="218" spans="1:55" ht="39.6" x14ac:dyDescent="0.3">
      <c r="A218" s="114">
        <f t="shared" si="4"/>
        <v>215</v>
      </c>
      <c r="B218" s="179" t="s">
        <v>1826</v>
      </c>
      <c r="C218" s="114">
        <v>0</v>
      </c>
      <c r="D218" s="114" t="s">
        <v>991</v>
      </c>
      <c r="E218" s="114" t="s">
        <v>980</v>
      </c>
      <c r="F218" s="114" t="s">
        <v>909</v>
      </c>
      <c r="G218" s="114"/>
      <c r="H218" s="114"/>
      <c r="I218" s="114"/>
      <c r="J218" s="114" t="s">
        <v>871</v>
      </c>
      <c r="K218" s="114"/>
      <c r="L218" s="114"/>
      <c r="M218" s="114"/>
      <c r="N218" s="114">
        <v>3</v>
      </c>
      <c r="O218" s="180">
        <v>-7</v>
      </c>
      <c r="P218" s="180">
        <v>8</v>
      </c>
      <c r="Q218" s="180">
        <v>0</v>
      </c>
      <c r="R218" s="180"/>
      <c r="S218" s="180"/>
      <c r="T218" s="181" t="s">
        <v>1827</v>
      </c>
      <c r="U218" s="179" t="s">
        <v>1828</v>
      </c>
      <c r="V218" s="179" t="s">
        <v>1828</v>
      </c>
      <c r="W218" s="114" t="s">
        <v>1829</v>
      </c>
      <c r="X218" s="180">
        <v>16</v>
      </c>
      <c r="Y218" s="182" t="s">
        <v>913</v>
      </c>
      <c r="Z218" s="183" t="s">
        <v>1830</v>
      </c>
      <c r="AA218" s="184"/>
      <c r="AB218" s="179"/>
      <c r="AC218" s="114"/>
      <c r="AD218" s="172" t="s">
        <v>887</v>
      </c>
      <c r="AE218" s="114"/>
      <c r="AF218" s="114"/>
      <c r="AG218" s="114"/>
      <c r="AH218" s="106"/>
      <c r="AI218" s="114"/>
      <c r="AJ218" s="106"/>
      <c r="AK218" s="114"/>
      <c r="AL218" s="106"/>
      <c r="AM218" s="114"/>
      <c r="AN218" s="106"/>
      <c r="AO218" s="114"/>
      <c r="AP218" s="106"/>
      <c r="AQ218" s="114"/>
      <c r="AR218" s="106"/>
      <c r="AS218" s="114"/>
      <c r="AT218" s="106"/>
      <c r="AU218" s="114"/>
      <c r="AV218" s="106"/>
      <c r="AW218" s="114"/>
      <c r="AX218" s="157"/>
      <c r="AY218" s="157"/>
      <c r="AZ218" s="157"/>
      <c r="BA218" s="157"/>
      <c r="BB218" s="157"/>
      <c r="BC218" s="157"/>
    </row>
    <row r="219" spans="1:55" x14ac:dyDescent="0.3">
      <c r="A219" s="114">
        <f t="shared" si="4"/>
        <v>216</v>
      </c>
      <c r="B219" s="179" t="s">
        <v>1831</v>
      </c>
      <c r="C219" s="114">
        <v>0</v>
      </c>
      <c r="D219" s="114" t="s">
        <v>991</v>
      </c>
      <c r="E219" s="114" t="s">
        <v>980</v>
      </c>
      <c r="F219" s="114" t="s">
        <v>909</v>
      </c>
      <c r="G219" s="114"/>
      <c r="H219" s="114"/>
      <c r="I219" s="114"/>
      <c r="J219" s="114"/>
      <c r="K219" s="114"/>
      <c r="L219" s="114"/>
      <c r="M219" s="114"/>
      <c r="N219" s="114">
        <v>5</v>
      </c>
      <c r="O219" s="180">
        <v>1</v>
      </c>
      <c r="P219" s="180">
        <v>50</v>
      </c>
      <c r="Q219" s="180">
        <v>19</v>
      </c>
      <c r="R219" s="180"/>
      <c r="S219" s="180"/>
      <c r="T219" s="181" t="s">
        <v>1832</v>
      </c>
      <c r="U219" s="179" t="s">
        <v>1833</v>
      </c>
      <c r="V219" s="179" t="s">
        <v>1834</v>
      </c>
      <c r="W219" s="114" t="s">
        <v>1835</v>
      </c>
      <c r="X219" s="180">
        <v>16</v>
      </c>
      <c r="Y219" s="182" t="s">
        <v>913</v>
      </c>
      <c r="Z219" s="183"/>
      <c r="AA219" s="184"/>
      <c r="AB219" s="182"/>
      <c r="AC219" s="114">
        <v>1</v>
      </c>
      <c r="AD219" s="172" t="s">
        <v>887</v>
      </c>
      <c r="AE219" s="114"/>
      <c r="AF219" s="114"/>
      <c r="AG219" s="114"/>
      <c r="AH219" s="106"/>
      <c r="AI219" s="114"/>
      <c r="AJ219" s="106"/>
      <c r="AK219" s="114"/>
      <c r="AL219" s="106"/>
      <c r="AM219" s="114"/>
      <c r="AN219" s="106"/>
      <c r="AO219" s="114"/>
      <c r="AP219" s="106"/>
      <c r="AQ219" s="114" t="s">
        <v>915</v>
      </c>
      <c r="AR219" s="106"/>
      <c r="AS219" s="114"/>
      <c r="AT219" s="106"/>
      <c r="AU219" s="114"/>
      <c r="AV219" s="106"/>
      <c r="AW219" s="114"/>
      <c r="AX219" s="157"/>
      <c r="AY219" s="157"/>
      <c r="AZ219" s="157"/>
      <c r="BA219" s="157"/>
      <c r="BB219" s="157"/>
      <c r="BC219" s="157"/>
    </row>
    <row r="220" spans="1:55" x14ac:dyDescent="0.3">
      <c r="A220" s="114">
        <f t="shared" si="4"/>
        <v>217</v>
      </c>
      <c r="B220" s="179" t="s">
        <v>1836</v>
      </c>
      <c r="C220" s="114">
        <v>0</v>
      </c>
      <c r="D220" s="114" t="s">
        <v>991</v>
      </c>
      <c r="E220" s="114" t="s">
        <v>929</v>
      </c>
      <c r="F220" s="114" t="s">
        <v>909</v>
      </c>
      <c r="G220" s="114"/>
      <c r="H220" s="114"/>
      <c r="I220" s="114"/>
      <c r="J220" s="114"/>
      <c r="K220" s="114"/>
      <c r="L220" s="114"/>
      <c r="M220" s="114"/>
      <c r="N220" s="114">
        <v>5</v>
      </c>
      <c r="O220" s="180" t="s">
        <v>909</v>
      </c>
      <c r="P220" s="180" t="s">
        <v>1837</v>
      </c>
      <c r="Q220" s="180" t="s">
        <v>1838</v>
      </c>
      <c r="R220" s="180"/>
      <c r="S220" s="180"/>
      <c r="T220" s="181" t="s">
        <v>1839</v>
      </c>
      <c r="U220" s="179" t="s">
        <v>1840</v>
      </c>
      <c r="V220" s="179" t="s">
        <v>1841</v>
      </c>
      <c r="W220" s="114" t="s">
        <v>1842</v>
      </c>
      <c r="X220" s="180">
        <v>16</v>
      </c>
      <c r="Y220" s="182" t="s">
        <v>913</v>
      </c>
      <c r="Z220" s="183"/>
      <c r="AA220" s="184"/>
      <c r="AB220" s="182"/>
      <c r="AC220" s="114">
        <v>1</v>
      </c>
      <c r="AD220" s="172" t="s">
        <v>887</v>
      </c>
      <c r="AE220" s="114"/>
      <c r="AF220" s="114"/>
      <c r="AG220" s="114"/>
      <c r="AH220" s="106"/>
      <c r="AI220" s="114"/>
      <c r="AJ220" s="106"/>
      <c r="AK220" s="114"/>
      <c r="AL220" s="106"/>
      <c r="AM220" s="114"/>
      <c r="AN220" s="106"/>
      <c r="AO220" s="114"/>
      <c r="AP220" s="106"/>
      <c r="AQ220" s="114" t="s">
        <v>915</v>
      </c>
      <c r="AR220" s="106"/>
      <c r="AS220" s="114"/>
      <c r="AT220" s="106"/>
      <c r="AU220" s="114"/>
      <c r="AV220" s="106"/>
      <c r="AW220" s="114"/>
      <c r="AX220" s="157"/>
      <c r="AY220" s="157"/>
      <c r="AZ220" s="157"/>
      <c r="BA220" s="157"/>
      <c r="BB220" s="157"/>
      <c r="BC220" s="157"/>
    </row>
    <row r="221" spans="1:55" ht="26.4" x14ac:dyDescent="0.3">
      <c r="A221" s="114">
        <f>A220+1</f>
        <v>218</v>
      </c>
      <c r="B221" s="179" t="s">
        <v>1843</v>
      </c>
      <c r="C221" s="114">
        <v>0</v>
      </c>
      <c r="D221" s="114" t="s">
        <v>991</v>
      </c>
      <c r="E221" s="114" t="s">
        <v>980</v>
      </c>
      <c r="F221" s="114" t="s">
        <v>909</v>
      </c>
      <c r="G221" s="114"/>
      <c r="H221" s="114"/>
      <c r="I221" s="114"/>
      <c r="J221" s="114"/>
      <c r="K221" s="114"/>
      <c r="L221" s="114"/>
      <c r="M221" s="114"/>
      <c r="N221" s="114">
        <v>3</v>
      </c>
      <c r="O221" s="192" t="s">
        <v>1844</v>
      </c>
      <c r="P221" s="139" t="s">
        <v>1845</v>
      </c>
      <c r="Q221" s="140" t="s">
        <v>1846</v>
      </c>
      <c r="R221" s="180"/>
      <c r="S221" s="192" t="s">
        <v>1437</v>
      </c>
      <c r="T221" s="181" t="s">
        <v>1847</v>
      </c>
      <c r="U221" s="179" t="s">
        <v>1848</v>
      </c>
      <c r="V221" s="179" t="s">
        <v>1849</v>
      </c>
      <c r="W221" s="114" t="s">
        <v>1850</v>
      </c>
      <c r="X221" s="180">
        <v>16</v>
      </c>
      <c r="Y221" s="182" t="s">
        <v>1305</v>
      </c>
      <c r="Z221" s="183" t="s">
        <v>1851</v>
      </c>
      <c r="AA221" s="184"/>
      <c r="AB221" s="182"/>
      <c r="AC221" s="114">
        <v>2</v>
      </c>
      <c r="AD221" s="172" t="s">
        <v>887</v>
      </c>
      <c r="AE221" s="114"/>
      <c r="AF221" s="114"/>
      <c r="AG221" s="114"/>
      <c r="AH221" s="106"/>
      <c r="AI221" s="114"/>
      <c r="AJ221" s="106"/>
      <c r="AK221" s="114"/>
      <c r="AL221" s="106"/>
      <c r="AM221" s="114"/>
      <c r="AN221" s="106"/>
      <c r="AO221" s="114"/>
      <c r="AP221" s="106"/>
      <c r="AQ221" s="114"/>
      <c r="AR221" s="106"/>
      <c r="AS221" s="114"/>
      <c r="AT221" s="106"/>
      <c r="AU221" s="114"/>
      <c r="AV221" s="106"/>
      <c r="AW221" s="114"/>
      <c r="AX221" s="157"/>
      <c r="AY221" s="157"/>
      <c r="AZ221" s="157"/>
      <c r="BA221" s="157"/>
      <c r="BB221" s="157"/>
      <c r="BC221" s="157"/>
    </row>
    <row r="222" spans="1:55" ht="26.4" x14ac:dyDescent="0.3">
      <c r="A222" s="114">
        <f>A221+1</f>
        <v>219</v>
      </c>
      <c r="B222" s="179" t="s">
        <v>1852</v>
      </c>
      <c r="C222" s="114">
        <v>0</v>
      </c>
      <c r="D222" s="114" t="s">
        <v>991</v>
      </c>
      <c r="E222" s="114" t="s">
        <v>966</v>
      </c>
      <c r="F222" s="114" t="s">
        <v>909</v>
      </c>
      <c r="G222" s="114"/>
      <c r="H222" s="114"/>
      <c r="I222" s="114"/>
      <c r="J222" s="114"/>
      <c r="K222" s="114"/>
      <c r="L222" s="114"/>
      <c r="M222" s="114"/>
      <c r="N222" s="114">
        <v>3</v>
      </c>
      <c r="O222" s="180">
        <v>1</v>
      </c>
      <c r="P222" s="180">
        <v>1677721600</v>
      </c>
      <c r="Q222" s="192" t="s">
        <v>1853</v>
      </c>
      <c r="R222" s="180"/>
      <c r="S222" s="180" t="s">
        <v>1238</v>
      </c>
      <c r="T222" s="181" t="s">
        <v>1854</v>
      </c>
      <c r="U222" s="179" t="s">
        <v>1855</v>
      </c>
      <c r="V222" s="179" t="s">
        <v>1856</v>
      </c>
      <c r="W222" s="114" t="s">
        <v>1857</v>
      </c>
      <c r="X222" s="180">
        <v>32</v>
      </c>
      <c r="Y222" s="182" t="s">
        <v>1318</v>
      </c>
      <c r="Z222" s="183"/>
      <c r="AA222" s="184"/>
      <c r="AB222" s="182"/>
      <c r="AC222" s="114">
        <v>2</v>
      </c>
      <c r="AD222" s="172" t="s">
        <v>887</v>
      </c>
      <c r="AE222" s="114"/>
      <c r="AF222" s="114"/>
      <c r="AG222" s="114"/>
      <c r="AH222" s="106"/>
      <c r="AI222" s="114"/>
      <c r="AJ222" s="106"/>
      <c r="AK222" s="114"/>
      <c r="AL222" s="106"/>
      <c r="AM222" s="114"/>
      <c r="AN222" s="106"/>
      <c r="AO222" s="114"/>
      <c r="AP222" s="106"/>
      <c r="AQ222" s="114"/>
      <c r="AR222" s="106"/>
      <c r="AS222" s="114"/>
      <c r="AT222" s="106"/>
      <c r="AU222" s="114"/>
      <c r="AV222" s="106"/>
      <c r="AW222" s="114"/>
      <c r="AX222" s="157"/>
      <c r="AY222" s="157"/>
      <c r="AZ222" s="157"/>
      <c r="BA222" s="157"/>
      <c r="BB222" s="157"/>
      <c r="BC222" s="157"/>
    </row>
    <row r="223" spans="1:55" ht="66" x14ac:dyDescent="0.3">
      <c r="A223" s="114">
        <f t="shared" ref="A223:A228" si="5">A222+1</f>
        <v>220</v>
      </c>
      <c r="B223" s="179" t="s">
        <v>1858</v>
      </c>
      <c r="C223" s="114">
        <v>0</v>
      </c>
      <c r="D223" s="114" t="s">
        <v>991</v>
      </c>
      <c r="E223" s="114" t="s">
        <v>929</v>
      </c>
      <c r="F223" s="114" t="s">
        <v>909</v>
      </c>
      <c r="G223" s="114"/>
      <c r="H223" s="114"/>
      <c r="I223" s="114"/>
      <c r="J223" s="114"/>
      <c r="K223" s="114"/>
      <c r="L223" s="114"/>
      <c r="M223" s="191" t="s">
        <v>874</v>
      </c>
      <c r="N223" s="114">
        <v>6</v>
      </c>
      <c r="O223" s="180" t="s">
        <v>909</v>
      </c>
      <c r="P223" s="180" t="s">
        <v>1720</v>
      </c>
      <c r="Q223" s="180" t="s">
        <v>1267</v>
      </c>
      <c r="R223" s="180"/>
      <c r="S223" s="180"/>
      <c r="T223" s="181" t="s">
        <v>1859</v>
      </c>
      <c r="U223" s="179" t="s">
        <v>1860</v>
      </c>
      <c r="V223" s="179" t="s">
        <v>1861</v>
      </c>
      <c r="W223" s="114" t="s">
        <v>1862</v>
      </c>
      <c r="X223" s="180">
        <v>16</v>
      </c>
      <c r="Y223" s="182" t="s">
        <v>913</v>
      </c>
      <c r="Z223" s="183" t="s">
        <v>1863</v>
      </c>
      <c r="AA223" s="184"/>
      <c r="AB223" s="182"/>
      <c r="AC223" s="114">
        <v>3</v>
      </c>
      <c r="AD223" s="172" t="s">
        <v>887</v>
      </c>
      <c r="AE223" s="114"/>
      <c r="AF223" s="114"/>
      <c r="AG223" s="114"/>
      <c r="AH223" s="106"/>
      <c r="AI223" s="114"/>
      <c r="AJ223" s="106"/>
      <c r="AK223" s="114"/>
      <c r="AL223" s="106"/>
      <c r="AM223" s="114"/>
      <c r="AN223" s="106"/>
      <c r="AO223" s="114"/>
      <c r="AP223" s="106"/>
      <c r="AQ223" s="114"/>
      <c r="AR223" s="106"/>
      <c r="AS223" s="114"/>
      <c r="AT223" s="106"/>
      <c r="AU223" s="114"/>
      <c r="AV223" s="106"/>
      <c r="AW223" s="114"/>
      <c r="AX223" s="157"/>
      <c r="AY223" s="157"/>
      <c r="AZ223" s="157"/>
      <c r="BA223" s="157"/>
      <c r="BB223" s="157"/>
      <c r="BC223" s="157"/>
    </row>
    <row r="224" spans="1:55" ht="66" x14ac:dyDescent="0.3">
      <c r="A224" s="114">
        <f t="shared" si="5"/>
        <v>221</v>
      </c>
      <c r="B224" s="179" t="s">
        <v>1864</v>
      </c>
      <c r="C224" s="114">
        <v>0</v>
      </c>
      <c r="D224" s="114" t="s">
        <v>991</v>
      </c>
      <c r="E224" s="114" t="s">
        <v>929</v>
      </c>
      <c r="F224" s="114" t="s">
        <v>909</v>
      </c>
      <c r="G224" s="114"/>
      <c r="H224" s="114"/>
      <c r="I224" s="114"/>
      <c r="J224" s="114"/>
      <c r="K224" s="114"/>
      <c r="L224" s="114"/>
      <c r="M224" s="191" t="s">
        <v>874</v>
      </c>
      <c r="N224" s="114">
        <v>6</v>
      </c>
      <c r="O224" s="180" t="s">
        <v>909</v>
      </c>
      <c r="P224" s="180" t="s">
        <v>1720</v>
      </c>
      <c r="Q224" s="180" t="s">
        <v>1267</v>
      </c>
      <c r="R224" s="180"/>
      <c r="S224" s="180"/>
      <c r="T224" s="181" t="s">
        <v>1865</v>
      </c>
      <c r="U224" s="179" t="s">
        <v>1866</v>
      </c>
      <c r="V224" s="179" t="s">
        <v>1867</v>
      </c>
      <c r="W224" s="114" t="s">
        <v>1868</v>
      </c>
      <c r="X224" s="180">
        <v>16</v>
      </c>
      <c r="Y224" s="182" t="s">
        <v>913</v>
      </c>
      <c r="Z224" s="183" t="s">
        <v>1863</v>
      </c>
      <c r="AA224" s="184"/>
      <c r="AB224" s="182"/>
      <c r="AC224" s="114">
        <v>3</v>
      </c>
      <c r="AD224" s="172" t="s">
        <v>887</v>
      </c>
      <c r="AE224" s="114"/>
      <c r="AF224" s="114"/>
      <c r="AG224" s="114"/>
      <c r="AH224" s="106"/>
      <c r="AI224" s="114"/>
      <c r="AJ224" s="106"/>
      <c r="AK224" s="114"/>
      <c r="AL224" s="106"/>
      <c r="AM224" s="114"/>
      <c r="AN224" s="106"/>
      <c r="AO224" s="114"/>
      <c r="AP224" s="106"/>
      <c r="AQ224" s="114"/>
      <c r="AR224" s="106"/>
      <c r="AS224" s="114"/>
      <c r="AT224" s="106"/>
      <c r="AU224" s="114"/>
      <c r="AV224" s="106"/>
      <c r="AW224" s="114"/>
      <c r="AX224" s="157"/>
      <c r="AY224" s="157"/>
      <c r="AZ224" s="157"/>
      <c r="BA224" s="157"/>
      <c r="BB224" s="157"/>
      <c r="BC224" s="157"/>
    </row>
    <row r="225" spans="1:55" ht="66" x14ac:dyDescent="0.3">
      <c r="A225" s="114">
        <f t="shared" si="5"/>
        <v>222</v>
      </c>
      <c r="B225" s="179" t="s">
        <v>1869</v>
      </c>
      <c r="C225" s="114">
        <v>0</v>
      </c>
      <c r="D225" s="114" t="s">
        <v>991</v>
      </c>
      <c r="E225" s="114" t="s">
        <v>929</v>
      </c>
      <c r="F225" s="114" t="s">
        <v>909</v>
      </c>
      <c r="G225" s="114"/>
      <c r="H225" s="114"/>
      <c r="I225" s="114"/>
      <c r="J225" s="114"/>
      <c r="K225" s="114"/>
      <c r="L225" s="114"/>
      <c r="M225" s="191" t="s">
        <v>874</v>
      </c>
      <c r="N225" s="114">
        <v>6</v>
      </c>
      <c r="O225" s="180" t="s">
        <v>909</v>
      </c>
      <c r="P225" s="180" t="s">
        <v>1720</v>
      </c>
      <c r="Q225" s="180" t="s">
        <v>1267</v>
      </c>
      <c r="R225" s="180"/>
      <c r="S225" s="180"/>
      <c r="T225" s="181" t="s">
        <v>1870</v>
      </c>
      <c r="U225" s="179" t="s">
        <v>1871</v>
      </c>
      <c r="V225" s="179" t="s">
        <v>1872</v>
      </c>
      <c r="W225" s="114" t="s">
        <v>1873</v>
      </c>
      <c r="X225" s="180">
        <v>16</v>
      </c>
      <c r="Y225" s="182" t="s">
        <v>913</v>
      </c>
      <c r="Z225" s="183" t="s">
        <v>1863</v>
      </c>
      <c r="AA225" s="184"/>
      <c r="AB225" s="182"/>
      <c r="AC225" s="114">
        <v>3</v>
      </c>
      <c r="AD225" s="172" t="s">
        <v>887</v>
      </c>
      <c r="AE225" s="114"/>
      <c r="AF225" s="114"/>
      <c r="AG225" s="114"/>
      <c r="AH225" s="106"/>
      <c r="AI225" s="114"/>
      <c r="AJ225" s="106"/>
      <c r="AK225" s="114"/>
      <c r="AL225" s="106"/>
      <c r="AM225" s="114"/>
      <c r="AN225" s="106"/>
      <c r="AO225" s="114"/>
      <c r="AP225" s="106"/>
      <c r="AQ225" s="114"/>
      <c r="AR225" s="106"/>
      <c r="AS225" s="114"/>
      <c r="AT225" s="106"/>
      <c r="AU225" s="114"/>
      <c r="AV225" s="106"/>
      <c r="AW225" s="114"/>
      <c r="AX225" s="157"/>
      <c r="AY225" s="157"/>
      <c r="AZ225" s="157"/>
      <c r="BA225" s="157"/>
      <c r="BB225" s="157"/>
      <c r="BC225" s="157"/>
    </row>
    <row r="226" spans="1:55" ht="66" x14ac:dyDescent="0.3">
      <c r="A226" s="114">
        <f t="shared" si="5"/>
        <v>223</v>
      </c>
      <c r="B226" s="179" t="s">
        <v>1874</v>
      </c>
      <c r="C226" s="114">
        <v>0</v>
      </c>
      <c r="D226" s="114" t="s">
        <v>991</v>
      </c>
      <c r="E226" s="114" t="s">
        <v>929</v>
      </c>
      <c r="F226" s="114" t="s">
        <v>909</v>
      </c>
      <c r="G226" s="114"/>
      <c r="H226" s="114"/>
      <c r="I226" s="114"/>
      <c r="J226" s="114"/>
      <c r="K226" s="114"/>
      <c r="L226" s="114"/>
      <c r="M226" s="191" t="s">
        <v>874</v>
      </c>
      <c r="N226" s="114">
        <v>6</v>
      </c>
      <c r="O226" s="180" t="s">
        <v>909</v>
      </c>
      <c r="P226" s="180" t="s">
        <v>1720</v>
      </c>
      <c r="Q226" s="180" t="s">
        <v>1267</v>
      </c>
      <c r="R226" s="180"/>
      <c r="S226" s="180"/>
      <c r="T226" s="181" t="s">
        <v>1875</v>
      </c>
      <c r="U226" s="179" t="s">
        <v>1876</v>
      </c>
      <c r="V226" s="179" t="s">
        <v>1877</v>
      </c>
      <c r="W226" s="114" t="s">
        <v>1878</v>
      </c>
      <c r="X226" s="180">
        <v>16</v>
      </c>
      <c r="Y226" s="182" t="s">
        <v>913</v>
      </c>
      <c r="Z226" s="183" t="s">
        <v>1863</v>
      </c>
      <c r="AA226" s="184"/>
      <c r="AB226" s="182"/>
      <c r="AC226" s="114">
        <v>3</v>
      </c>
      <c r="AD226" s="172" t="s">
        <v>887</v>
      </c>
      <c r="AE226" s="114"/>
      <c r="AF226" s="114"/>
      <c r="AG226" s="114"/>
      <c r="AH226" s="106"/>
      <c r="AI226" s="114"/>
      <c r="AJ226" s="106"/>
      <c r="AK226" s="114"/>
      <c r="AL226" s="106"/>
      <c r="AM226" s="114"/>
      <c r="AN226" s="106"/>
      <c r="AO226" s="114"/>
      <c r="AP226" s="106"/>
      <c r="AQ226" s="114"/>
      <c r="AR226" s="106"/>
      <c r="AS226" s="114"/>
      <c r="AT226" s="106"/>
      <c r="AU226" s="114"/>
      <c r="AV226" s="106"/>
      <c r="AW226" s="114"/>
      <c r="AX226" s="157"/>
      <c r="AY226" s="157"/>
      <c r="AZ226" s="157"/>
      <c r="BA226" s="157"/>
      <c r="BB226" s="157"/>
      <c r="BC226" s="157"/>
    </row>
    <row r="227" spans="1:55" ht="39.6" x14ac:dyDescent="0.3">
      <c r="A227" s="114">
        <f t="shared" si="5"/>
        <v>224</v>
      </c>
      <c r="B227" s="179" t="s">
        <v>1879</v>
      </c>
      <c r="C227" s="114">
        <v>0</v>
      </c>
      <c r="D227" s="114" t="s">
        <v>991</v>
      </c>
      <c r="E227" s="114" t="s">
        <v>929</v>
      </c>
      <c r="F227" s="114" t="s">
        <v>909</v>
      </c>
      <c r="G227" s="114"/>
      <c r="H227" s="114"/>
      <c r="I227" s="114"/>
      <c r="J227" s="114"/>
      <c r="K227" s="114"/>
      <c r="L227" s="114"/>
      <c r="M227" s="191" t="s">
        <v>874</v>
      </c>
      <c r="N227" s="114">
        <v>6</v>
      </c>
      <c r="O227" s="180" t="s">
        <v>909</v>
      </c>
      <c r="P227" s="180" t="s">
        <v>1720</v>
      </c>
      <c r="Q227" s="180" t="s">
        <v>1267</v>
      </c>
      <c r="R227" s="180"/>
      <c r="S227" s="180"/>
      <c r="T227" s="181" t="s">
        <v>1880</v>
      </c>
      <c r="U227" s="179" t="s">
        <v>1881</v>
      </c>
      <c r="V227" s="179" t="s">
        <v>1882</v>
      </c>
      <c r="W227" s="114" t="s">
        <v>1883</v>
      </c>
      <c r="X227" s="180">
        <v>16</v>
      </c>
      <c r="Y227" s="182" t="s">
        <v>913</v>
      </c>
      <c r="Z227" s="183" t="s">
        <v>1884</v>
      </c>
      <c r="AA227" s="184"/>
      <c r="AB227" s="182"/>
      <c r="AC227" s="114">
        <v>3</v>
      </c>
      <c r="AD227" s="172" t="s">
        <v>887</v>
      </c>
      <c r="AE227" s="114"/>
      <c r="AF227" s="114"/>
      <c r="AG227" s="114"/>
      <c r="AH227" s="106"/>
      <c r="AI227" s="114"/>
      <c r="AJ227" s="106"/>
      <c r="AK227" s="114"/>
      <c r="AL227" s="106"/>
      <c r="AM227" s="114"/>
      <c r="AN227" s="106"/>
      <c r="AO227" s="114"/>
      <c r="AP227" s="106"/>
      <c r="AQ227" s="114"/>
      <c r="AR227" s="106"/>
      <c r="AS227" s="114"/>
      <c r="AT227" s="106"/>
      <c r="AU227" s="114"/>
      <c r="AV227" s="106"/>
      <c r="AW227" s="114"/>
      <c r="AX227" s="157"/>
      <c r="AY227" s="157"/>
      <c r="AZ227" s="157"/>
      <c r="BA227" s="157"/>
      <c r="BB227" s="157"/>
      <c r="BC227" s="157"/>
    </row>
    <row r="228" spans="1:55" ht="26.4" x14ac:dyDescent="0.3">
      <c r="A228" s="114">
        <f t="shared" si="5"/>
        <v>225</v>
      </c>
      <c r="B228" s="179" t="s">
        <v>1885</v>
      </c>
      <c r="C228" s="114">
        <v>0</v>
      </c>
      <c r="D228" s="114" t="s">
        <v>991</v>
      </c>
      <c r="E228" s="114" t="s">
        <v>929</v>
      </c>
      <c r="F228" s="114" t="s">
        <v>909</v>
      </c>
      <c r="G228" s="114"/>
      <c r="H228" s="114"/>
      <c r="I228" s="114"/>
      <c r="J228" s="114"/>
      <c r="K228" s="114"/>
      <c r="L228" s="114"/>
      <c r="M228" s="191" t="s">
        <v>874</v>
      </c>
      <c r="N228" s="114">
        <v>6</v>
      </c>
      <c r="O228" s="180" t="s">
        <v>909</v>
      </c>
      <c r="P228" s="180" t="s">
        <v>1764</v>
      </c>
      <c r="Q228" s="180" t="s">
        <v>1267</v>
      </c>
      <c r="R228" s="180"/>
      <c r="S228" s="180"/>
      <c r="T228" s="181" t="s">
        <v>1886</v>
      </c>
      <c r="U228" s="179" t="s">
        <v>1887</v>
      </c>
      <c r="V228" s="179" t="s">
        <v>1888</v>
      </c>
      <c r="W228" s="114" t="s">
        <v>1889</v>
      </c>
      <c r="X228" s="180">
        <v>16</v>
      </c>
      <c r="Y228" s="182" t="s">
        <v>913</v>
      </c>
      <c r="Z228" s="183" t="s">
        <v>1890</v>
      </c>
      <c r="AA228" s="184"/>
      <c r="AB228" s="182"/>
      <c r="AC228" s="114">
        <v>3</v>
      </c>
      <c r="AD228" s="172" t="s">
        <v>887</v>
      </c>
      <c r="AE228" s="114"/>
      <c r="AF228" s="114"/>
      <c r="AG228" s="114"/>
      <c r="AH228" s="106"/>
      <c r="AI228" s="114"/>
      <c r="AJ228" s="106"/>
      <c r="AK228" s="114"/>
      <c r="AL228" s="106"/>
      <c r="AM228" s="114"/>
      <c r="AN228" s="106"/>
      <c r="AO228" s="114"/>
      <c r="AP228" s="106"/>
      <c r="AQ228" s="114"/>
      <c r="AR228" s="106"/>
      <c r="AS228" s="114"/>
      <c r="AT228" s="106"/>
      <c r="AU228" s="114"/>
      <c r="AV228" s="106"/>
      <c r="AW228" s="114"/>
      <c r="AX228" s="157"/>
      <c r="AY228" s="157"/>
      <c r="AZ228" s="157"/>
      <c r="BA228" s="157"/>
      <c r="BB228" s="157"/>
      <c r="BC228" s="157"/>
    </row>
    <row r="229" spans="1:55" x14ac:dyDescent="0.3">
      <c r="A229" s="114">
        <f>A228+1</f>
        <v>226</v>
      </c>
      <c r="B229" s="179" t="s">
        <v>1891</v>
      </c>
      <c r="C229" s="114">
        <v>0</v>
      </c>
      <c r="D229" s="114" t="s">
        <v>991</v>
      </c>
      <c r="E229" s="114" t="s">
        <v>980</v>
      </c>
      <c r="F229" s="114" t="s">
        <v>909</v>
      </c>
      <c r="G229" s="114"/>
      <c r="H229" s="114"/>
      <c r="I229" s="114"/>
      <c r="J229" s="114"/>
      <c r="K229" s="114"/>
      <c r="L229" s="114"/>
      <c r="M229" s="114"/>
      <c r="N229" s="114">
        <v>5</v>
      </c>
      <c r="O229" s="180">
        <v>50</v>
      </c>
      <c r="P229" s="180">
        <v>5000</v>
      </c>
      <c r="Q229" s="180">
        <v>1000</v>
      </c>
      <c r="R229" s="180"/>
      <c r="S229" s="180" t="s">
        <v>1382</v>
      </c>
      <c r="T229" s="181" t="s">
        <v>1892</v>
      </c>
      <c r="U229" s="179" t="s">
        <v>1893</v>
      </c>
      <c r="V229" s="179" t="s">
        <v>1894</v>
      </c>
      <c r="W229" s="114" t="s">
        <v>1895</v>
      </c>
      <c r="X229" s="180">
        <v>16</v>
      </c>
      <c r="Y229" s="182" t="s">
        <v>913</v>
      </c>
      <c r="Z229" s="183"/>
      <c r="AA229" s="184"/>
      <c r="AB229" s="182"/>
      <c r="AC229" s="114">
        <v>1</v>
      </c>
      <c r="AD229" s="172" t="s">
        <v>887</v>
      </c>
      <c r="AE229" s="114"/>
      <c r="AF229" s="114"/>
      <c r="AG229" s="114"/>
      <c r="AH229" s="106"/>
      <c r="AI229" s="114"/>
      <c r="AJ229" s="106"/>
      <c r="AK229" s="114"/>
      <c r="AL229" s="106" t="s">
        <v>915</v>
      </c>
      <c r="AM229" s="114"/>
      <c r="AN229" s="106"/>
      <c r="AO229" s="114"/>
      <c r="AP229" s="106"/>
      <c r="AQ229" s="114" t="s">
        <v>915</v>
      </c>
      <c r="AR229" s="106"/>
      <c r="AS229" s="114"/>
      <c r="AT229" s="106"/>
      <c r="AU229" s="114"/>
      <c r="AV229" s="106"/>
      <c r="AW229" s="114"/>
      <c r="AX229" s="157"/>
      <c r="AY229" s="157"/>
      <c r="AZ229" s="157"/>
      <c r="BA229" s="157"/>
      <c r="BB229" s="157"/>
      <c r="BC229" s="157"/>
    </row>
    <row r="230" spans="1:55" x14ac:dyDescent="0.3">
      <c r="A230" s="114">
        <f>A229+1</f>
        <v>227</v>
      </c>
      <c r="B230" s="179" t="s">
        <v>1896</v>
      </c>
      <c r="C230" s="114">
        <v>0</v>
      </c>
      <c r="D230" s="114" t="s">
        <v>991</v>
      </c>
      <c r="E230" s="114" t="s">
        <v>980</v>
      </c>
      <c r="F230" s="114" t="s">
        <v>909</v>
      </c>
      <c r="G230" s="114"/>
      <c r="H230" s="114"/>
      <c r="I230" s="114"/>
      <c r="J230" s="114"/>
      <c r="K230" s="114"/>
      <c r="L230" s="114"/>
      <c r="M230" s="114"/>
      <c r="N230" s="114">
        <v>5</v>
      </c>
      <c r="O230" s="180">
        <v>0</v>
      </c>
      <c r="P230" s="180">
        <v>40</v>
      </c>
      <c r="Q230" s="180">
        <v>0</v>
      </c>
      <c r="R230" s="187"/>
      <c r="S230" s="180" t="s">
        <v>1795</v>
      </c>
      <c r="T230" s="181" t="s">
        <v>1897</v>
      </c>
      <c r="U230" s="179" t="s">
        <v>1898</v>
      </c>
      <c r="V230" s="179" t="s">
        <v>1899</v>
      </c>
      <c r="W230" s="114" t="s">
        <v>1900</v>
      </c>
      <c r="X230" s="180">
        <v>16</v>
      </c>
      <c r="Y230" s="182" t="s">
        <v>913</v>
      </c>
      <c r="Z230" s="183"/>
      <c r="AA230" s="184"/>
      <c r="AB230" s="182"/>
      <c r="AC230" s="114">
        <v>1</v>
      </c>
      <c r="AD230" s="172" t="s">
        <v>887</v>
      </c>
      <c r="AE230" s="114"/>
      <c r="AF230" s="114"/>
      <c r="AG230" s="114"/>
      <c r="AH230" s="106"/>
      <c r="AI230" s="114"/>
      <c r="AJ230" s="106"/>
      <c r="AK230" s="114"/>
      <c r="AL230" s="106" t="s">
        <v>915</v>
      </c>
      <c r="AM230" s="114"/>
      <c r="AN230" s="106"/>
      <c r="AO230" s="114"/>
      <c r="AP230" s="106"/>
      <c r="AQ230" s="114" t="s">
        <v>915</v>
      </c>
      <c r="AR230" s="106"/>
      <c r="AS230" s="114"/>
      <c r="AT230" s="106"/>
      <c r="AU230" s="114"/>
      <c r="AV230" s="106"/>
      <c r="AW230" s="114"/>
      <c r="AX230" s="157"/>
      <c r="AY230" s="157"/>
      <c r="AZ230" s="157"/>
      <c r="BA230" s="157"/>
      <c r="BB230" s="157"/>
      <c r="BC230" s="157"/>
    </row>
    <row r="231" spans="1:55" x14ac:dyDescent="0.3">
      <c r="A231" s="114">
        <f t="shared" ref="A231:A275" si="6">A230+1</f>
        <v>228</v>
      </c>
      <c r="B231" s="179" t="s">
        <v>1901</v>
      </c>
      <c r="C231" s="114">
        <v>0</v>
      </c>
      <c r="D231" s="114" t="s">
        <v>991</v>
      </c>
      <c r="E231" s="114" t="s">
        <v>980</v>
      </c>
      <c r="F231" s="114" t="s">
        <v>909</v>
      </c>
      <c r="G231" s="114"/>
      <c r="H231" s="114"/>
      <c r="I231" s="114"/>
      <c r="J231" s="114"/>
      <c r="K231" s="114"/>
      <c r="L231" s="114"/>
      <c r="M231" s="114"/>
      <c r="N231" s="114">
        <v>5</v>
      </c>
      <c r="O231" s="180">
        <v>50</v>
      </c>
      <c r="P231" s="180">
        <v>5000</v>
      </c>
      <c r="Q231" s="180">
        <v>1000</v>
      </c>
      <c r="R231" s="180"/>
      <c r="S231" s="180" t="s">
        <v>1382</v>
      </c>
      <c r="T231" s="181" t="s">
        <v>1902</v>
      </c>
      <c r="U231" s="179" t="s">
        <v>1903</v>
      </c>
      <c r="V231" s="179" t="s">
        <v>1904</v>
      </c>
      <c r="W231" s="114" t="s">
        <v>1905</v>
      </c>
      <c r="X231" s="180">
        <v>16</v>
      </c>
      <c r="Y231" s="182" t="s">
        <v>913</v>
      </c>
      <c r="Z231" s="183"/>
      <c r="AA231" s="184"/>
      <c r="AB231" s="182"/>
      <c r="AC231" s="114">
        <v>1</v>
      </c>
      <c r="AD231" s="172" t="s">
        <v>887</v>
      </c>
      <c r="AE231" s="114"/>
      <c r="AF231" s="114"/>
      <c r="AG231" s="114"/>
      <c r="AH231" s="106"/>
      <c r="AI231" s="114"/>
      <c r="AJ231" s="106"/>
      <c r="AK231" s="114"/>
      <c r="AL231" s="106" t="s">
        <v>915</v>
      </c>
      <c r="AM231" s="114"/>
      <c r="AN231" s="106"/>
      <c r="AO231" s="114"/>
      <c r="AP231" s="106"/>
      <c r="AQ231" s="114" t="s">
        <v>915</v>
      </c>
      <c r="AR231" s="106"/>
      <c r="AS231" s="114"/>
      <c r="AT231" s="106"/>
      <c r="AU231" s="114"/>
      <c r="AV231" s="106"/>
      <c r="AW231" s="114"/>
      <c r="AX231" s="157"/>
      <c r="AY231" s="157"/>
      <c r="AZ231" s="157"/>
      <c r="BA231" s="157"/>
      <c r="BB231" s="157"/>
      <c r="BC231" s="157"/>
    </row>
    <row r="232" spans="1:55" x14ac:dyDescent="0.3">
      <c r="A232" s="114">
        <f t="shared" si="6"/>
        <v>229</v>
      </c>
      <c r="B232" s="179" t="s">
        <v>1906</v>
      </c>
      <c r="C232" s="114">
        <v>0</v>
      </c>
      <c r="D232" s="114" t="s">
        <v>991</v>
      </c>
      <c r="E232" s="114" t="s">
        <v>980</v>
      </c>
      <c r="F232" s="114" t="s">
        <v>909</v>
      </c>
      <c r="G232" s="114"/>
      <c r="H232" s="114"/>
      <c r="I232" s="114"/>
      <c r="J232" s="114"/>
      <c r="K232" s="114"/>
      <c r="L232" s="114"/>
      <c r="M232" s="114"/>
      <c r="N232" s="114">
        <v>5</v>
      </c>
      <c r="O232" s="180">
        <v>0</v>
      </c>
      <c r="P232" s="180">
        <v>40</v>
      </c>
      <c r="Q232" s="180">
        <v>0</v>
      </c>
      <c r="R232" s="187"/>
      <c r="S232" s="180" t="s">
        <v>1795</v>
      </c>
      <c r="T232" s="181" t="s">
        <v>1907</v>
      </c>
      <c r="U232" s="179" t="s">
        <v>1908</v>
      </c>
      <c r="V232" s="179" t="s">
        <v>1909</v>
      </c>
      <c r="W232" s="114" t="s">
        <v>1910</v>
      </c>
      <c r="X232" s="180">
        <v>16</v>
      </c>
      <c r="Y232" s="182" t="s">
        <v>913</v>
      </c>
      <c r="Z232" s="183"/>
      <c r="AA232" s="184"/>
      <c r="AB232" s="182"/>
      <c r="AC232" s="114">
        <v>1</v>
      </c>
      <c r="AD232" s="172" t="s">
        <v>887</v>
      </c>
      <c r="AE232" s="114"/>
      <c r="AF232" s="114"/>
      <c r="AG232" s="114"/>
      <c r="AH232" s="106"/>
      <c r="AI232" s="114"/>
      <c r="AJ232" s="106"/>
      <c r="AK232" s="114"/>
      <c r="AL232" s="106" t="s">
        <v>915</v>
      </c>
      <c r="AM232" s="114"/>
      <c r="AN232" s="106"/>
      <c r="AO232" s="114"/>
      <c r="AP232" s="106"/>
      <c r="AQ232" s="114" t="s">
        <v>915</v>
      </c>
      <c r="AR232" s="106"/>
      <c r="AS232" s="114"/>
      <c r="AT232" s="106"/>
      <c r="AU232" s="114"/>
      <c r="AV232" s="106"/>
      <c r="AW232" s="114"/>
      <c r="AX232" s="157"/>
      <c r="AY232" s="157"/>
      <c r="AZ232" s="157"/>
      <c r="BA232" s="157"/>
      <c r="BB232" s="157"/>
      <c r="BC232" s="157"/>
    </row>
    <row r="233" spans="1:55" x14ac:dyDescent="0.3">
      <c r="A233" s="114">
        <f t="shared" si="6"/>
        <v>230</v>
      </c>
      <c r="B233" s="179" t="s">
        <v>1911</v>
      </c>
      <c r="C233" s="114">
        <v>0</v>
      </c>
      <c r="D233" s="114" t="s">
        <v>991</v>
      </c>
      <c r="E233" s="114" t="s">
        <v>929</v>
      </c>
      <c r="F233" s="114" t="s">
        <v>909</v>
      </c>
      <c r="G233" s="114"/>
      <c r="H233" s="114"/>
      <c r="I233" s="114"/>
      <c r="J233" s="114"/>
      <c r="K233" s="114"/>
      <c r="L233" s="114"/>
      <c r="M233" s="191" t="s">
        <v>874</v>
      </c>
      <c r="N233" s="114">
        <v>3</v>
      </c>
      <c r="O233" s="180" t="s">
        <v>909</v>
      </c>
      <c r="P233" s="180" t="s">
        <v>1912</v>
      </c>
      <c r="Q233" s="180" t="s">
        <v>1838</v>
      </c>
      <c r="R233" s="180"/>
      <c r="S233" s="180"/>
      <c r="T233" s="181" t="s">
        <v>1913</v>
      </c>
      <c r="U233" s="179" t="s">
        <v>1914</v>
      </c>
      <c r="V233" s="179" t="s">
        <v>1915</v>
      </c>
      <c r="W233" s="114" t="s">
        <v>1916</v>
      </c>
      <c r="X233" s="180">
        <v>16</v>
      </c>
      <c r="Y233" s="182" t="s">
        <v>913</v>
      </c>
      <c r="Z233" s="183"/>
      <c r="AA233" s="184"/>
      <c r="AB233" s="179"/>
      <c r="AC233" s="114">
        <v>2</v>
      </c>
      <c r="AD233" s="172" t="s">
        <v>887</v>
      </c>
      <c r="AE233" s="114"/>
      <c r="AF233" s="114"/>
      <c r="AG233" s="114"/>
      <c r="AH233" s="106"/>
      <c r="AI233" s="114"/>
      <c r="AJ233" s="106"/>
      <c r="AK233" s="114"/>
      <c r="AL233" s="106"/>
      <c r="AM233" s="114"/>
      <c r="AN233" s="106"/>
      <c r="AO233" s="114"/>
      <c r="AP233" s="106"/>
      <c r="AQ233" s="114"/>
      <c r="AR233" s="106"/>
      <c r="AS233" s="114"/>
      <c r="AT233" s="106"/>
      <c r="AU233" s="114"/>
      <c r="AV233" s="106"/>
      <c r="AW233" s="114"/>
      <c r="AX233" s="157"/>
      <c r="AY233" s="157"/>
      <c r="AZ233" s="157"/>
      <c r="BA233" s="157"/>
      <c r="BB233" s="157"/>
      <c r="BC233" s="157"/>
    </row>
    <row r="234" spans="1:55" x14ac:dyDescent="0.3">
      <c r="A234" s="114">
        <f t="shared" si="6"/>
        <v>231</v>
      </c>
      <c r="B234" s="179" t="s">
        <v>1917</v>
      </c>
      <c r="C234" s="114">
        <v>0</v>
      </c>
      <c r="D234" s="114" t="s">
        <v>991</v>
      </c>
      <c r="E234" s="114" t="s">
        <v>980</v>
      </c>
      <c r="F234" s="114" t="s">
        <v>909</v>
      </c>
      <c r="G234" s="114"/>
      <c r="H234" s="114"/>
      <c r="I234" s="114"/>
      <c r="J234" s="114"/>
      <c r="K234" s="114"/>
      <c r="L234" s="114"/>
      <c r="M234" s="114"/>
      <c r="N234" s="114">
        <v>3</v>
      </c>
      <c r="O234" s="180">
        <v>0</v>
      </c>
      <c r="P234" s="180">
        <v>1000</v>
      </c>
      <c r="Q234" s="180">
        <v>100</v>
      </c>
      <c r="R234" s="180"/>
      <c r="S234" s="180"/>
      <c r="T234" s="181" t="s">
        <v>1918</v>
      </c>
      <c r="U234" s="179" t="s">
        <v>1919</v>
      </c>
      <c r="V234" s="179" t="s">
        <v>1920</v>
      </c>
      <c r="W234" s="114" t="s">
        <v>1921</v>
      </c>
      <c r="X234" s="179">
        <v>16</v>
      </c>
      <c r="Y234" s="182" t="s">
        <v>913</v>
      </c>
      <c r="Z234" s="183"/>
      <c r="AA234" s="184"/>
      <c r="AB234" s="182"/>
      <c r="AC234" s="114">
        <v>2</v>
      </c>
      <c r="AD234" s="172" t="s">
        <v>887</v>
      </c>
      <c r="AE234" s="114"/>
      <c r="AF234" s="114"/>
      <c r="AG234" s="114"/>
      <c r="AH234" s="106"/>
      <c r="AI234" s="114"/>
      <c r="AJ234" s="106"/>
      <c r="AK234" s="114"/>
      <c r="AL234" s="106"/>
      <c r="AM234" s="114"/>
      <c r="AN234" s="106"/>
      <c r="AO234" s="114"/>
      <c r="AP234" s="106"/>
      <c r="AQ234" s="114"/>
      <c r="AR234" s="106"/>
      <c r="AS234" s="114"/>
      <c r="AT234" s="106"/>
      <c r="AU234" s="114"/>
      <c r="AV234" s="106"/>
      <c r="AW234" s="114"/>
      <c r="AX234" s="157"/>
      <c r="AY234" s="157"/>
      <c r="AZ234" s="157"/>
      <c r="BA234" s="157"/>
      <c r="BB234" s="157"/>
      <c r="BC234" s="157"/>
    </row>
    <row r="235" spans="1:55" ht="52.8" x14ac:dyDescent="0.3">
      <c r="A235" s="114">
        <f t="shared" si="6"/>
        <v>232</v>
      </c>
      <c r="B235" s="179" t="s">
        <v>1922</v>
      </c>
      <c r="C235" s="114">
        <v>0</v>
      </c>
      <c r="D235" s="114" t="s">
        <v>991</v>
      </c>
      <c r="E235" s="114" t="s">
        <v>980</v>
      </c>
      <c r="F235" s="114" t="s">
        <v>909</v>
      </c>
      <c r="G235" s="114"/>
      <c r="H235" s="114"/>
      <c r="I235" s="114"/>
      <c r="J235" s="114"/>
      <c r="K235" s="114"/>
      <c r="L235" s="114"/>
      <c r="M235" s="114"/>
      <c r="N235" s="114">
        <v>5</v>
      </c>
      <c r="O235" s="180">
        <v>0</v>
      </c>
      <c r="P235" s="180">
        <v>1000</v>
      </c>
      <c r="Q235" s="180">
        <v>8</v>
      </c>
      <c r="R235" s="180">
        <v>0.1</v>
      </c>
      <c r="S235" s="180" t="s">
        <v>1047</v>
      </c>
      <c r="T235" s="181" t="s">
        <v>1923</v>
      </c>
      <c r="U235" s="179" t="s">
        <v>1924</v>
      </c>
      <c r="V235" s="179" t="s">
        <v>1925</v>
      </c>
      <c r="W235" s="114" t="s">
        <v>1926</v>
      </c>
      <c r="X235" s="179">
        <v>16</v>
      </c>
      <c r="Y235" s="182" t="s">
        <v>913</v>
      </c>
      <c r="Z235" s="183" t="s">
        <v>1927</v>
      </c>
      <c r="AA235" s="184"/>
      <c r="AB235" s="182"/>
      <c r="AC235" s="114">
        <v>1</v>
      </c>
      <c r="AD235" s="172" t="s">
        <v>887</v>
      </c>
      <c r="AE235" s="114"/>
      <c r="AF235" s="114"/>
      <c r="AG235" s="114"/>
      <c r="AH235" s="106"/>
      <c r="AI235" s="114"/>
      <c r="AJ235" s="106"/>
      <c r="AK235" s="114"/>
      <c r="AL235" s="106"/>
      <c r="AM235" s="114"/>
      <c r="AN235" s="106"/>
      <c r="AO235" s="114" t="s">
        <v>915</v>
      </c>
      <c r="AP235" s="106"/>
      <c r="AQ235" s="114" t="s">
        <v>915</v>
      </c>
      <c r="AR235" s="106"/>
      <c r="AS235" s="114"/>
      <c r="AT235" s="106"/>
      <c r="AU235" s="114"/>
      <c r="AV235" s="106"/>
      <c r="AW235" s="114"/>
      <c r="AX235" s="157"/>
      <c r="AY235" s="157"/>
      <c r="AZ235" s="157"/>
      <c r="BA235" s="157"/>
      <c r="BB235" s="157"/>
      <c r="BC235" s="157"/>
    </row>
    <row r="236" spans="1:55" x14ac:dyDescent="0.3">
      <c r="A236" s="114">
        <f t="shared" si="6"/>
        <v>233</v>
      </c>
      <c r="B236" s="179" t="s">
        <v>1928</v>
      </c>
      <c r="C236" s="114">
        <v>0</v>
      </c>
      <c r="D236" s="114" t="s">
        <v>991</v>
      </c>
      <c r="E236" s="114" t="s">
        <v>929</v>
      </c>
      <c r="F236" s="114" t="s">
        <v>909</v>
      </c>
      <c r="G236" s="114"/>
      <c r="H236" s="114"/>
      <c r="I236" s="114"/>
      <c r="J236" s="114"/>
      <c r="K236" s="114"/>
      <c r="L236" s="114"/>
      <c r="M236" s="114"/>
      <c r="N236" s="114">
        <v>3</v>
      </c>
      <c r="O236" s="180" t="s">
        <v>909</v>
      </c>
      <c r="P236" s="180" t="s">
        <v>1838</v>
      </c>
      <c r="Q236" s="180" t="s">
        <v>909</v>
      </c>
      <c r="R236" s="180"/>
      <c r="S236" s="180"/>
      <c r="T236" s="181" t="s">
        <v>1929</v>
      </c>
      <c r="U236" s="179" t="s">
        <v>1930</v>
      </c>
      <c r="V236" s="179" t="s">
        <v>1930</v>
      </c>
      <c r="W236" s="114" t="s">
        <v>1931</v>
      </c>
      <c r="X236" s="180">
        <v>16</v>
      </c>
      <c r="Y236" s="182" t="s">
        <v>1268</v>
      </c>
      <c r="Z236" s="183"/>
      <c r="AA236" s="184"/>
      <c r="AB236" s="182"/>
      <c r="AC236" s="114">
        <v>2</v>
      </c>
      <c r="AD236" s="172" t="s">
        <v>887</v>
      </c>
      <c r="AE236" s="114"/>
      <c r="AF236" s="114"/>
      <c r="AG236" s="114"/>
      <c r="AH236" s="106"/>
      <c r="AI236" s="114"/>
      <c r="AJ236" s="106" t="s">
        <v>915</v>
      </c>
      <c r="AK236" s="114"/>
      <c r="AL236" s="106"/>
      <c r="AM236" s="114"/>
      <c r="AN236" s="106"/>
      <c r="AO236" s="114"/>
      <c r="AP236" s="106"/>
      <c r="AQ236" s="114"/>
      <c r="AR236" s="106"/>
      <c r="AS236" s="114"/>
      <c r="AT236" s="106"/>
      <c r="AU236" s="114"/>
      <c r="AV236" s="106"/>
      <c r="AW236" s="114"/>
      <c r="AX236" s="157"/>
      <c r="AY236" s="157"/>
      <c r="AZ236" s="157"/>
      <c r="BA236" s="157"/>
      <c r="BB236" s="157"/>
      <c r="BC236" s="157"/>
    </row>
    <row r="237" spans="1:55" ht="126" x14ac:dyDescent="0.3">
      <c r="A237" s="114">
        <f t="shared" si="6"/>
        <v>234</v>
      </c>
      <c r="B237" s="179" t="s">
        <v>1932</v>
      </c>
      <c r="C237" s="114">
        <v>0</v>
      </c>
      <c r="D237" s="114" t="s">
        <v>991</v>
      </c>
      <c r="E237" s="114" t="s">
        <v>966</v>
      </c>
      <c r="F237" s="114" t="s">
        <v>909</v>
      </c>
      <c r="G237" s="114"/>
      <c r="H237" s="114" t="s">
        <v>869</v>
      </c>
      <c r="I237" s="114"/>
      <c r="J237" s="114"/>
      <c r="K237" s="114"/>
      <c r="L237" s="114"/>
      <c r="M237" s="114"/>
      <c r="N237" s="114">
        <v>9</v>
      </c>
      <c r="O237" s="180">
        <v>32</v>
      </c>
      <c r="P237" s="180">
        <v>1073741824</v>
      </c>
      <c r="Q237" s="180">
        <v>1073741824</v>
      </c>
      <c r="R237" s="180"/>
      <c r="S237" s="180" t="s">
        <v>1036</v>
      </c>
      <c r="T237" s="181" t="s">
        <v>444</v>
      </c>
      <c r="U237" s="179" t="s">
        <v>1933</v>
      </c>
      <c r="V237" s="179" t="s">
        <v>1933</v>
      </c>
      <c r="W237" s="114" t="s">
        <v>1934</v>
      </c>
      <c r="X237" s="180">
        <v>32</v>
      </c>
      <c r="Y237" s="182" t="s">
        <v>913</v>
      </c>
      <c r="Z237" s="183" t="s">
        <v>1935</v>
      </c>
      <c r="AA237" s="184"/>
      <c r="AB237" s="182"/>
      <c r="AC237" s="114">
        <v>4</v>
      </c>
      <c r="AD237" s="172" t="s">
        <v>887</v>
      </c>
      <c r="AE237" s="114"/>
      <c r="AF237" s="114"/>
      <c r="AG237" s="114"/>
      <c r="AH237" s="106"/>
      <c r="AI237" s="114"/>
      <c r="AJ237" s="106"/>
      <c r="AK237" s="114"/>
      <c r="AL237" s="106"/>
      <c r="AM237" s="114"/>
      <c r="AN237" s="106"/>
      <c r="AO237" s="114"/>
      <c r="AP237" s="106"/>
      <c r="AQ237" s="114"/>
      <c r="AR237" s="106"/>
      <c r="AS237" s="114"/>
      <c r="AT237" s="106"/>
      <c r="AU237" s="114"/>
      <c r="AV237" s="106"/>
      <c r="AW237" s="114"/>
      <c r="AX237" s="157"/>
      <c r="AY237" s="157"/>
      <c r="AZ237" s="157"/>
      <c r="BA237" s="157"/>
      <c r="BB237" s="157"/>
      <c r="BC237" s="157"/>
    </row>
    <row r="238" spans="1:55" x14ac:dyDescent="0.3">
      <c r="A238" s="114">
        <f t="shared" si="6"/>
        <v>235</v>
      </c>
      <c r="B238" s="179" t="s">
        <v>1936</v>
      </c>
      <c r="C238" s="114">
        <v>0</v>
      </c>
      <c r="D238" s="114" t="s">
        <v>991</v>
      </c>
      <c r="E238" s="114" t="s">
        <v>980</v>
      </c>
      <c r="F238" s="114" t="s">
        <v>909</v>
      </c>
      <c r="G238" s="114"/>
      <c r="H238" s="114"/>
      <c r="I238" s="114"/>
      <c r="J238" s="114"/>
      <c r="K238" s="114"/>
      <c r="L238" s="114"/>
      <c r="M238" s="114"/>
      <c r="N238" s="114">
        <v>5</v>
      </c>
      <c r="O238" s="180">
        <v>0</v>
      </c>
      <c r="P238" s="180">
        <v>1023</v>
      </c>
      <c r="Q238" s="180">
        <v>0</v>
      </c>
      <c r="R238" s="180"/>
      <c r="S238" s="180" t="s">
        <v>1665</v>
      </c>
      <c r="T238" s="181" t="s">
        <v>1937</v>
      </c>
      <c r="U238" s="179" t="s">
        <v>1938</v>
      </c>
      <c r="V238" s="179" t="s">
        <v>1939</v>
      </c>
      <c r="W238" s="114" t="s">
        <v>1940</v>
      </c>
      <c r="X238" s="180">
        <v>16</v>
      </c>
      <c r="Y238" s="182" t="s">
        <v>913</v>
      </c>
      <c r="Z238" s="183"/>
      <c r="AA238" s="184"/>
      <c r="AB238" s="182"/>
      <c r="AC238" s="114">
        <v>1</v>
      </c>
      <c r="AD238" s="172" t="s">
        <v>887</v>
      </c>
      <c r="AE238" s="114"/>
      <c r="AF238" s="114"/>
      <c r="AG238" s="114"/>
      <c r="AH238" s="106"/>
      <c r="AI238" s="114"/>
      <c r="AJ238" s="106"/>
      <c r="AK238" s="114"/>
      <c r="AL238" s="106"/>
      <c r="AM238" s="114"/>
      <c r="AN238" s="106" t="s">
        <v>915</v>
      </c>
      <c r="AO238" s="114"/>
      <c r="AP238" s="106"/>
      <c r="AQ238" s="114"/>
      <c r="AR238" s="106"/>
      <c r="AS238" s="114"/>
      <c r="AT238" s="106"/>
      <c r="AU238" s="114"/>
      <c r="AV238" s="106"/>
      <c r="AW238" s="114"/>
      <c r="AX238" s="157"/>
      <c r="AY238" s="157"/>
      <c r="AZ238" s="157"/>
      <c r="BA238" s="157"/>
      <c r="BB238" s="157"/>
      <c r="BC238" s="157"/>
    </row>
    <row r="239" spans="1:55" x14ac:dyDescent="0.3">
      <c r="A239" s="114">
        <f t="shared" si="6"/>
        <v>236</v>
      </c>
      <c r="B239" s="179" t="s">
        <v>1941</v>
      </c>
      <c r="C239" s="114">
        <v>0</v>
      </c>
      <c r="D239" s="114" t="s">
        <v>991</v>
      </c>
      <c r="E239" s="114" t="s">
        <v>966</v>
      </c>
      <c r="F239" s="114" t="s">
        <v>909</v>
      </c>
      <c r="G239" s="114"/>
      <c r="H239" s="114"/>
      <c r="I239" s="114"/>
      <c r="J239" s="114"/>
      <c r="K239" s="114"/>
      <c r="L239" s="114"/>
      <c r="M239" s="114"/>
      <c r="N239" s="114">
        <v>3</v>
      </c>
      <c r="O239" s="180">
        <v>1</v>
      </c>
      <c r="P239" s="180">
        <v>536870911</v>
      </c>
      <c r="Q239" s="180">
        <v>16777216</v>
      </c>
      <c r="R239" s="180"/>
      <c r="S239" s="180" t="s">
        <v>1238</v>
      </c>
      <c r="T239" s="111" t="s">
        <v>1942</v>
      </c>
      <c r="U239" s="113" t="s">
        <v>1943</v>
      </c>
      <c r="V239" s="179" t="s">
        <v>1944</v>
      </c>
      <c r="W239" s="114" t="s">
        <v>1945</v>
      </c>
      <c r="X239" s="180">
        <v>32</v>
      </c>
      <c r="Y239" s="182" t="s">
        <v>1268</v>
      </c>
      <c r="Z239" s="183"/>
      <c r="AA239" s="184"/>
      <c r="AB239" s="182"/>
      <c r="AC239" s="114">
        <v>2</v>
      </c>
      <c r="AD239" s="172" t="s">
        <v>887</v>
      </c>
      <c r="AE239" s="114"/>
      <c r="AF239" s="114"/>
      <c r="AG239" s="114"/>
      <c r="AH239" s="106"/>
      <c r="AI239" s="114"/>
      <c r="AJ239" s="106"/>
      <c r="AK239" s="114" t="s">
        <v>915</v>
      </c>
      <c r="AL239" s="106"/>
      <c r="AM239" s="114"/>
      <c r="AN239" s="106"/>
      <c r="AO239" s="114"/>
      <c r="AP239" s="106"/>
      <c r="AQ239" s="114"/>
      <c r="AR239" s="106"/>
      <c r="AS239" s="114"/>
      <c r="AT239" s="106"/>
      <c r="AU239" s="114"/>
      <c r="AV239" s="106"/>
      <c r="AW239" s="114"/>
      <c r="AX239" s="157"/>
      <c r="AY239" s="157"/>
      <c r="AZ239" s="157"/>
      <c r="BA239" s="157"/>
      <c r="BB239" s="157"/>
      <c r="BC239" s="157"/>
    </row>
    <row r="240" spans="1:55" x14ac:dyDescent="0.3">
      <c r="A240" s="114">
        <f t="shared" si="6"/>
        <v>237</v>
      </c>
      <c r="B240" s="179" t="s">
        <v>1946</v>
      </c>
      <c r="C240" s="114">
        <v>0</v>
      </c>
      <c r="D240" s="114" t="s">
        <v>991</v>
      </c>
      <c r="E240" s="114" t="s">
        <v>966</v>
      </c>
      <c r="F240" s="114" t="s">
        <v>909</v>
      </c>
      <c r="G240" s="114"/>
      <c r="H240" s="114"/>
      <c r="I240" s="114"/>
      <c r="J240" s="114"/>
      <c r="K240" s="114"/>
      <c r="L240" s="114"/>
      <c r="M240" s="114"/>
      <c r="N240" s="114">
        <v>3</v>
      </c>
      <c r="O240" s="180">
        <v>1</v>
      </c>
      <c r="P240" s="180">
        <v>536870911</v>
      </c>
      <c r="Q240" s="180">
        <v>16777216</v>
      </c>
      <c r="R240" s="180"/>
      <c r="S240" s="180" t="s">
        <v>1238</v>
      </c>
      <c r="T240" s="111" t="s">
        <v>1947</v>
      </c>
      <c r="U240" s="113" t="s">
        <v>1948</v>
      </c>
      <c r="V240" s="179" t="s">
        <v>1949</v>
      </c>
      <c r="W240" s="114" t="s">
        <v>1950</v>
      </c>
      <c r="X240" s="180">
        <v>32</v>
      </c>
      <c r="Y240" s="182" t="s">
        <v>1268</v>
      </c>
      <c r="Z240" s="183"/>
      <c r="AA240" s="184"/>
      <c r="AB240" s="182"/>
      <c r="AC240" s="114">
        <v>2</v>
      </c>
      <c r="AD240" s="172" t="s">
        <v>887</v>
      </c>
      <c r="AE240" s="114"/>
      <c r="AF240" s="114"/>
      <c r="AG240" s="114"/>
      <c r="AH240" s="106"/>
      <c r="AI240" s="114"/>
      <c r="AJ240" s="106"/>
      <c r="AK240" s="114" t="s">
        <v>915</v>
      </c>
      <c r="AL240" s="106"/>
      <c r="AM240" s="114"/>
      <c r="AN240" s="106"/>
      <c r="AO240" s="114"/>
      <c r="AP240" s="106"/>
      <c r="AQ240" s="114"/>
      <c r="AR240" s="106"/>
      <c r="AS240" s="114"/>
      <c r="AT240" s="106"/>
      <c r="AU240" s="114"/>
      <c r="AV240" s="106"/>
      <c r="AW240" s="114"/>
      <c r="AX240" s="157"/>
      <c r="AY240" s="157"/>
      <c r="AZ240" s="157"/>
      <c r="BA240" s="157"/>
      <c r="BB240" s="157"/>
      <c r="BC240" s="157"/>
    </row>
    <row r="241" spans="1:55" x14ac:dyDescent="0.3">
      <c r="A241" s="114">
        <f t="shared" si="6"/>
        <v>238</v>
      </c>
      <c r="B241" s="179" t="s">
        <v>1951</v>
      </c>
      <c r="C241" s="114">
        <v>0</v>
      </c>
      <c r="D241" s="114" t="s">
        <v>991</v>
      </c>
      <c r="E241" s="114" t="s">
        <v>966</v>
      </c>
      <c r="F241" s="114" t="s">
        <v>909</v>
      </c>
      <c r="G241" s="114"/>
      <c r="H241" s="114"/>
      <c r="I241" s="114"/>
      <c r="J241" s="114"/>
      <c r="K241" s="114"/>
      <c r="L241" s="114"/>
      <c r="M241" s="114"/>
      <c r="N241" s="114">
        <v>3</v>
      </c>
      <c r="O241" s="180">
        <v>1</v>
      </c>
      <c r="P241" s="180">
        <v>536870911</v>
      </c>
      <c r="Q241" s="180">
        <v>16777216</v>
      </c>
      <c r="R241" s="180"/>
      <c r="S241" s="180" t="s">
        <v>1238</v>
      </c>
      <c r="T241" s="111" t="s">
        <v>1952</v>
      </c>
      <c r="U241" s="113" t="s">
        <v>1953</v>
      </c>
      <c r="V241" s="179" t="s">
        <v>1954</v>
      </c>
      <c r="W241" s="114" t="s">
        <v>1955</v>
      </c>
      <c r="X241" s="180">
        <v>32</v>
      </c>
      <c r="Y241" s="182" t="s">
        <v>1268</v>
      </c>
      <c r="Z241" s="183"/>
      <c r="AA241" s="184"/>
      <c r="AB241" s="182"/>
      <c r="AC241" s="114">
        <v>2</v>
      </c>
      <c r="AD241" s="172" t="s">
        <v>887</v>
      </c>
      <c r="AE241" s="114"/>
      <c r="AF241" s="114"/>
      <c r="AG241" s="114"/>
      <c r="AH241" s="106"/>
      <c r="AI241" s="114"/>
      <c r="AJ241" s="106"/>
      <c r="AK241" s="114" t="s">
        <v>915</v>
      </c>
      <c r="AL241" s="106"/>
      <c r="AM241" s="114"/>
      <c r="AN241" s="106"/>
      <c r="AO241" s="114"/>
      <c r="AP241" s="106"/>
      <c r="AQ241" s="114"/>
      <c r="AR241" s="106"/>
      <c r="AS241" s="114"/>
      <c r="AT241" s="106"/>
      <c r="AU241" s="114"/>
      <c r="AV241" s="106"/>
      <c r="AW241" s="114"/>
      <c r="AX241" s="157"/>
      <c r="AY241" s="157"/>
      <c r="AZ241" s="157"/>
      <c r="BA241" s="157"/>
      <c r="BB241" s="157"/>
      <c r="BC241" s="157"/>
    </row>
    <row r="242" spans="1:55" ht="52.8" x14ac:dyDescent="0.3">
      <c r="A242" s="114">
        <f t="shared" si="6"/>
        <v>239</v>
      </c>
      <c r="B242" s="179" t="s">
        <v>1956</v>
      </c>
      <c r="C242" s="114">
        <v>0</v>
      </c>
      <c r="D242" s="114" t="s">
        <v>991</v>
      </c>
      <c r="E242" s="114" t="s">
        <v>929</v>
      </c>
      <c r="F242" s="114" t="s">
        <v>909</v>
      </c>
      <c r="G242" s="114"/>
      <c r="H242" s="114"/>
      <c r="I242" s="114"/>
      <c r="J242" s="114"/>
      <c r="K242" s="114"/>
      <c r="L242" s="114"/>
      <c r="M242" s="191" t="s">
        <v>874</v>
      </c>
      <c r="N242" s="114">
        <v>3</v>
      </c>
      <c r="O242" s="180" t="s">
        <v>909</v>
      </c>
      <c r="P242" s="180" t="s">
        <v>1957</v>
      </c>
      <c r="Q242" s="180" t="s">
        <v>1958</v>
      </c>
      <c r="R242" s="180"/>
      <c r="S242" s="180"/>
      <c r="T242" s="181" t="s">
        <v>1959</v>
      </c>
      <c r="U242" s="179" t="s">
        <v>1960</v>
      </c>
      <c r="V242" s="179" t="s">
        <v>1961</v>
      </c>
      <c r="W242" s="114" t="s">
        <v>1962</v>
      </c>
      <c r="X242" s="180">
        <v>16</v>
      </c>
      <c r="Y242" s="182" t="s">
        <v>1561</v>
      </c>
      <c r="Z242" s="183" t="s">
        <v>1963</v>
      </c>
      <c r="AA242" s="184"/>
      <c r="AB242" s="182"/>
      <c r="AC242" s="114">
        <v>2</v>
      </c>
      <c r="AD242" s="172" t="s">
        <v>887</v>
      </c>
      <c r="AE242" s="114"/>
      <c r="AF242" s="114"/>
      <c r="AG242" s="114"/>
      <c r="AH242" s="106"/>
      <c r="AI242" s="114"/>
      <c r="AJ242" s="106"/>
      <c r="AK242" s="114"/>
      <c r="AL242" s="106"/>
      <c r="AM242" s="114"/>
      <c r="AN242" s="106"/>
      <c r="AO242" s="114"/>
      <c r="AP242" s="106"/>
      <c r="AQ242" s="114"/>
      <c r="AR242" s="106"/>
      <c r="AS242" s="114"/>
      <c r="AT242" s="106"/>
      <c r="AU242" s="114"/>
      <c r="AV242" s="106"/>
      <c r="AW242" s="114"/>
      <c r="AX242" s="157"/>
      <c r="AY242" s="157"/>
      <c r="AZ242" s="157"/>
      <c r="BA242" s="157"/>
      <c r="BB242" s="157"/>
      <c r="BC242" s="157"/>
    </row>
    <row r="243" spans="1:55" ht="145.19999999999999" x14ac:dyDescent="0.3">
      <c r="A243" s="114">
        <f t="shared" si="6"/>
        <v>240</v>
      </c>
      <c r="B243" s="179" t="s">
        <v>1964</v>
      </c>
      <c r="C243" s="114">
        <v>0</v>
      </c>
      <c r="D243" s="114" t="s">
        <v>991</v>
      </c>
      <c r="E243" s="114" t="s">
        <v>929</v>
      </c>
      <c r="F243" s="114" t="s">
        <v>909</v>
      </c>
      <c r="G243" s="114"/>
      <c r="H243" s="114"/>
      <c r="I243" s="114"/>
      <c r="J243" s="114"/>
      <c r="K243" s="114"/>
      <c r="L243" s="114"/>
      <c r="M243" s="191"/>
      <c r="N243" s="114">
        <v>3</v>
      </c>
      <c r="O243" s="180" t="s">
        <v>909</v>
      </c>
      <c r="P243" s="107" t="s">
        <v>1965</v>
      </c>
      <c r="Q243" s="107" t="s">
        <v>1966</v>
      </c>
      <c r="R243" s="180"/>
      <c r="S243" s="180"/>
      <c r="T243" s="181" t="s">
        <v>1967</v>
      </c>
      <c r="U243" s="179" t="s">
        <v>1968</v>
      </c>
      <c r="V243" s="179" t="s">
        <v>1969</v>
      </c>
      <c r="W243" s="114" t="s">
        <v>1970</v>
      </c>
      <c r="X243" s="180">
        <v>16</v>
      </c>
      <c r="Y243" s="182" t="s">
        <v>1561</v>
      </c>
      <c r="Z243" s="183" t="s">
        <v>1971</v>
      </c>
      <c r="AA243" s="184"/>
      <c r="AB243" s="182"/>
      <c r="AC243" s="114">
        <v>2</v>
      </c>
      <c r="AD243" s="172" t="s">
        <v>887</v>
      </c>
      <c r="AE243" s="114"/>
      <c r="AF243" s="114"/>
      <c r="AG243" s="114"/>
      <c r="AH243" s="106"/>
      <c r="AI243" s="114"/>
      <c r="AJ243" s="106"/>
      <c r="AK243" s="114"/>
      <c r="AL243" s="106"/>
      <c r="AM243" s="114"/>
      <c r="AN243" s="106"/>
      <c r="AO243" s="114"/>
      <c r="AP243" s="106"/>
      <c r="AQ243" s="114"/>
      <c r="AR243" s="106"/>
      <c r="AS243" s="114"/>
      <c r="AT243" s="106"/>
      <c r="AU243" s="114"/>
      <c r="AV243" s="106"/>
      <c r="AW243" s="114"/>
      <c r="AX243" s="157"/>
      <c r="AY243" s="157"/>
      <c r="AZ243" s="157"/>
      <c r="BA243" s="157"/>
      <c r="BB243" s="157"/>
      <c r="BC243" s="157"/>
    </row>
    <row r="244" spans="1:55" ht="26.4" x14ac:dyDescent="0.3">
      <c r="A244" s="114">
        <f t="shared" si="6"/>
        <v>241</v>
      </c>
      <c r="B244" s="179" t="s">
        <v>1972</v>
      </c>
      <c r="C244" s="114">
        <v>0</v>
      </c>
      <c r="D244" s="114" t="s">
        <v>991</v>
      </c>
      <c r="E244" s="114" t="s">
        <v>929</v>
      </c>
      <c r="F244" s="114" t="s">
        <v>909</v>
      </c>
      <c r="G244" s="114"/>
      <c r="H244" s="114"/>
      <c r="I244" s="114"/>
      <c r="J244" s="114"/>
      <c r="K244" s="114"/>
      <c r="L244" s="114"/>
      <c r="M244" s="191" t="s">
        <v>874</v>
      </c>
      <c r="N244" s="114">
        <v>9</v>
      </c>
      <c r="O244" s="180" t="s">
        <v>909</v>
      </c>
      <c r="P244" s="180" t="s">
        <v>1973</v>
      </c>
      <c r="Q244" s="180" t="s">
        <v>909</v>
      </c>
      <c r="R244" s="180"/>
      <c r="S244" s="180"/>
      <c r="T244" s="181" t="s">
        <v>446</v>
      </c>
      <c r="U244" s="179" t="s">
        <v>1974</v>
      </c>
      <c r="V244" s="179" t="s">
        <v>1975</v>
      </c>
      <c r="W244" s="114" t="s">
        <v>1976</v>
      </c>
      <c r="X244" s="180">
        <v>32</v>
      </c>
      <c r="Y244" s="182" t="s">
        <v>913</v>
      </c>
      <c r="Z244" s="183" t="s">
        <v>1977</v>
      </c>
      <c r="AA244" s="184"/>
      <c r="AB244" s="182"/>
      <c r="AC244" s="114">
        <v>3</v>
      </c>
      <c r="AD244" s="172" t="s">
        <v>887</v>
      </c>
      <c r="AE244" s="114"/>
      <c r="AF244" s="114"/>
      <c r="AG244" s="114"/>
      <c r="AH244" s="106"/>
      <c r="AI244" s="114"/>
      <c r="AJ244" s="106"/>
      <c r="AK244" s="114"/>
      <c r="AL244" s="106"/>
      <c r="AM244" s="114"/>
      <c r="AN244" s="106"/>
      <c r="AO244" s="114"/>
      <c r="AP244" s="106"/>
      <c r="AQ244" s="114"/>
      <c r="AR244" s="106"/>
      <c r="AS244" s="114"/>
      <c r="AT244" s="106"/>
      <c r="AU244" s="114"/>
      <c r="AV244" s="106"/>
      <c r="AW244" s="114"/>
      <c r="AX244" s="157"/>
      <c r="AY244" s="157"/>
      <c r="AZ244" s="157"/>
      <c r="BA244" s="157"/>
      <c r="BB244" s="157"/>
      <c r="BC244" s="157"/>
    </row>
    <row r="245" spans="1:55" ht="39.6" x14ac:dyDescent="0.3">
      <c r="A245" s="114">
        <f t="shared" si="6"/>
        <v>242</v>
      </c>
      <c r="B245" s="179" t="s">
        <v>1978</v>
      </c>
      <c r="C245" s="114">
        <v>0</v>
      </c>
      <c r="D245" s="114" t="s">
        <v>991</v>
      </c>
      <c r="E245" s="114" t="s">
        <v>929</v>
      </c>
      <c r="F245" s="114" t="s">
        <v>909</v>
      </c>
      <c r="G245" s="114"/>
      <c r="H245" s="114"/>
      <c r="I245" s="114" t="s">
        <v>870</v>
      </c>
      <c r="J245" s="114"/>
      <c r="K245" s="114"/>
      <c r="L245" s="114"/>
      <c r="M245" s="191" t="s">
        <v>874</v>
      </c>
      <c r="N245" s="114">
        <v>3</v>
      </c>
      <c r="O245" s="180" t="s">
        <v>909</v>
      </c>
      <c r="P245" s="180" t="s">
        <v>1973</v>
      </c>
      <c r="Q245" s="180" t="s">
        <v>909</v>
      </c>
      <c r="R245" s="180"/>
      <c r="S245" s="180"/>
      <c r="T245" s="181" t="s">
        <v>1979</v>
      </c>
      <c r="U245" s="179" t="s">
        <v>1980</v>
      </c>
      <c r="V245" s="179" t="s">
        <v>1981</v>
      </c>
      <c r="W245" s="114" t="s">
        <v>1982</v>
      </c>
      <c r="X245" s="180">
        <v>16</v>
      </c>
      <c r="Y245" s="182" t="s">
        <v>913</v>
      </c>
      <c r="Z245" s="183" t="s">
        <v>1983</v>
      </c>
      <c r="AA245" s="184"/>
      <c r="AB245" s="182"/>
      <c r="AC245" s="114">
        <v>8</v>
      </c>
      <c r="AD245" s="172" t="s">
        <v>887</v>
      </c>
      <c r="AE245" s="114"/>
      <c r="AF245" s="114"/>
      <c r="AG245" s="114"/>
      <c r="AH245" s="106" t="s">
        <v>915</v>
      </c>
      <c r="AI245" s="114"/>
      <c r="AJ245" s="106"/>
      <c r="AK245" s="114"/>
      <c r="AL245" s="106"/>
      <c r="AM245" s="114"/>
      <c r="AN245" s="106"/>
      <c r="AO245" s="114"/>
      <c r="AP245" s="106"/>
      <c r="AQ245" s="114"/>
      <c r="AR245" s="106"/>
      <c r="AS245" s="114"/>
      <c r="AT245" s="106"/>
      <c r="AU245" s="114"/>
      <c r="AV245" s="106"/>
      <c r="AW245" s="114"/>
      <c r="AX245" s="157"/>
      <c r="AY245" s="157"/>
      <c r="AZ245" s="157"/>
      <c r="BA245" s="157"/>
      <c r="BB245" s="157"/>
      <c r="BC245" s="157"/>
    </row>
    <row r="246" spans="1:55" x14ac:dyDescent="0.3">
      <c r="A246" s="114">
        <f t="shared" si="6"/>
        <v>243</v>
      </c>
      <c r="B246" s="179" t="s">
        <v>1984</v>
      </c>
      <c r="C246" s="114">
        <v>0</v>
      </c>
      <c r="D246" s="114" t="s">
        <v>991</v>
      </c>
      <c r="E246" s="114" t="s">
        <v>929</v>
      </c>
      <c r="F246" s="114" t="s">
        <v>909</v>
      </c>
      <c r="G246" s="114"/>
      <c r="H246" s="114"/>
      <c r="I246" s="114"/>
      <c r="J246" s="114"/>
      <c r="K246" s="114"/>
      <c r="L246" s="114"/>
      <c r="M246" s="191" t="s">
        <v>874</v>
      </c>
      <c r="N246" s="114">
        <v>3</v>
      </c>
      <c r="O246" s="180" t="s">
        <v>909</v>
      </c>
      <c r="P246" s="180" t="s">
        <v>1985</v>
      </c>
      <c r="Q246" s="180" t="s">
        <v>909</v>
      </c>
      <c r="R246" s="180"/>
      <c r="S246" s="180"/>
      <c r="T246" s="181" t="s">
        <v>1986</v>
      </c>
      <c r="U246" s="179" t="s">
        <v>1987</v>
      </c>
      <c r="V246" s="179" t="s">
        <v>1988</v>
      </c>
      <c r="W246" s="114" t="s">
        <v>1989</v>
      </c>
      <c r="X246" s="180">
        <v>16</v>
      </c>
      <c r="Y246" s="182" t="s">
        <v>913</v>
      </c>
      <c r="Z246" s="183"/>
      <c r="AA246" s="184"/>
      <c r="AB246" s="182"/>
      <c r="AC246" s="114">
        <v>2</v>
      </c>
      <c r="AD246" s="172" t="s">
        <v>887</v>
      </c>
      <c r="AE246" s="114"/>
      <c r="AF246" s="114"/>
      <c r="AG246" s="114"/>
      <c r="AH246" s="106"/>
      <c r="AI246" s="114"/>
      <c r="AJ246" s="106"/>
      <c r="AK246" s="114"/>
      <c r="AL246" s="106"/>
      <c r="AM246" s="114"/>
      <c r="AN246" s="106"/>
      <c r="AO246" s="114"/>
      <c r="AP246" s="106"/>
      <c r="AQ246" s="114"/>
      <c r="AR246" s="106"/>
      <c r="AS246" s="114"/>
      <c r="AT246" s="106"/>
      <c r="AU246" s="114"/>
      <c r="AV246" s="106"/>
      <c r="AW246" s="114"/>
      <c r="AX246" s="157"/>
      <c r="AY246" s="157"/>
      <c r="AZ246" s="157"/>
      <c r="BA246" s="157"/>
      <c r="BB246" s="157"/>
      <c r="BC246" s="157"/>
    </row>
    <row r="247" spans="1:55" ht="66" x14ac:dyDescent="0.3">
      <c r="A247" s="114">
        <f t="shared" si="6"/>
        <v>244</v>
      </c>
      <c r="B247" s="179" t="s">
        <v>1990</v>
      </c>
      <c r="C247" s="114">
        <v>0</v>
      </c>
      <c r="D247" s="114" t="s">
        <v>991</v>
      </c>
      <c r="E247" s="114" t="s">
        <v>929</v>
      </c>
      <c r="F247" s="114" t="s">
        <v>909</v>
      </c>
      <c r="G247" s="114"/>
      <c r="H247" s="114"/>
      <c r="I247" s="114"/>
      <c r="J247" s="114" t="s">
        <v>871</v>
      </c>
      <c r="K247" s="114"/>
      <c r="L247" s="114"/>
      <c r="M247" s="191" t="s">
        <v>874</v>
      </c>
      <c r="N247" s="114">
        <v>9</v>
      </c>
      <c r="O247" s="180" t="s">
        <v>909</v>
      </c>
      <c r="P247" s="180" t="s">
        <v>1838</v>
      </c>
      <c r="Q247" s="180" t="s">
        <v>909</v>
      </c>
      <c r="R247" s="180"/>
      <c r="S247" s="180"/>
      <c r="T247" s="181" t="s">
        <v>448</v>
      </c>
      <c r="U247" s="179" t="s">
        <v>1991</v>
      </c>
      <c r="V247" s="179" t="s">
        <v>1992</v>
      </c>
      <c r="W247" s="114" t="s">
        <v>1993</v>
      </c>
      <c r="X247" s="180">
        <v>16</v>
      </c>
      <c r="Y247" s="182" t="s">
        <v>913</v>
      </c>
      <c r="Z247" s="183" t="s">
        <v>1994</v>
      </c>
      <c r="AA247" s="184"/>
      <c r="AB247" s="182"/>
      <c r="AC247" s="114"/>
      <c r="AD247" s="172" t="s">
        <v>887</v>
      </c>
      <c r="AE247" s="114"/>
      <c r="AF247" s="114"/>
      <c r="AG247" s="114"/>
      <c r="AH247" s="106"/>
      <c r="AI247" s="114"/>
      <c r="AJ247" s="106"/>
      <c r="AK247" s="114"/>
      <c r="AL247" s="106"/>
      <c r="AM247" s="114"/>
      <c r="AN247" s="106"/>
      <c r="AO247" s="114"/>
      <c r="AP247" s="106"/>
      <c r="AQ247" s="114"/>
      <c r="AR247" s="106"/>
      <c r="AS247" s="114"/>
      <c r="AT247" s="106"/>
      <c r="AU247" s="114"/>
      <c r="AV247" s="106"/>
      <c r="AW247" s="114"/>
      <c r="AX247" s="157"/>
      <c r="AY247" s="157"/>
      <c r="AZ247" s="157"/>
      <c r="BA247" s="157"/>
      <c r="BB247" s="157"/>
      <c r="BC247" s="157"/>
    </row>
    <row r="248" spans="1:55" x14ac:dyDescent="0.3">
      <c r="A248" s="114">
        <f t="shared" si="6"/>
        <v>245</v>
      </c>
      <c r="B248" s="179" t="s">
        <v>1995</v>
      </c>
      <c r="C248" s="114">
        <v>0</v>
      </c>
      <c r="D248" s="114" t="s">
        <v>991</v>
      </c>
      <c r="E248" s="114" t="s">
        <v>944</v>
      </c>
      <c r="F248" s="114" t="s">
        <v>909</v>
      </c>
      <c r="G248" s="114"/>
      <c r="H248" s="114"/>
      <c r="I248" s="114"/>
      <c r="J248" s="114"/>
      <c r="K248" s="114"/>
      <c r="L248" s="114"/>
      <c r="M248" s="191" t="s">
        <v>874</v>
      </c>
      <c r="N248" s="114">
        <v>9</v>
      </c>
      <c r="O248" s="180" t="s">
        <v>1181</v>
      </c>
      <c r="P248" s="180" t="s">
        <v>1996</v>
      </c>
      <c r="Q248" s="180" t="s">
        <v>1181</v>
      </c>
      <c r="R248" s="180"/>
      <c r="S248" s="180"/>
      <c r="T248" s="181" t="s">
        <v>450</v>
      </c>
      <c r="U248" s="179" t="s">
        <v>1997</v>
      </c>
      <c r="V248" s="179" t="s">
        <v>1998</v>
      </c>
      <c r="W248" s="114" t="s">
        <v>1999</v>
      </c>
      <c r="X248" s="180">
        <v>32</v>
      </c>
      <c r="Y248" s="182" t="s">
        <v>1503</v>
      </c>
      <c r="Z248" s="183"/>
      <c r="AA248" s="184"/>
      <c r="AB248" s="182"/>
      <c r="AC248" s="114">
        <v>3</v>
      </c>
      <c r="AD248" s="172" t="s">
        <v>887</v>
      </c>
      <c r="AE248" s="114"/>
      <c r="AF248" s="114"/>
      <c r="AG248" s="114"/>
      <c r="AH248" s="106"/>
      <c r="AI248" s="114"/>
      <c r="AJ248" s="106"/>
      <c r="AK248" s="114"/>
      <c r="AL248" s="106"/>
      <c r="AM248" s="114"/>
      <c r="AN248" s="106"/>
      <c r="AO248" s="114"/>
      <c r="AP248" s="106"/>
      <c r="AQ248" s="114"/>
      <c r="AR248" s="106"/>
      <c r="AS248" s="114"/>
      <c r="AT248" s="106"/>
      <c r="AU248" s="114"/>
      <c r="AV248" s="106"/>
      <c r="AW248" s="114"/>
      <c r="AX248" s="157"/>
      <c r="AY248" s="157"/>
      <c r="AZ248" s="157"/>
      <c r="BA248" s="157"/>
      <c r="BB248" s="157"/>
      <c r="BC248" s="157"/>
    </row>
    <row r="249" spans="1:55" x14ac:dyDescent="0.3">
      <c r="A249" s="114">
        <f t="shared" si="6"/>
        <v>246</v>
      </c>
      <c r="B249" s="179" t="s">
        <v>2000</v>
      </c>
      <c r="C249" s="114">
        <v>0</v>
      </c>
      <c r="D249" s="114" t="s">
        <v>991</v>
      </c>
      <c r="E249" s="114" t="s">
        <v>980</v>
      </c>
      <c r="F249" s="114" t="s">
        <v>909</v>
      </c>
      <c r="G249" s="114"/>
      <c r="H249" s="114"/>
      <c r="I249" s="114"/>
      <c r="J249" s="114"/>
      <c r="K249" s="114"/>
      <c r="L249" s="114"/>
      <c r="M249" s="114"/>
      <c r="N249" s="114">
        <v>9</v>
      </c>
      <c r="O249" s="180">
        <v>-25000</v>
      </c>
      <c r="P249" s="180">
        <v>25000</v>
      </c>
      <c r="Q249" s="180">
        <v>0</v>
      </c>
      <c r="R249" s="180">
        <v>1E-3</v>
      </c>
      <c r="S249" s="180" t="s">
        <v>1047</v>
      </c>
      <c r="T249" s="111" t="s">
        <v>452</v>
      </c>
      <c r="U249" s="179" t="s">
        <v>2001</v>
      </c>
      <c r="V249" s="179" t="s">
        <v>2002</v>
      </c>
      <c r="W249" s="114" t="s">
        <v>2003</v>
      </c>
      <c r="X249" s="180">
        <v>16</v>
      </c>
      <c r="Y249" s="182" t="s">
        <v>1503</v>
      </c>
      <c r="Z249" s="183"/>
      <c r="AA249" s="184"/>
      <c r="AB249" s="182"/>
      <c r="AC249" s="114">
        <v>3</v>
      </c>
      <c r="AD249" s="172" t="s">
        <v>887</v>
      </c>
      <c r="AE249" s="114"/>
      <c r="AF249" s="114"/>
      <c r="AG249" s="114"/>
      <c r="AH249" s="106"/>
      <c r="AI249" s="114"/>
      <c r="AJ249" s="106"/>
      <c r="AK249" s="114"/>
      <c r="AL249" s="106"/>
      <c r="AM249" s="114"/>
      <c r="AN249" s="106"/>
      <c r="AO249" s="114"/>
      <c r="AP249" s="106"/>
      <c r="AQ249" s="114"/>
      <c r="AR249" s="106"/>
      <c r="AS249" s="114"/>
      <c r="AT249" s="106"/>
      <c r="AU249" s="114"/>
      <c r="AV249" s="106"/>
      <c r="AW249" s="114"/>
      <c r="AX249" s="157"/>
      <c r="AY249" s="157"/>
      <c r="AZ249" s="157"/>
      <c r="BA249" s="157"/>
      <c r="BB249" s="157"/>
      <c r="BC249" s="157"/>
    </row>
    <row r="250" spans="1:55" ht="52.8" x14ac:dyDescent="0.3">
      <c r="A250" s="114">
        <f t="shared" si="6"/>
        <v>247</v>
      </c>
      <c r="B250" s="179" t="s">
        <v>2004</v>
      </c>
      <c r="C250" s="114">
        <v>0</v>
      </c>
      <c r="D250" s="114" t="s">
        <v>991</v>
      </c>
      <c r="E250" s="114" t="s">
        <v>966</v>
      </c>
      <c r="F250" s="114" t="s">
        <v>909</v>
      </c>
      <c r="G250" s="114"/>
      <c r="H250" s="114"/>
      <c r="I250" s="114"/>
      <c r="J250" s="114" t="s">
        <v>871</v>
      </c>
      <c r="K250" s="114"/>
      <c r="L250" s="114"/>
      <c r="M250" s="114"/>
      <c r="N250" s="114">
        <v>9</v>
      </c>
      <c r="O250" s="180">
        <v>-1000000000</v>
      </c>
      <c r="P250" s="180">
        <v>1000000000</v>
      </c>
      <c r="Q250" s="180">
        <v>0</v>
      </c>
      <c r="R250" s="180"/>
      <c r="S250" s="180"/>
      <c r="T250" s="181" t="s">
        <v>454</v>
      </c>
      <c r="U250" s="179" t="s">
        <v>2005</v>
      </c>
      <c r="V250" s="179" t="s">
        <v>2006</v>
      </c>
      <c r="W250" s="114" t="s">
        <v>2007</v>
      </c>
      <c r="X250" s="180">
        <v>32</v>
      </c>
      <c r="Y250" s="182" t="s">
        <v>1503</v>
      </c>
      <c r="Z250" s="183" t="s">
        <v>2008</v>
      </c>
      <c r="AA250" s="184"/>
      <c r="AB250" s="182"/>
      <c r="AC250" s="114">
        <v>3</v>
      </c>
      <c r="AD250" s="172" t="s">
        <v>887</v>
      </c>
      <c r="AE250" s="114"/>
      <c r="AF250" s="114"/>
      <c r="AG250" s="114"/>
      <c r="AH250" s="106"/>
      <c r="AI250" s="114"/>
      <c r="AJ250" s="106"/>
      <c r="AK250" s="114"/>
      <c r="AL250" s="106"/>
      <c r="AM250" s="114"/>
      <c r="AN250" s="106"/>
      <c r="AO250" s="114"/>
      <c r="AP250" s="106"/>
      <c r="AQ250" s="114"/>
      <c r="AR250" s="106"/>
      <c r="AS250" s="114"/>
      <c r="AT250" s="106"/>
      <c r="AU250" s="114"/>
      <c r="AV250" s="106"/>
      <c r="AW250" s="114"/>
      <c r="AX250" s="157"/>
      <c r="AY250" s="157"/>
      <c r="AZ250" s="157"/>
      <c r="BA250" s="157"/>
      <c r="BB250" s="157"/>
      <c r="BC250" s="157"/>
    </row>
    <row r="251" spans="1:55" x14ac:dyDescent="0.3">
      <c r="A251" s="114">
        <f t="shared" si="6"/>
        <v>248</v>
      </c>
      <c r="B251" s="179" t="s">
        <v>2009</v>
      </c>
      <c r="C251" s="114">
        <v>0</v>
      </c>
      <c r="D251" s="114" t="s">
        <v>991</v>
      </c>
      <c r="E251" s="114" t="s">
        <v>929</v>
      </c>
      <c r="F251" s="114" t="s">
        <v>909</v>
      </c>
      <c r="G251" s="114"/>
      <c r="H251" s="114"/>
      <c r="I251" s="114"/>
      <c r="J251" s="114" t="s">
        <v>871</v>
      </c>
      <c r="K251" s="114"/>
      <c r="L251" s="114"/>
      <c r="M251" s="191" t="s">
        <v>874</v>
      </c>
      <c r="N251" s="114">
        <v>9</v>
      </c>
      <c r="O251" s="180" t="s">
        <v>909</v>
      </c>
      <c r="P251" s="180" t="s">
        <v>2010</v>
      </c>
      <c r="Q251" s="180" t="s">
        <v>909</v>
      </c>
      <c r="R251" s="180"/>
      <c r="S251" s="180"/>
      <c r="T251" s="181" t="s">
        <v>456</v>
      </c>
      <c r="U251" s="179" t="s">
        <v>2011</v>
      </c>
      <c r="V251" s="179" t="s">
        <v>2012</v>
      </c>
      <c r="W251" s="114" t="s">
        <v>2013</v>
      </c>
      <c r="X251" s="180">
        <v>16</v>
      </c>
      <c r="Y251" s="182" t="s">
        <v>1503</v>
      </c>
      <c r="Z251" s="183"/>
      <c r="AA251" s="184"/>
      <c r="AB251" s="182"/>
      <c r="AC251" s="114">
        <v>3</v>
      </c>
      <c r="AD251" s="172" t="s">
        <v>887</v>
      </c>
      <c r="AE251" s="114"/>
      <c r="AF251" s="114"/>
      <c r="AG251" s="114"/>
      <c r="AH251" s="106"/>
      <c r="AI251" s="114"/>
      <c r="AJ251" s="106"/>
      <c r="AK251" s="114"/>
      <c r="AL251" s="106"/>
      <c r="AM251" s="114"/>
      <c r="AN251" s="106"/>
      <c r="AO251" s="114"/>
      <c r="AP251" s="106"/>
      <c r="AQ251" s="114"/>
      <c r="AR251" s="106"/>
      <c r="AS251" s="114"/>
      <c r="AT251" s="106"/>
      <c r="AU251" s="114"/>
      <c r="AV251" s="106"/>
      <c r="AW251" s="114"/>
      <c r="AX251" s="157"/>
      <c r="AY251" s="157"/>
      <c r="AZ251" s="157"/>
      <c r="BA251" s="157"/>
      <c r="BB251" s="157"/>
      <c r="BC251" s="157"/>
    </row>
    <row r="252" spans="1:55" x14ac:dyDescent="0.3">
      <c r="A252" s="114">
        <f t="shared" si="6"/>
        <v>249</v>
      </c>
      <c r="B252" s="179" t="s">
        <v>2014</v>
      </c>
      <c r="C252" s="114">
        <v>0</v>
      </c>
      <c r="D252" s="114" t="s">
        <v>991</v>
      </c>
      <c r="E252" s="114" t="s">
        <v>980</v>
      </c>
      <c r="F252" s="114" t="s">
        <v>909</v>
      </c>
      <c r="G252" s="114"/>
      <c r="H252" s="114"/>
      <c r="I252" s="114"/>
      <c r="J252" s="114"/>
      <c r="K252" s="114"/>
      <c r="L252" s="114"/>
      <c r="M252" s="114"/>
      <c r="N252" s="114">
        <v>9</v>
      </c>
      <c r="O252" s="180">
        <v>0</v>
      </c>
      <c r="P252" s="180">
        <v>360</v>
      </c>
      <c r="Q252" s="180">
        <v>270</v>
      </c>
      <c r="R252" s="180"/>
      <c r="S252" s="180" t="s">
        <v>2015</v>
      </c>
      <c r="T252" s="111" t="s">
        <v>458</v>
      </c>
      <c r="U252" s="113" t="s">
        <v>2016</v>
      </c>
      <c r="V252" s="179" t="s">
        <v>2017</v>
      </c>
      <c r="W252" s="114" t="s">
        <v>2018</v>
      </c>
      <c r="X252" s="180">
        <v>16</v>
      </c>
      <c r="Y252" s="182" t="s">
        <v>1503</v>
      </c>
      <c r="Z252" s="183"/>
      <c r="AA252" s="184"/>
      <c r="AB252" s="182"/>
      <c r="AC252" s="114">
        <v>3</v>
      </c>
      <c r="AD252" s="172" t="s">
        <v>887</v>
      </c>
      <c r="AE252" s="114"/>
      <c r="AF252" s="114"/>
      <c r="AG252" s="114"/>
      <c r="AH252" s="106"/>
      <c r="AI252" s="114"/>
      <c r="AJ252" s="106"/>
      <c r="AK252" s="114"/>
      <c r="AL252" s="106"/>
      <c r="AM252" s="114"/>
      <c r="AN252" s="106"/>
      <c r="AO252" s="114"/>
      <c r="AP252" s="106"/>
      <c r="AQ252" s="114"/>
      <c r="AR252" s="106"/>
      <c r="AS252" s="114"/>
      <c r="AT252" s="106"/>
      <c r="AU252" s="114"/>
      <c r="AV252" s="106"/>
      <c r="AW252" s="114"/>
      <c r="AX252" s="157"/>
      <c r="AY252" s="157"/>
      <c r="AZ252" s="157"/>
      <c r="BA252" s="157"/>
      <c r="BB252" s="157"/>
      <c r="BC252" s="157"/>
    </row>
    <row r="253" spans="1:55" x14ac:dyDescent="0.3">
      <c r="A253" s="114">
        <f t="shared" si="6"/>
        <v>250</v>
      </c>
      <c r="B253" s="179" t="s">
        <v>2019</v>
      </c>
      <c r="C253" s="114">
        <v>0</v>
      </c>
      <c r="D253" s="114" t="s">
        <v>991</v>
      </c>
      <c r="E253" s="114" t="s">
        <v>980</v>
      </c>
      <c r="F253" s="114" t="s">
        <v>909</v>
      </c>
      <c r="G253" s="114"/>
      <c r="H253" s="114"/>
      <c r="I253" s="114"/>
      <c r="J253" s="114"/>
      <c r="K253" s="114"/>
      <c r="L253" s="114"/>
      <c r="M253" s="114"/>
      <c r="N253" s="114">
        <v>9</v>
      </c>
      <c r="O253" s="180">
        <v>0</v>
      </c>
      <c r="P253" s="180">
        <v>360</v>
      </c>
      <c r="Q253" s="180">
        <v>360</v>
      </c>
      <c r="R253" s="180"/>
      <c r="S253" s="180" t="s">
        <v>2015</v>
      </c>
      <c r="T253" s="111" t="s">
        <v>460</v>
      </c>
      <c r="U253" s="111" t="s">
        <v>2020</v>
      </c>
      <c r="V253" s="179" t="s">
        <v>2021</v>
      </c>
      <c r="W253" s="114" t="s">
        <v>2022</v>
      </c>
      <c r="X253" s="180">
        <v>16</v>
      </c>
      <c r="Y253" s="182" t="s">
        <v>1503</v>
      </c>
      <c r="Z253" s="183"/>
      <c r="AA253" s="184"/>
      <c r="AB253" s="182"/>
      <c r="AC253" s="114">
        <v>3</v>
      </c>
      <c r="AD253" s="172" t="s">
        <v>887</v>
      </c>
      <c r="AE253" s="114"/>
      <c r="AF253" s="114"/>
      <c r="AG253" s="114"/>
      <c r="AH253" s="106"/>
      <c r="AI253" s="114"/>
      <c r="AJ253" s="106"/>
      <c r="AK253" s="114"/>
      <c r="AL253" s="106"/>
      <c r="AM253" s="114"/>
      <c r="AN253" s="106"/>
      <c r="AO253" s="114"/>
      <c r="AP253" s="106"/>
      <c r="AQ253" s="114"/>
      <c r="AR253" s="106"/>
      <c r="AS253" s="114"/>
      <c r="AT253" s="106"/>
      <c r="AU253" s="114"/>
      <c r="AV253" s="106"/>
      <c r="AW253" s="114"/>
      <c r="AX253" s="157"/>
      <c r="AY253" s="157"/>
      <c r="AZ253" s="157"/>
      <c r="BA253" s="157"/>
      <c r="BB253" s="157"/>
      <c r="BC253" s="157"/>
    </row>
    <row r="254" spans="1:55" ht="13.8" x14ac:dyDescent="0.3">
      <c r="A254" s="114">
        <f t="shared" si="6"/>
        <v>251</v>
      </c>
      <c r="B254" s="179" t="s">
        <v>2023</v>
      </c>
      <c r="C254" s="114">
        <v>0</v>
      </c>
      <c r="D254" s="114" t="s">
        <v>991</v>
      </c>
      <c r="E254" s="114" t="s">
        <v>929</v>
      </c>
      <c r="F254" s="114" t="s">
        <v>909</v>
      </c>
      <c r="G254" s="114"/>
      <c r="H254" s="114"/>
      <c r="I254" s="114"/>
      <c r="J254" s="114"/>
      <c r="K254" s="114"/>
      <c r="L254" s="114"/>
      <c r="M254" s="114"/>
      <c r="N254" s="114">
        <v>3</v>
      </c>
      <c r="O254" s="180">
        <v>0</v>
      </c>
      <c r="P254" s="180">
        <v>65535</v>
      </c>
      <c r="Q254" s="180">
        <v>0</v>
      </c>
      <c r="R254" s="180"/>
      <c r="S254" s="180" t="s">
        <v>1047</v>
      </c>
      <c r="T254" s="181" t="s">
        <v>2024</v>
      </c>
      <c r="U254" s="179" t="s">
        <v>2025</v>
      </c>
      <c r="V254" s="179" t="s">
        <v>2026</v>
      </c>
      <c r="W254" s="114" t="s">
        <v>2027</v>
      </c>
      <c r="X254" s="180">
        <v>16</v>
      </c>
      <c r="Y254" s="186" t="s">
        <v>1318</v>
      </c>
      <c r="Z254" s="183" t="s">
        <v>2028</v>
      </c>
      <c r="AA254" s="184"/>
      <c r="AB254" s="182"/>
      <c r="AC254" s="114">
        <v>2</v>
      </c>
      <c r="AD254" s="172" t="s">
        <v>887</v>
      </c>
      <c r="AE254" s="114"/>
      <c r="AF254" s="114"/>
      <c r="AG254" s="114"/>
      <c r="AH254" s="106"/>
      <c r="AI254" s="114"/>
      <c r="AJ254" s="106"/>
      <c r="AK254" s="114"/>
      <c r="AL254" s="106"/>
      <c r="AM254" s="114"/>
      <c r="AN254" s="106"/>
      <c r="AO254" s="114"/>
      <c r="AP254" s="106"/>
      <c r="AQ254" s="114"/>
      <c r="AR254" s="106"/>
      <c r="AS254" s="114"/>
      <c r="AT254" s="106"/>
      <c r="AU254" s="114"/>
      <c r="AV254" s="106"/>
      <c r="AW254" s="114"/>
      <c r="AX254" s="157"/>
      <c r="AY254" s="157"/>
      <c r="AZ254" s="157"/>
      <c r="BA254" s="157"/>
      <c r="BB254" s="157"/>
      <c r="BC254" s="157"/>
    </row>
    <row r="255" spans="1:55" ht="105.6" x14ac:dyDescent="0.3">
      <c r="A255" s="114">
        <f t="shared" si="6"/>
        <v>252</v>
      </c>
      <c r="B255" s="179" t="s">
        <v>2029</v>
      </c>
      <c r="C255" s="114">
        <v>0</v>
      </c>
      <c r="D255" s="114" t="s">
        <v>991</v>
      </c>
      <c r="E255" s="114" t="s">
        <v>929</v>
      </c>
      <c r="F255" s="114" t="s">
        <v>909</v>
      </c>
      <c r="G255" s="114"/>
      <c r="H255" s="114"/>
      <c r="I255" s="114"/>
      <c r="J255" s="114"/>
      <c r="K255" s="114"/>
      <c r="L255" s="114"/>
      <c r="M255" s="191" t="s">
        <v>874</v>
      </c>
      <c r="N255" s="114">
        <v>3</v>
      </c>
      <c r="O255" s="180" t="s">
        <v>2030</v>
      </c>
      <c r="P255" s="180" t="s">
        <v>2031</v>
      </c>
      <c r="Q255" s="180" t="s">
        <v>2030</v>
      </c>
      <c r="R255" s="180"/>
      <c r="S255" s="180"/>
      <c r="T255" s="181" t="s">
        <v>2032</v>
      </c>
      <c r="U255" s="179" t="s">
        <v>2033</v>
      </c>
      <c r="V255" s="179" t="s">
        <v>2034</v>
      </c>
      <c r="W255" s="114" t="s">
        <v>2035</v>
      </c>
      <c r="X255" s="180">
        <v>16</v>
      </c>
      <c r="Y255" s="182" t="s">
        <v>913</v>
      </c>
      <c r="Z255" s="183" t="s">
        <v>2036</v>
      </c>
      <c r="AA255" s="184"/>
      <c r="AB255" s="182"/>
      <c r="AC255" s="114">
        <v>2</v>
      </c>
      <c r="AD255" s="172" t="s">
        <v>887</v>
      </c>
      <c r="AE255" s="114"/>
      <c r="AF255" s="114"/>
      <c r="AG255" s="114"/>
      <c r="AH255" s="106"/>
      <c r="AI255" s="114"/>
      <c r="AJ255" s="106"/>
      <c r="AK255" s="114"/>
      <c r="AL255" s="106"/>
      <c r="AM255" s="114"/>
      <c r="AN255" s="106"/>
      <c r="AO255" s="114"/>
      <c r="AP255" s="106"/>
      <c r="AQ255" s="114"/>
      <c r="AR255" s="106"/>
      <c r="AS255" s="114"/>
      <c r="AT255" s="106"/>
      <c r="AU255" s="114"/>
      <c r="AV255" s="106"/>
      <c r="AW255" s="114"/>
      <c r="AX255" s="157"/>
      <c r="AY255" s="157"/>
      <c r="AZ255" s="157"/>
      <c r="BA255" s="157"/>
      <c r="BB255" s="157"/>
      <c r="BC255" s="157"/>
    </row>
    <row r="256" spans="1:55" ht="132" x14ac:dyDescent="0.3">
      <c r="A256" s="114">
        <f t="shared" si="6"/>
        <v>253</v>
      </c>
      <c r="B256" s="179" t="s">
        <v>2037</v>
      </c>
      <c r="C256" s="114">
        <v>0</v>
      </c>
      <c r="D256" s="114" t="s">
        <v>991</v>
      </c>
      <c r="E256" s="114" t="s">
        <v>929</v>
      </c>
      <c r="F256" s="114" t="s">
        <v>909</v>
      </c>
      <c r="G256" s="114"/>
      <c r="H256" s="114" t="s">
        <v>869</v>
      </c>
      <c r="I256" s="114"/>
      <c r="J256" s="114"/>
      <c r="K256" s="114"/>
      <c r="L256" s="114"/>
      <c r="M256" s="191" t="s">
        <v>874</v>
      </c>
      <c r="N256" s="114">
        <v>3</v>
      </c>
      <c r="O256" s="180" t="s">
        <v>909</v>
      </c>
      <c r="P256" s="180" t="s">
        <v>2038</v>
      </c>
      <c r="Q256" s="180" t="s">
        <v>923</v>
      </c>
      <c r="R256" s="180"/>
      <c r="S256" s="180"/>
      <c r="T256" s="181" t="s">
        <v>2039</v>
      </c>
      <c r="U256" s="179" t="s">
        <v>2040</v>
      </c>
      <c r="V256" s="179" t="s">
        <v>2041</v>
      </c>
      <c r="W256" s="114" t="s">
        <v>2042</v>
      </c>
      <c r="X256" s="179">
        <v>16</v>
      </c>
      <c r="Y256" s="182" t="s">
        <v>1561</v>
      </c>
      <c r="Z256" s="183" t="s">
        <v>2043</v>
      </c>
      <c r="AA256" s="184"/>
      <c r="AB256" s="182"/>
      <c r="AC256" s="114">
        <v>2</v>
      </c>
      <c r="AD256" s="172" t="s">
        <v>887</v>
      </c>
      <c r="AE256" s="114"/>
      <c r="AF256" s="114"/>
      <c r="AG256" s="114"/>
      <c r="AH256" s="106"/>
      <c r="AI256" s="114"/>
      <c r="AJ256" s="106"/>
      <c r="AK256" s="114"/>
      <c r="AL256" s="106"/>
      <c r="AM256" s="114"/>
      <c r="AN256" s="106"/>
      <c r="AO256" s="114"/>
      <c r="AP256" s="106"/>
      <c r="AQ256" s="114"/>
      <c r="AR256" s="106"/>
      <c r="AS256" s="114"/>
      <c r="AT256" s="106"/>
      <c r="AU256" s="114"/>
      <c r="AV256" s="106"/>
      <c r="AW256" s="114"/>
      <c r="AX256" s="157"/>
      <c r="AY256" s="157"/>
      <c r="AZ256" s="157"/>
      <c r="BA256" s="157"/>
      <c r="BB256" s="157"/>
      <c r="BC256" s="157"/>
    </row>
    <row r="257" spans="1:55" x14ac:dyDescent="0.3">
      <c r="A257" s="114">
        <f t="shared" si="6"/>
        <v>254</v>
      </c>
      <c r="B257" s="179" t="s">
        <v>2044</v>
      </c>
      <c r="C257" s="114">
        <v>0</v>
      </c>
      <c r="D257" s="114" t="s">
        <v>991</v>
      </c>
      <c r="E257" s="114" t="s">
        <v>980</v>
      </c>
      <c r="F257" s="114" t="s">
        <v>909</v>
      </c>
      <c r="G257" s="114"/>
      <c r="H257" s="114"/>
      <c r="I257" s="114"/>
      <c r="J257" s="114"/>
      <c r="K257" s="114"/>
      <c r="L257" s="114"/>
      <c r="M257" s="114"/>
      <c r="N257" s="114">
        <v>5</v>
      </c>
      <c r="O257" s="180">
        <v>1</v>
      </c>
      <c r="P257" s="180">
        <v>10</v>
      </c>
      <c r="Q257" s="180">
        <v>5</v>
      </c>
      <c r="R257" s="180"/>
      <c r="S257" s="180"/>
      <c r="T257" s="181" t="s">
        <v>2045</v>
      </c>
      <c r="U257" s="179" t="s">
        <v>2046</v>
      </c>
      <c r="V257" s="179" t="s">
        <v>2047</v>
      </c>
      <c r="W257" s="114" t="s">
        <v>2048</v>
      </c>
      <c r="X257" s="180">
        <v>16</v>
      </c>
      <c r="Y257" s="182" t="s">
        <v>913</v>
      </c>
      <c r="Z257" s="183"/>
      <c r="AA257" s="184"/>
      <c r="AB257" s="182"/>
      <c r="AC257" s="114">
        <v>1</v>
      </c>
      <c r="AD257" s="172" t="s">
        <v>887</v>
      </c>
      <c r="AE257" s="114"/>
      <c r="AF257" s="114"/>
      <c r="AG257" s="114"/>
      <c r="AH257" s="106"/>
      <c r="AI257" s="114"/>
      <c r="AJ257" s="106"/>
      <c r="AK257" s="114"/>
      <c r="AL257" s="106" t="s">
        <v>915</v>
      </c>
      <c r="AM257" s="114"/>
      <c r="AN257" s="106"/>
      <c r="AO257" s="114"/>
      <c r="AP257" s="106"/>
      <c r="AQ257" s="114"/>
      <c r="AR257" s="106"/>
      <c r="AS257" s="114"/>
      <c r="AT257" s="106"/>
      <c r="AU257" s="114"/>
      <c r="AV257" s="106"/>
      <c r="AW257" s="114"/>
      <c r="AX257" s="157"/>
      <c r="AY257" s="157"/>
      <c r="AZ257" s="157"/>
      <c r="BA257" s="157"/>
      <c r="BB257" s="157"/>
      <c r="BC257" s="157"/>
    </row>
    <row r="258" spans="1:55" x14ac:dyDescent="0.3">
      <c r="A258" s="114">
        <f t="shared" si="6"/>
        <v>255</v>
      </c>
      <c r="B258" s="179" t="s">
        <v>2049</v>
      </c>
      <c r="C258" s="114">
        <v>0</v>
      </c>
      <c r="D258" s="114" t="s">
        <v>991</v>
      </c>
      <c r="E258" s="114" t="s">
        <v>980</v>
      </c>
      <c r="F258" s="114" t="s">
        <v>909</v>
      </c>
      <c r="G258" s="114"/>
      <c r="H258" s="114"/>
      <c r="I258" s="114"/>
      <c r="J258" s="114"/>
      <c r="K258" s="114"/>
      <c r="L258" s="114"/>
      <c r="M258" s="114"/>
      <c r="N258" s="114">
        <v>5</v>
      </c>
      <c r="O258" s="180">
        <v>1</v>
      </c>
      <c r="P258" s="180">
        <v>10</v>
      </c>
      <c r="Q258" s="180">
        <v>5</v>
      </c>
      <c r="R258" s="180"/>
      <c r="S258" s="180"/>
      <c r="T258" s="181" t="s">
        <v>2050</v>
      </c>
      <c r="U258" s="179" t="s">
        <v>2051</v>
      </c>
      <c r="V258" s="179" t="s">
        <v>2052</v>
      </c>
      <c r="W258" s="114" t="s">
        <v>2053</v>
      </c>
      <c r="X258" s="180">
        <v>16</v>
      </c>
      <c r="Y258" s="182" t="s">
        <v>913</v>
      </c>
      <c r="Z258" s="183"/>
      <c r="AA258" s="184"/>
      <c r="AB258" s="182"/>
      <c r="AC258" s="114">
        <v>1</v>
      </c>
      <c r="AD258" s="172" t="s">
        <v>887</v>
      </c>
      <c r="AE258" s="114"/>
      <c r="AF258" s="114"/>
      <c r="AG258" s="114"/>
      <c r="AH258" s="106"/>
      <c r="AI258" s="114"/>
      <c r="AJ258" s="106"/>
      <c r="AK258" s="114"/>
      <c r="AL258" s="106" t="s">
        <v>915</v>
      </c>
      <c r="AM258" s="114"/>
      <c r="AN258" s="106"/>
      <c r="AO258" s="114"/>
      <c r="AP258" s="106"/>
      <c r="AQ258" s="114"/>
      <c r="AR258" s="106"/>
      <c r="AS258" s="114"/>
      <c r="AT258" s="106"/>
      <c r="AU258" s="114"/>
      <c r="AV258" s="106"/>
      <c r="AW258" s="114"/>
      <c r="AX258" s="157"/>
      <c r="AY258" s="157"/>
      <c r="AZ258" s="157"/>
      <c r="BA258" s="157"/>
      <c r="BB258" s="157"/>
      <c r="BC258" s="157"/>
    </row>
    <row r="259" spans="1:55" x14ac:dyDescent="0.3">
      <c r="A259" s="114">
        <f t="shared" si="6"/>
        <v>256</v>
      </c>
      <c r="B259" s="179" t="s">
        <v>2054</v>
      </c>
      <c r="C259" s="114">
        <v>0</v>
      </c>
      <c r="D259" s="114" t="s">
        <v>991</v>
      </c>
      <c r="E259" s="114" t="s">
        <v>980</v>
      </c>
      <c r="F259" s="114" t="s">
        <v>909</v>
      </c>
      <c r="G259" s="114"/>
      <c r="H259" s="114"/>
      <c r="I259" s="114"/>
      <c r="J259" s="114"/>
      <c r="K259" s="114"/>
      <c r="L259" s="114"/>
      <c r="M259" s="114"/>
      <c r="N259" s="114">
        <v>5</v>
      </c>
      <c r="O259" s="180">
        <v>1</v>
      </c>
      <c r="P259" s="180">
        <v>10</v>
      </c>
      <c r="Q259" s="180">
        <v>5</v>
      </c>
      <c r="R259" s="180"/>
      <c r="S259" s="180"/>
      <c r="T259" s="181" t="s">
        <v>2055</v>
      </c>
      <c r="U259" s="179" t="s">
        <v>2056</v>
      </c>
      <c r="V259" s="179" t="s">
        <v>2057</v>
      </c>
      <c r="W259" s="114" t="s">
        <v>2058</v>
      </c>
      <c r="X259" s="180">
        <v>16</v>
      </c>
      <c r="Y259" s="182" t="s">
        <v>913</v>
      </c>
      <c r="Z259" s="183"/>
      <c r="AA259" s="184"/>
      <c r="AB259" s="182"/>
      <c r="AC259" s="114">
        <v>1</v>
      </c>
      <c r="AD259" s="172" t="s">
        <v>887</v>
      </c>
      <c r="AE259" s="114"/>
      <c r="AF259" s="114"/>
      <c r="AG259" s="114"/>
      <c r="AH259" s="106"/>
      <c r="AI259" s="114"/>
      <c r="AJ259" s="106"/>
      <c r="AK259" s="114"/>
      <c r="AL259" s="106" t="s">
        <v>915</v>
      </c>
      <c r="AM259" s="114"/>
      <c r="AN259" s="106"/>
      <c r="AO259" s="114"/>
      <c r="AP259" s="106"/>
      <c r="AQ259" s="114"/>
      <c r="AR259" s="106"/>
      <c r="AS259" s="114"/>
      <c r="AT259" s="106"/>
      <c r="AU259" s="114"/>
      <c r="AV259" s="106"/>
      <c r="AW259" s="114"/>
      <c r="AX259" s="157"/>
      <c r="AY259" s="157"/>
      <c r="AZ259" s="157"/>
      <c r="BA259" s="157"/>
      <c r="BB259" s="157"/>
      <c r="BC259" s="157"/>
    </row>
    <row r="260" spans="1:55" x14ac:dyDescent="0.3">
      <c r="A260" s="114">
        <f t="shared" si="6"/>
        <v>257</v>
      </c>
      <c r="B260" s="179" t="s">
        <v>2059</v>
      </c>
      <c r="C260" s="114">
        <v>0</v>
      </c>
      <c r="D260" s="114" t="s">
        <v>991</v>
      </c>
      <c r="E260" s="114" t="s">
        <v>980</v>
      </c>
      <c r="F260" s="114" t="s">
        <v>909</v>
      </c>
      <c r="G260" s="114"/>
      <c r="H260" s="114"/>
      <c r="I260" s="114"/>
      <c r="J260" s="114"/>
      <c r="K260" s="114"/>
      <c r="L260" s="114"/>
      <c r="M260" s="114"/>
      <c r="N260" s="114">
        <v>5</v>
      </c>
      <c r="O260" s="180">
        <v>50</v>
      </c>
      <c r="P260" s="180">
        <v>5000</v>
      </c>
      <c r="Q260" s="180">
        <v>1000</v>
      </c>
      <c r="R260" s="180"/>
      <c r="S260" s="180" t="s">
        <v>1382</v>
      </c>
      <c r="T260" s="181" t="s">
        <v>2060</v>
      </c>
      <c r="U260" s="179" t="s">
        <v>2061</v>
      </c>
      <c r="V260" s="179" t="s">
        <v>2062</v>
      </c>
      <c r="W260" s="114" t="s">
        <v>2063</v>
      </c>
      <c r="X260" s="180">
        <v>16</v>
      </c>
      <c r="Y260" s="182" t="s">
        <v>913</v>
      </c>
      <c r="Z260" s="183"/>
      <c r="AA260" s="184"/>
      <c r="AB260" s="182"/>
      <c r="AC260" s="114">
        <v>1</v>
      </c>
      <c r="AD260" s="172" t="s">
        <v>887</v>
      </c>
      <c r="AE260" s="114"/>
      <c r="AF260" s="114"/>
      <c r="AG260" s="114"/>
      <c r="AH260" s="106"/>
      <c r="AI260" s="114"/>
      <c r="AJ260" s="106"/>
      <c r="AK260" s="114"/>
      <c r="AL260" s="106" t="s">
        <v>915</v>
      </c>
      <c r="AM260" s="114"/>
      <c r="AN260" s="106"/>
      <c r="AO260" s="114"/>
      <c r="AP260" s="106"/>
      <c r="AQ260" s="114" t="s">
        <v>915</v>
      </c>
      <c r="AR260" s="106"/>
      <c r="AS260" s="114"/>
      <c r="AT260" s="106"/>
      <c r="AU260" s="114"/>
      <c r="AV260" s="106"/>
      <c r="AW260" s="114"/>
      <c r="AX260" s="157"/>
      <c r="AY260" s="157"/>
      <c r="AZ260" s="157"/>
      <c r="BA260" s="157"/>
      <c r="BB260" s="157"/>
      <c r="BC260" s="157"/>
    </row>
    <row r="261" spans="1:55" x14ac:dyDescent="0.3">
      <c r="A261" s="114">
        <f t="shared" si="6"/>
        <v>258</v>
      </c>
      <c r="B261" s="179" t="s">
        <v>2064</v>
      </c>
      <c r="C261" s="114">
        <v>0</v>
      </c>
      <c r="D261" s="114" t="s">
        <v>991</v>
      </c>
      <c r="E261" s="114" t="s">
        <v>980</v>
      </c>
      <c r="F261" s="114" t="s">
        <v>909</v>
      </c>
      <c r="G261" s="114"/>
      <c r="H261" s="114"/>
      <c r="I261" s="114"/>
      <c r="J261" s="114"/>
      <c r="K261" s="114"/>
      <c r="L261" s="114"/>
      <c r="M261" s="114"/>
      <c r="N261" s="114">
        <v>5</v>
      </c>
      <c r="O261" s="180">
        <v>0</v>
      </c>
      <c r="P261" s="180">
        <v>40</v>
      </c>
      <c r="Q261" s="180">
        <v>0</v>
      </c>
      <c r="R261" s="187"/>
      <c r="S261" s="180" t="s">
        <v>1795</v>
      </c>
      <c r="T261" s="181" t="s">
        <v>2065</v>
      </c>
      <c r="U261" s="179" t="s">
        <v>2066</v>
      </c>
      <c r="V261" s="179" t="s">
        <v>2067</v>
      </c>
      <c r="W261" s="114" t="s">
        <v>2068</v>
      </c>
      <c r="X261" s="180">
        <v>16</v>
      </c>
      <c r="Y261" s="182" t="s">
        <v>913</v>
      </c>
      <c r="Z261" s="183"/>
      <c r="AA261" s="184"/>
      <c r="AB261" s="182"/>
      <c r="AC261" s="114">
        <v>1</v>
      </c>
      <c r="AD261" s="172" t="s">
        <v>887</v>
      </c>
      <c r="AE261" s="114"/>
      <c r="AF261" s="114"/>
      <c r="AG261" s="114"/>
      <c r="AH261" s="106"/>
      <c r="AI261" s="114"/>
      <c r="AJ261" s="106"/>
      <c r="AK261" s="114"/>
      <c r="AL261" s="106" t="s">
        <v>915</v>
      </c>
      <c r="AM261" s="114"/>
      <c r="AN261" s="106"/>
      <c r="AO261" s="114"/>
      <c r="AP261" s="106"/>
      <c r="AQ261" s="114" t="s">
        <v>915</v>
      </c>
      <c r="AR261" s="106"/>
      <c r="AS261" s="114"/>
      <c r="AT261" s="106"/>
      <c r="AU261" s="114"/>
      <c r="AV261" s="106"/>
      <c r="AW261" s="114"/>
      <c r="AX261" s="157"/>
      <c r="AY261" s="157"/>
      <c r="AZ261" s="157"/>
      <c r="BA261" s="157"/>
      <c r="BB261" s="157"/>
      <c r="BC261" s="157"/>
    </row>
    <row r="262" spans="1:55" x14ac:dyDescent="0.3">
      <c r="A262" s="114">
        <f t="shared" si="6"/>
        <v>259</v>
      </c>
      <c r="B262" s="179" t="s">
        <v>2069</v>
      </c>
      <c r="C262" s="114">
        <v>0</v>
      </c>
      <c r="D262" s="114" t="s">
        <v>991</v>
      </c>
      <c r="E262" s="114" t="s">
        <v>980</v>
      </c>
      <c r="F262" s="114" t="s">
        <v>909</v>
      </c>
      <c r="G262" s="114"/>
      <c r="H262" s="114"/>
      <c r="I262" s="114"/>
      <c r="J262" s="114"/>
      <c r="K262" s="114"/>
      <c r="L262" s="114"/>
      <c r="M262" s="114"/>
      <c r="N262" s="114">
        <v>5</v>
      </c>
      <c r="O262" s="180">
        <v>1</v>
      </c>
      <c r="P262" s="180">
        <v>10</v>
      </c>
      <c r="Q262" s="180">
        <v>5</v>
      </c>
      <c r="R262" s="180"/>
      <c r="S262" s="180"/>
      <c r="T262" s="181" t="s">
        <v>2070</v>
      </c>
      <c r="U262" s="179" t="s">
        <v>2071</v>
      </c>
      <c r="V262" s="179" t="s">
        <v>2072</v>
      </c>
      <c r="W262" s="114" t="s">
        <v>2073</v>
      </c>
      <c r="X262" s="180">
        <v>16</v>
      </c>
      <c r="Y262" s="182" t="s">
        <v>913</v>
      </c>
      <c r="Z262" s="183"/>
      <c r="AA262" s="184"/>
      <c r="AB262" s="182"/>
      <c r="AC262" s="114">
        <v>1</v>
      </c>
      <c r="AD262" s="172" t="s">
        <v>887</v>
      </c>
      <c r="AE262" s="114"/>
      <c r="AF262" s="114"/>
      <c r="AG262" s="114"/>
      <c r="AH262" s="106"/>
      <c r="AI262" s="114"/>
      <c r="AJ262" s="106"/>
      <c r="AK262" s="114"/>
      <c r="AL262" s="106" t="s">
        <v>915</v>
      </c>
      <c r="AM262" s="114"/>
      <c r="AN262" s="106"/>
      <c r="AO262" s="114"/>
      <c r="AP262" s="106"/>
      <c r="AQ262" s="114"/>
      <c r="AR262" s="106"/>
      <c r="AS262" s="114"/>
      <c r="AT262" s="106"/>
      <c r="AU262" s="114"/>
      <c r="AV262" s="106"/>
      <c r="AW262" s="114"/>
      <c r="AX262" s="157"/>
      <c r="AY262" s="157"/>
      <c r="AZ262" s="157"/>
      <c r="BA262" s="157"/>
      <c r="BB262" s="157"/>
      <c r="BC262" s="157"/>
    </row>
    <row r="263" spans="1:55" x14ac:dyDescent="0.3">
      <c r="A263" s="114">
        <f t="shared" si="6"/>
        <v>260</v>
      </c>
      <c r="B263" s="179" t="s">
        <v>2074</v>
      </c>
      <c r="C263" s="114">
        <v>0</v>
      </c>
      <c r="D263" s="114" t="s">
        <v>991</v>
      </c>
      <c r="E263" s="114" t="s">
        <v>980</v>
      </c>
      <c r="F263" s="114" t="s">
        <v>909</v>
      </c>
      <c r="G263" s="114"/>
      <c r="H263" s="114"/>
      <c r="I263" s="114"/>
      <c r="J263" s="114"/>
      <c r="K263" s="114"/>
      <c r="L263" s="114"/>
      <c r="M263" s="114"/>
      <c r="N263" s="114">
        <v>5</v>
      </c>
      <c r="O263" s="180">
        <v>50</v>
      </c>
      <c r="P263" s="180">
        <v>5000</v>
      </c>
      <c r="Q263" s="180">
        <v>1000</v>
      </c>
      <c r="R263" s="180"/>
      <c r="S263" s="180" t="s">
        <v>1382</v>
      </c>
      <c r="T263" s="181" t="s">
        <v>2075</v>
      </c>
      <c r="U263" s="179" t="s">
        <v>2076</v>
      </c>
      <c r="V263" s="179" t="s">
        <v>2077</v>
      </c>
      <c r="W263" s="114" t="s">
        <v>2078</v>
      </c>
      <c r="X263" s="180">
        <v>16</v>
      </c>
      <c r="Y263" s="182" t="s">
        <v>913</v>
      </c>
      <c r="Z263" s="183"/>
      <c r="AA263" s="184"/>
      <c r="AB263" s="182"/>
      <c r="AC263" s="114">
        <v>1</v>
      </c>
      <c r="AD263" s="172" t="s">
        <v>887</v>
      </c>
      <c r="AE263" s="114"/>
      <c r="AF263" s="114"/>
      <c r="AG263" s="114"/>
      <c r="AH263" s="106"/>
      <c r="AI263" s="114"/>
      <c r="AJ263" s="106"/>
      <c r="AK263" s="114"/>
      <c r="AL263" s="106" t="s">
        <v>915</v>
      </c>
      <c r="AM263" s="114"/>
      <c r="AN263" s="106"/>
      <c r="AO263" s="114"/>
      <c r="AP263" s="106"/>
      <c r="AQ263" s="114" t="s">
        <v>915</v>
      </c>
      <c r="AR263" s="106"/>
      <c r="AS263" s="114"/>
      <c r="AT263" s="106"/>
      <c r="AU263" s="114"/>
      <c r="AV263" s="106"/>
      <c r="AW263" s="114"/>
      <c r="AX263" s="157"/>
      <c r="AY263" s="157"/>
      <c r="AZ263" s="157"/>
      <c r="BA263" s="157"/>
      <c r="BB263" s="157"/>
      <c r="BC263" s="157"/>
    </row>
    <row r="264" spans="1:55" x14ac:dyDescent="0.3">
      <c r="A264" s="114">
        <f>A263+1</f>
        <v>261</v>
      </c>
      <c r="B264" s="179" t="s">
        <v>2079</v>
      </c>
      <c r="C264" s="114">
        <v>0</v>
      </c>
      <c r="D264" s="114" t="s">
        <v>991</v>
      </c>
      <c r="E264" s="114" t="s">
        <v>980</v>
      </c>
      <c r="F264" s="114" t="s">
        <v>909</v>
      </c>
      <c r="G264" s="114"/>
      <c r="H264" s="114"/>
      <c r="I264" s="114"/>
      <c r="J264" s="114"/>
      <c r="K264" s="114"/>
      <c r="L264" s="114"/>
      <c r="M264" s="114"/>
      <c r="N264" s="114">
        <v>5</v>
      </c>
      <c r="O264" s="180">
        <v>0</v>
      </c>
      <c r="P264" s="180">
        <v>40</v>
      </c>
      <c r="Q264" s="180">
        <v>0</v>
      </c>
      <c r="R264" s="187"/>
      <c r="S264" s="180" t="s">
        <v>1795</v>
      </c>
      <c r="T264" s="181" t="s">
        <v>2080</v>
      </c>
      <c r="U264" s="179" t="s">
        <v>2081</v>
      </c>
      <c r="V264" s="179" t="s">
        <v>2082</v>
      </c>
      <c r="W264" s="114" t="s">
        <v>2083</v>
      </c>
      <c r="X264" s="180">
        <v>16</v>
      </c>
      <c r="Y264" s="182" t="s">
        <v>913</v>
      </c>
      <c r="Z264" s="183"/>
      <c r="AA264" s="184"/>
      <c r="AB264" s="182"/>
      <c r="AC264" s="114">
        <v>1</v>
      </c>
      <c r="AD264" s="172" t="s">
        <v>887</v>
      </c>
      <c r="AE264" s="114"/>
      <c r="AF264" s="114"/>
      <c r="AG264" s="114"/>
      <c r="AH264" s="106"/>
      <c r="AI264" s="114"/>
      <c r="AJ264" s="106"/>
      <c r="AK264" s="114"/>
      <c r="AL264" s="106" t="s">
        <v>915</v>
      </c>
      <c r="AM264" s="114"/>
      <c r="AN264" s="106"/>
      <c r="AO264" s="114"/>
      <c r="AP264" s="106"/>
      <c r="AQ264" s="114" t="s">
        <v>915</v>
      </c>
      <c r="AR264" s="106"/>
      <c r="AS264" s="114"/>
      <c r="AT264" s="106"/>
      <c r="AU264" s="114"/>
      <c r="AV264" s="106"/>
      <c r="AW264" s="114"/>
      <c r="AX264" s="157"/>
      <c r="AY264" s="157"/>
      <c r="AZ264" s="157"/>
      <c r="BA264" s="157"/>
      <c r="BB264" s="157"/>
      <c r="BC264" s="157"/>
    </row>
    <row r="265" spans="1:55" x14ac:dyDescent="0.3">
      <c r="A265" s="114">
        <f t="shared" si="6"/>
        <v>262</v>
      </c>
      <c r="B265" s="179" t="s">
        <v>2084</v>
      </c>
      <c r="C265" s="114">
        <v>0</v>
      </c>
      <c r="D265" s="114" t="s">
        <v>991</v>
      </c>
      <c r="E265" s="114" t="s">
        <v>980</v>
      </c>
      <c r="F265" s="114" t="s">
        <v>909</v>
      </c>
      <c r="G265" s="114"/>
      <c r="H265" s="114"/>
      <c r="I265" s="114"/>
      <c r="J265" s="114"/>
      <c r="K265" s="114"/>
      <c r="L265" s="114"/>
      <c r="M265" s="114"/>
      <c r="N265" s="114">
        <v>5</v>
      </c>
      <c r="O265" s="180">
        <v>1</v>
      </c>
      <c r="P265" s="180">
        <v>10</v>
      </c>
      <c r="Q265" s="180">
        <v>5</v>
      </c>
      <c r="R265" s="180"/>
      <c r="S265" s="180"/>
      <c r="T265" s="181" t="s">
        <v>2085</v>
      </c>
      <c r="U265" s="179" t="s">
        <v>2086</v>
      </c>
      <c r="V265" s="179" t="s">
        <v>2087</v>
      </c>
      <c r="W265" s="114" t="s">
        <v>2088</v>
      </c>
      <c r="X265" s="180">
        <v>16</v>
      </c>
      <c r="Y265" s="182" t="s">
        <v>913</v>
      </c>
      <c r="Z265" s="183"/>
      <c r="AA265" s="184"/>
      <c r="AB265" s="182"/>
      <c r="AC265" s="114">
        <v>1</v>
      </c>
      <c r="AD265" s="172" t="s">
        <v>887</v>
      </c>
      <c r="AE265" s="114"/>
      <c r="AF265" s="114"/>
      <c r="AG265" s="114"/>
      <c r="AH265" s="106"/>
      <c r="AI265" s="114"/>
      <c r="AJ265" s="106"/>
      <c r="AK265" s="114"/>
      <c r="AL265" s="106" t="s">
        <v>915</v>
      </c>
      <c r="AM265" s="114"/>
      <c r="AN265" s="106"/>
      <c r="AO265" s="114"/>
      <c r="AP265" s="106"/>
      <c r="AQ265" s="114"/>
      <c r="AR265" s="106"/>
      <c r="AS265" s="114"/>
      <c r="AT265" s="106"/>
      <c r="AU265" s="114"/>
      <c r="AV265" s="106"/>
      <c r="AW265" s="114"/>
      <c r="AX265" s="157"/>
      <c r="AY265" s="157"/>
      <c r="AZ265" s="157"/>
      <c r="BA265" s="157"/>
      <c r="BB265" s="157"/>
      <c r="BC265" s="157"/>
    </row>
    <row r="266" spans="1:55" ht="26.4" x14ac:dyDescent="0.3">
      <c r="A266" s="114">
        <f t="shared" si="6"/>
        <v>263</v>
      </c>
      <c r="B266" s="179" t="s">
        <v>2089</v>
      </c>
      <c r="C266" s="114">
        <v>0</v>
      </c>
      <c r="D266" s="114" t="s">
        <v>991</v>
      </c>
      <c r="E266" s="114" t="s">
        <v>980</v>
      </c>
      <c r="F266" s="114" t="s">
        <v>909</v>
      </c>
      <c r="G266" s="114"/>
      <c r="H266" s="114"/>
      <c r="I266" s="114"/>
      <c r="J266" s="114"/>
      <c r="K266" s="114"/>
      <c r="L266" s="114"/>
      <c r="M266" s="114"/>
      <c r="N266" s="114">
        <v>3</v>
      </c>
      <c r="O266" s="180">
        <v>1</v>
      </c>
      <c r="P266" s="180">
        <v>800</v>
      </c>
      <c r="Q266" s="180">
        <v>800</v>
      </c>
      <c r="R266" s="180"/>
      <c r="S266" s="180" t="s">
        <v>1044</v>
      </c>
      <c r="T266" s="181" t="s">
        <v>2090</v>
      </c>
      <c r="U266" s="179" t="s">
        <v>2091</v>
      </c>
      <c r="V266" s="179" t="s">
        <v>2092</v>
      </c>
      <c r="W266" s="114" t="s">
        <v>2093</v>
      </c>
      <c r="X266" s="180">
        <v>16</v>
      </c>
      <c r="Y266" s="182" t="s">
        <v>1561</v>
      </c>
      <c r="Z266" s="183"/>
      <c r="AA266" s="184"/>
      <c r="AB266" s="182"/>
      <c r="AC266" s="114">
        <v>2</v>
      </c>
      <c r="AD266" s="172" t="s">
        <v>887</v>
      </c>
      <c r="AE266" s="114"/>
      <c r="AF266" s="114"/>
      <c r="AG266" s="114"/>
      <c r="AH266" s="106"/>
      <c r="AI266" s="114"/>
      <c r="AJ266" s="106"/>
      <c r="AK266" s="114"/>
      <c r="AL266" s="106"/>
      <c r="AM266" s="114"/>
      <c r="AN266" s="106"/>
      <c r="AO266" s="114"/>
      <c r="AP266" s="106"/>
      <c r="AQ266" s="114"/>
      <c r="AR266" s="106"/>
      <c r="AS266" s="114"/>
      <c r="AT266" s="106"/>
      <c r="AU266" s="114"/>
      <c r="AV266" s="106"/>
      <c r="AW266" s="114"/>
      <c r="AX266" s="157"/>
      <c r="AY266" s="157"/>
      <c r="AZ266" s="157"/>
      <c r="BA266" s="157"/>
      <c r="BB266" s="157"/>
      <c r="BC266" s="157"/>
    </row>
    <row r="267" spans="1:55" x14ac:dyDescent="0.3">
      <c r="A267" s="114">
        <f t="shared" si="6"/>
        <v>264</v>
      </c>
      <c r="B267" s="179" t="s">
        <v>2094</v>
      </c>
      <c r="C267" s="114">
        <v>0</v>
      </c>
      <c r="D267" s="114" t="s">
        <v>991</v>
      </c>
      <c r="E267" s="114" t="s">
        <v>980</v>
      </c>
      <c r="F267" s="114" t="s">
        <v>909</v>
      </c>
      <c r="G267" s="114"/>
      <c r="H267" s="114"/>
      <c r="I267" s="114"/>
      <c r="J267" s="114"/>
      <c r="K267" s="114"/>
      <c r="L267" s="114"/>
      <c r="M267" s="114"/>
      <c r="N267" s="114">
        <v>5</v>
      </c>
      <c r="O267" s="180">
        <v>1</v>
      </c>
      <c r="P267" s="180">
        <v>21</v>
      </c>
      <c r="Q267" s="180">
        <v>11</v>
      </c>
      <c r="R267" s="180"/>
      <c r="S267" s="180"/>
      <c r="T267" s="181" t="s">
        <v>2095</v>
      </c>
      <c r="U267" s="179" t="s">
        <v>2096</v>
      </c>
      <c r="V267" s="179" t="s">
        <v>2097</v>
      </c>
      <c r="W267" s="114" t="s">
        <v>2098</v>
      </c>
      <c r="X267" s="180">
        <v>16</v>
      </c>
      <c r="Y267" s="182" t="s">
        <v>1318</v>
      </c>
      <c r="Z267" s="183"/>
      <c r="AA267" s="184"/>
      <c r="AB267" s="182"/>
      <c r="AC267" s="114">
        <v>1</v>
      </c>
      <c r="AD267" s="172" t="s">
        <v>887</v>
      </c>
      <c r="AE267" s="114"/>
      <c r="AF267" s="114"/>
      <c r="AG267" s="114"/>
      <c r="AH267" s="106"/>
      <c r="AI267" s="114"/>
      <c r="AJ267" s="106"/>
      <c r="AK267" s="114"/>
      <c r="AL267" s="106"/>
      <c r="AM267" s="114"/>
      <c r="AN267" s="106"/>
      <c r="AO267" s="114"/>
      <c r="AP267" s="106"/>
      <c r="AQ267" s="114"/>
      <c r="AR267" s="106"/>
      <c r="AS267" s="114"/>
      <c r="AT267" s="106"/>
      <c r="AU267" s="114"/>
      <c r="AV267" s="106"/>
      <c r="AW267" s="114"/>
      <c r="AX267" s="157"/>
      <c r="AY267" s="157"/>
      <c r="AZ267" s="157"/>
      <c r="BA267" s="157"/>
      <c r="BB267" s="157"/>
      <c r="BC267" s="157"/>
    </row>
    <row r="268" spans="1:55" x14ac:dyDescent="0.3">
      <c r="A268" s="114">
        <f t="shared" si="6"/>
        <v>265</v>
      </c>
      <c r="B268" s="179" t="s">
        <v>2099</v>
      </c>
      <c r="C268" s="114">
        <v>0</v>
      </c>
      <c r="D268" s="114" t="s">
        <v>991</v>
      </c>
      <c r="E268" s="114" t="s">
        <v>966</v>
      </c>
      <c r="F268" s="114" t="s">
        <v>909</v>
      </c>
      <c r="G268" s="114"/>
      <c r="H268" s="114"/>
      <c r="I268" s="114"/>
      <c r="J268" s="114"/>
      <c r="K268" s="114"/>
      <c r="L268" s="114"/>
      <c r="M268" s="114"/>
      <c r="N268" s="114">
        <v>5</v>
      </c>
      <c r="O268" s="180">
        <v>1</v>
      </c>
      <c r="P268" s="180">
        <v>50331648</v>
      </c>
      <c r="Q268" s="180">
        <v>2000</v>
      </c>
      <c r="R268" s="180"/>
      <c r="S268" s="180"/>
      <c r="T268" s="181" t="s">
        <v>2100</v>
      </c>
      <c r="U268" s="179" t="s">
        <v>2101</v>
      </c>
      <c r="V268" s="179" t="s">
        <v>2102</v>
      </c>
      <c r="W268" s="114" t="s">
        <v>2103</v>
      </c>
      <c r="X268" s="180">
        <v>32</v>
      </c>
      <c r="Y268" s="182" t="s">
        <v>1318</v>
      </c>
      <c r="Z268" s="183"/>
      <c r="AA268" s="184"/>
      <c r="AB268" s="182"/>
      <c r="AC268" s="114">
        <v>1</v>
      </c>
      <c r="AD268" s="172" t="s">
        <v>887</v>
      </c>
      <c r="AE268" s="114"/>
      <c r="AF268" s="114"/>
      <c r="AG268" s="114"/>
      <c r="AH268" s="106"/>
      <c r="AI268" s="114"/>
      <c r="AJ268" s="106"/>
      <c r="AK268" s="114"/>
      <c r="AL268" s="106"/>
      <c r="AM268" s="114"/>
      <c r="AN268" s="106"/>
      <c r="AO268" s="114"/>
      <c r="AP268" s="106"/>
      <c r="AQ268" s="114"/>
      <c r="AR268" s="106"/>
      <c r="AS268" s="114"/>
      <c r="AT268" s="106"/>
      <c r="AU268" s="114"/>
      <c r="AV268" s="106"/>
      <c r="AW268" s="114"/>
      <c r="AX268" s="157"/>
      <c r="AY268" s="157"/>
      <c r="AZ268" s="157"/>
      <c r="BA268" s="157"/>
      <c r="BB268" s="157"/>
      <c r="BC268" s="157"/>
    </row>
    <row r="269" spans="1:55" ht="26.4" x14ac:dyDescent="0.3">
      <c r="A269" s="114">
        <f t="shared" si="6"/>
        <v>266</v>
      </c>
      <c r="B269" s="179" t="s">
        <v>2104</v>
      </c>
      <c r="C269" s="114">
        <v>0</v>
      </c>
      <c r="D269" s="114" t="s">
        <v>991</v>
      </c>
      <c r="E269" s="114" t="s">
        <v>929</v>
      </c>
      <c r="F269" s="114" t="s">
        <v>909</v>
      </c>
      <c r="G269" s="114"/>
      <c r="H269" s="114" t="s">
        <v>869</v>
      </c>
      <c r="I269" s="114"/>
      <c r="J269" s="114"/>
      <c r="K269" s="114"/>
      <c r="L269" s="114"/>
      <c r="M269" s="114"/>
      <c r="N269" s="114">
        <v>3</v>
      </c>
      <c r="O269" s="180" t="s">
        <v>909</v>
      </c>
      <c r="P269" s="180" t="s">
        <v>1243</v>
      </c>
      <c r="Q269" s="180" t="s">
        <v>2105</v>
      </c>
      <c r="R269" s="180"/>
      <c r="S269" s="180"/>
      <c r="T269" s="181" t="s">
        <v>2106</v>
      </c>
      <c r="U269" s="179" t="s">
        <v>2107</v>
      </c>
      <c r="V269" s="179" t="s">
        <v>2108</v>
      </c>
      <c r="W269" s="114" t="s">
        <v>2109</v>
      </c>
      <c r="X269" s="180">
        <v>16</v>
      </c>
      <c r="Y269" s="182" t="s">
        <v>1561</v>
      </c>
      <c r="Z269" s="183" t="s">
        <v>2110</v>
      </c>
      <c r="AA269" s="184"/>
      <c r="AB269" s="179"/>
      <c r="AC269" s="114">
        <v>2</v>
      </c>
      <c r="AD269" s="172" t="s">
        <v>887</v>
      </c>
      <c r="AE269" s="114"/>
      <c r="AF269" s="114"/>
      <c r="AG269" s="114"/>
      <c r="AH269" s="106"/>
      <c r="AI269" s="114"/>
      <c r="AJ269" s="106"/>
      <c r="AK269" s="114"/>
      <c r="AL269" s="106"/>
      <c r="AM269" s="114"/>
      <c r="AN269" s="106"/>
      <c r="AO269" s="114"/>
      <c r="AP269" s="106"/>
      <c r="AQ269" s="114"/>
      <c r="AR269" s="106"/>
      <c r="AS269" s="114"/>
      <c r="AT269" s="106"/>
      <c r="AU269" s="114"/>
      <c r="AV269" s="106"/>
      <c r="AW269" s="114"/>
      <c r="AX269" s="157"/>
      <c r="AY269" s="157"/>
      <c r="AZ269" s="157"/>
      <c r="BA269" s="157"/>
      <c r="BB269" s="157"/>
      <c r="BC269" s="157"/>
    </row>
    <row r="270" spans="1:55" ht="105.6" x14ac:dyDescent="0.3">
      <c r="A270" s="114">
        <f>A657+1</f>
        <v>654</v>
      </c>
      <c r="B270" s="113" t="s">
        <v>2111</v>
      </c>
      <c r="C270" s="114">
        <v>0</v>
      </c>
      <c r="D270" s="114" t="s">
        <v>991</v>
      </c>
      <c r="E270" s="114" t="s">
        <v>966</v>
      </c>
      <c r="F270" s="114" t="s">
        <v>909</v>
      </c>
      <c r="G270" s="114"/>
      <c r="H270" s="114"/>
      <c r="I270" s="114"/>
      <c r="J270" s="114"/>
      <c r="K270" s="114"/>
      <c r="L270" s="114"/>
      <c r="M270" s="114"/>
      <c r="N270" s="114">
        <v>5</v>
      </c>
      <c r="O270" s="180">
        <v>0</v>
      </c>
      <c r="P270" s="180">
        <v>2147483647</v>
      </c>
      <c r="Q270" s="180">
        <v>0</v>
      </c>
      <c r="R270" s="180"/>
      <c r="S270" s="180"/>
      <c r="T270" s="181" t="s">
        <v>2112</v>
      </c>
      <c r="U270" s="179" t="s">
        <v>2113</v>
      </c>
      <c r="V270" s="179" t="s">
        <v>2113</v>
      </c>
      <c r="W270" s="114" t="s">
        <v>2114</v>
      </c>
      <c r="X270" s="179">
        <v>32</v>
      </c>
      <c r="Y270" s="182" t="s">
        <v>1318</v>
      </c>
      <c r="Z270" s="183" t="s">
        <v>2115</v>
      </c>
      <c r="AA270" s="184"/>
      <c r="AB270" s="182"/>
      <c r="AC270" s="114">
        <v>1</v>
      </c>
      <c r="AD270" s="172" t="s">
        <v>887</v>
      </c>
      <c r="AE270" s="114"/>
      <c r="AF270" s="114"/>
      <c r="AG270" s="114"/>
      <c r="AH270" s="106"/>
      <c r="AI270" s="114"/>
      <c r="AJ270" s="106"/>
      <c r="AK270" s="114"/>
      <c r="AL270" s="106"/>
      <c r="AM270" s="114"/>
      <c r="AN270" s="106"/>
      <c r="AO270" s="114"/>
      <c r="AP270" s="106"/>
      <c r="AQ270" s="114"/>
      <c r="AR270" s="106"/>
      <c r="AS270" s="114"/>
      <c r="AT270" s="106"/>
      <c r="AU270" s="114"/>
      <c r="AV270" s="106"/>
      <c r="AW270" s="114"/>
      <c r="AX270" s="157"/>
      <c r="AY270" s="157"/>
      <c r="AZ270" s="157"/>
      <c r="BA270" s="157"/>
      <c r="BB270" s="157"/>
      <c r="BC270" s="157"/>
    </row>
    <row r="271" spans="1:55" ht="39.6" x14ac:dyDescent="0.3">
      <c r="A271" s="114">
        <f>A269+1</f>
        <v>267</v>
      </c>
      <c r="B271" s="179" t="s">
        <v>2116</v>
      </c>
      <c r="C271" s="114">
        <v>0</v>
      </c>
      <c r="D271" s="114" t="s">
        <v>991</v>
      </c>
      <c r="E271" s="114" t="s">
        <v>929</v>
      </c>
      <c r="F271" s="114" t="s">
        <v>909</v>
      </c>
      <c r="G271" s="114"/>
      <c r="H271" s="114"/>
      <c r="I271" s="114"/>
      <c r="J271" s="114"/>
      <c r="K271" s="114"/>
      <c r="L271" s="114"/>
      <c r="M271" s="114"/>
      <c r="N271" s="114">
        <v>7</v>
      </c>
      <c r="O271" s="180">
        <v>0</v>
      </c>
      <c r="P271" s="180">
        <v>20</v>
      </c>
      <c r="Q271" s="180">
        <v>0</v>
      </c>
      <c r="R271" s="180"/>
      <c r="S271" s="180" t="s">
        <v>2117</v>
      </c>
      <c r="T271" s="181" t="s">
        <v>2118</v>
      </c>
      <c r="U271" s="179" t="s">
        <v>2119</v>
      </c>
      <c r="V271" s="179" t="s">
        <v>2120</v>
      </c>
      <c r="W271" s="114" t="s">
        <v>2121</v>
      </c>
      <c r="X271" s="180">
        <v>16</v>
      </c>
      <c r="Y271" s="182" t="s">
        <v>913</v>
      </c>
      <c r="Z271" s="183" t="s">
        <v>2122</v>
      </c>
      <c r="AA271" s="184"/>
      <c r="AB271" s="182"/>
      <c r="AC271" s="114"/>
      <c r="AD271" s="172"/>
      <c r="AE271" s="114"/>
      <c r="AF271" s="114"/>
      <c r="AG271" s="114"/>
      <c r="AH271" s="106"/>
      <c r="AI271" s="114"/>
      <c r="AJ271" s="106"/>
      <c r="AK271" s="114"/>
      <c r="AL271" s="106"/>
      <c r="AM271" s="114"/>
      <c r="AN271" s="106"/>
      <c r="AO271" s="114"/>
      <c r="AP271" s="106"/>
      <c r="AQ271" s="114"/>
      <c r="AR271" s="106"/>
      <c r="AS271" s="114"/>
      <c r="AT271" s="106"/>
      <c r="AU271" s="114"/>
      <c r="AV271" s="106"/>
      <c r="AW271" s="114"/>
      <c r="AX271" s="157"/>
      <c r="AY271" s="157"/>
      <c r="AZ271" s="157"/>
      <c r="BA271" s="157"/>
      <c r="BB271" s="157"/>
      <c r="BC271" s="157"/>
    </row>
    <row r="272" spans="1:55" x14ac:dyDescent="0.3">
      <c r="A272" s="114">
        <f t="shared" si="6"/>
        <v>268</v>
      </c>
      <c r="B272" s="179" t="s">
        <v>2123</v>
      </c>
      <c r="C272" s="114">
        <v>0</v>
      </c>
      <c r="D272" s="114" t="s">
        <v>991</v>
      </c>
      <c r="E272" s="114" t="s">
        <v>929</v>
      </c>
      <c r="F272" s="114" t="s">
        <v>909</v>
      </c>
      <c r="G272" s="114"/>
      <c r="H272" s="114"/>
      <c r="I272" s="114"/>
      <c r="J272" s="114" t="s">
        <v>871</v>
      </c>
      <c r="K272" s="114"/>
      <c r="L272" s="114"/>
      <c r="M272" s="114"/>
      <c r="N272" s="114">
        <v>6</v>
      </c>
      <c r="O272" s="180" t="s">
        <v>909</v>
      </c>
      <c r="P272" s="180" t="s">
        <v>2124</v>
      </c>
      <c r="Q272" s="180" t="s">
        <v>909</v>
      </c>
      <c r="R272" s="180"/>
      <c r="S272" s="180"/>
      <c r="T272" s="181" t="s">
        <v>2125</v>
      </c>
      <c r="U272" s="179" t="s">
        <v>2126</v>
      </c>
      <c r="V272" s="179" t="s">
        <v>2127</v>
      </c>
      <c r="W272" s="114" t="s">
        <v>2128</v>
      </c>
      <c r="X272" s="180">
        <v>16</v>
      </c>
      <c r="Y272" s="182" t="s">
        <v>913</v>
      </c>
      <c r="Z272" s="183"/>
      <c r="AA272" s="184"/>
      <c r="AB272" s="182"/>
      <c r="AC272" s="114">
        <v>3</v>
      </c>
      <c r="AD272" s="172" t="s">
        <v>887</v>
      </c>
      <c r="AE272" s="114"/>
      <c r="AF272" s="114"/>
      <c r="AG272" s="114"/>
      <c r="AH272" s="106"/>
      <c r="AI272" s="114"/>
      <c r="AJ272" s="106"/>
      <c r="AK272" s="114"/>
      <c r="AL272" s="106"/>
      <c r="AM272" s="114"/>
      <c r="AN272" s="106"/>
      <c r="AO272" s="114"/>
      <c r="AP272" s="106"/>
      <c r="AQ272" s="114"/>
      <c r="AR272" s="106"/>
      <c r="AS272" s="114"/>
      <c r="AT272" s="106"/>
      <c r="AU272" s="114"/>
      <c r="AV272" s="106"/>
      <c r="AW272" s="114"/>
      <c r="AX272" s="157"/>
      <c r="AY272" s="157"/>
      <c r="AZ272" s="157"/>
      <c r="BA272" s="157"/>
      <c r="BB272" s="157"/>
      <c r="BC272" s="157"/>
    </row>
    <row r="273" spans="1:55" ht="26.4" x14ac:dyDescent="0.3">
      <c r="A273" s="114">
        <f t="shared" si="6"/>
        <v>269</v>
      </c>
      <c r="B273" s="179" t="s">
        <v>2129</v>
      </c>
      <c r="C273" s="114">
        <v>0</v>
      </c>
      <c r="D273" s="114" t="s">
        <v>991</v>
      </c>
      <c r="E273" s="114" t="s">
        <v>929</v>
      </c>
      <c r="F273" s="114" t="s">
        <v>909</v>
      </c>
      <c r="G273" s="114"/>
      <c r="H273" s="114"/>
      <c r="I273" s="114"/>
      <c r="J273" s="114"/>
      <c r="K273" s="114"/>
      <c r="L273" s="114"/>
      <c r="M273" s="114"/>
      <c r="N273" s="114">
        <v>7</v>
      </c>
      <c r="O273" s="180">
        <v>0</v>
      </c>
      <c r="P273" s="180">
        <v>1000</v>
      </c>
      <c r="Q273" s="180">
        <v>0</v>
      </c>
      <c r="R273" s="180"/>
      <c r="S273" s="180" t="s">
        <v>2130</v>
      </c>
      <c r="T273" s="181" t="s">
        <v>2131</v>
      </c>
      <c r="U273" s="179" t="s">
        <v>2132</v>
      </c>
      <c r="V273" s="179" t="s">
        <v>2133</v>
      </c>
      <c r="W273" s="114" t="s">
        <v>2134</v>
      </c>
      <c r="X273" s="180">
        <v>16</v>
      </c>
      <c r="Y273" s="182" t="s">
        <v>913</v>
      </c>
      <c r="Z273" s="183" t="s">
        <v>2135</v>
      </c>
      <c r="AA273" s="184"/>
      <c r="AB273" s="182"/>
      <c r="AC273" s="114"/>
      <c r="AD273" s="114"/>
      <c r="AE273" s="114"/>
      <c r="AF273" s="114"/>
      <c r="AG273" s="114"/>
      <c r="AH273" s="106"/>
      <c r="AI273" s="114"/>
      <c r="AJ273" s="106"/>
      <c r="AK273" s="114"/>
      <c r="AL273" s="106"/>
      <c r="AM273" s="114"/>
      <c r="AN273" s="106"/>
      <c r="AO273" s="114"/>
      <c r="AP273" s="106"/>
      <c r="AQ273" s="114"/>
      <c r="AR273" s="106"/>
      <c r="AS273" s="114"/>
      <c r="AT273" s="106"/>
      <c r="AU273" s="114"/>
      <c r="AV273" s="106"/>
      <c r="AW273" s="114"/>
      <c r="AX273" s="157"/>
      <c r="AY273" s="157"/>
      <c r="AZ273" s="157"/>
      <c r="BA273" s="157"/>
      <c r="BB273" s="157"/>
      <c r="BC273" s="157"/>
    </row>
    <row r="274" spans="1:55" s="197" customFormat="1" ht="39.6" x14ac:dyDescent="0.3">
      <c r="A274" s="114">
        <f t="shared" si="6"/>
        <v>270</v>
      </c>
      <c r="B274" s="179" t="s">
        <v>2136</v>
      </c>
      <c r="C274" s="114">
        <v>6</v>
      </c>
      <c r="D274" s="114" t="s">
        <v>2137</v>
      </c>
      <c r="E274" s="114" t="s">
        <v>944</v>
      </c>
      <c r="F274" s="114" t="s">
        <v>909</v>
      </c>
      <c r="G274" s="114"/>
      <c r="H274" s="114" t="s">
        <v>869</v>
      </c>
      <c r="I274" s="114" t="s">
        <v>870</v>
      </c>
      <c r="J274" s="114"/>
      <c r="K274" s="114" t="s">
        <v>872</v>
      </c>
      <c r="L274" s="114"/>
      <c r="M274" s="114"/>
      <c r="N274" s="114">
        <v>7</v>
      </c>
      <c r="O274" s="180">
        <v>0</v>
      </c>
      <c r="P274" s="180" t="s">
        <v>1182</v>
      </c>
      <c r="Q274" s="180" t="s">
        <v>2138</v>
      </c>
      <c r="R274" s="180"/>
      <c r="S274" s="180"/>
      <c r="T274" s="181" t="s">
        <v>2139</v>
      </c>
      <c r="U274" s="179" t="s">
        <v>410</v>
      </c>
      <c r="V274" s="179" t="s">
        <v>2140</v>
      </c>
      <c r="W274" s="114" t="s">
        <v>2141</v>
      </c>
      <c r="X274" s="180">
        <v>32</v>
      </c>
      <c r="Y274" s="182" t="s">
        <v>913</v>
      </c>
      <c r="Z274" s="183" t="s">
        <v>2142</v>
      </c>
      <c r="AA274" s="184"/>
      <c r="AB274" s="194"/>
      <c r="AC274" s="195"/>
      <c r="AD274" s="172" t="s">
        <v>887</v>
      </c>
      <c r="AE274" s="195"/>
      <c r="AF274" s="195"/>
      <c r="AG274" s="195"/>
      <c r="AH274" s="106" t="s">
        <v>915</v>
      </c>
      <c r="AI274" s="195"/>
      <c r="AJ274" s="108"/>
      <c r="AK274" s="195"/>
      <c r="AL274" s="108"/>
      <c r="AM274" s="195"/>
      <c r="AN274" s="108"/>
      <c r="AO274" s="195"/>
      <c r="AP274" s="108"/>
      <c r="AQ274" s="195"/>
      <c r="AR274" s="108"/>
      <c r="AS274" s="195"/>
      <c r="AT274" s="108"/>
      <c r="AU274" s="195"/>
      <c r="AV274" s="108"/>
      <c r="AW274" s="195"/>
      <c r="AX274" s="196"/>
      <c r="AY274" s="196"/>
      <c r="AZ274" s="196"/>
      <c r="BA274" s="196"/>
      <c r="BB274" s="196"/>
      <c r="BC274" s="196"/>
    </row>
    <row r="275" spans="1:55" s="197" customFormat="1" ht="26.4" x14ac:dyDescent="0.3">
      <c r="A275" s="114">
        <f t="shared" si="6"/>
        <v>271</v>
      </c>
      <c r="B275" s="179" t="s">
        <v>2143</v>
      </c>
      <c r="C275" s="114">
        <v>6</v>
      </c>
      <c r="D275" s="114" t="s">
        <v>2137</v>
      </c>
      <c r="E275" s="114" t="s">
        <v>944</v>
      </c>
      <c r="F275" s="114" t="s">
        <v>909</v>
      </c>
      <c r="G275" s="114"/>
      <c r="H275" s="114" t="s">
        <v>869</v>
      </c>
      <c r="I275" s="114" t="s">
        <v>870</v>
      </c>
      <c r="J275" s="114"/>
      <c r="K275" s="114" t="s">
        <v>872</v>
      </c>
      <c r="L275" s="114"/>
      <c r="M275" s="114"/>
      <c r="N275" s="114">
        <v>7</v>
      </c>
      <c r="O275" s="180">
        <v>0</v>
      </c>
      <c r="P275" s="180" t="s">
        <v>1182</v>
      </c>
      <c r="Q275" s="180" t="s">
        <v>2144</v>
      </c>
      <c r="R275" s="180"/>
      <c r="S275" s="180"/>
      <c r="T275" s="181" t="s">
        <v>2145</v>
      </c>
      <c r="U275" s="179" t="s">
        <v>412</v>
      </c>
      <c r="V275" s="179" t="s">
        <v>2146</v>
      </c>
      <c r="W275" s="114" t="s">
        <v>2147</v>
      </c>
      <c r="X275" s="180">
        <v>32</v>
      </c>
      <c r="Y275" s="182" t="s">
        <v>913</v>
      </c>
      <c r="Z275" s="183" t="s">
        <v>2148</v>
      </c>
      <c r="AA275" s="184"/>
      <c r="AB275" s="194"/>
      <c r="AC275" s="195"/>
      <c r="AD275" s="172" t="s">
        <v>887</v>
      </c>
      <c r="AE275" s="195"/>
      <c r="AF275" s="195"/>
      <c r="AG275" s="195"/>
      <c r="AH275" s="106" t="s">
        <v>915</v>
      </c>
      <c r="AI275" s="195"/>
      <c r="AJ275" s="108"/>
      <c r="AK275" s="195"/>
      <c r="AL275" s="108"/>
      <c r="AM275" s="195"/>
      <c r="AN275" s="108"/>
      <c r="AO275" s="195"/>
      <c r="AP275" s="108"/>
      <c r="AQ275" s="195"/>
      <c r="AR275" s="108"/>
      <c r="AS275" s="195"/>
      <c r="AT275" s="108"/>
      <c r="AU275" s="195"/>
      <c r="AV275" s="108"/>
      <c r="AW275" s="195"/>
      <c r="AX275" s="196"/>
      <c r="AY275" s="196"/>
      <c r="AZ275" s="196"/>
      <c r="BA275" s="196"/>
      <c r="BB275" s="196"/>
      <c r="BC275" s="196"/>
    </row>
    <row r="276" spans="1:55" s="197" customFormat="1" ht="52.8" x14ac:dyDescent="0.3">
      <c r="A276" s="114">
        <f>A275+1</f>
        <v>272</v>
      </c>
      <c r="B276" s="179" t="s">
        <v>2149</v>
      </c>
      <c r="C276" s="114">
        <v>6</v>
      </c>
      <c r="D276" s="114" t="s">
        <v>2137</v>
      </c>
      <c r="E276" s="114" t="s">
        <v>944</v>
      </c>
      <c r="F276" s="114" t="s">
        <v>909</v>
      </c>
      <c r="G276" s="114"/>
      <c r="H276" s="114" t="s">
        <v>869</v>
      </c>
      <c r="I276" s="114" t="s">
        <v>870</v>
      </c>
      <c r="J276" s="114"/>
      <c r="K276" s="114" t="s">
        <v>872</v>
      </c>
      <c r="L276" s="114"/>
      <c r="M276" s="114"/>
      <c r="N276" s="114">
        <v>7</v>
      </c>
      <c r="O276" s="180">
        <v>0</v>
      </c>
      <c r="P276" s="180" t="s">
        <v>1182</v>
      </c>
      <c r="Q276" s="180" t="s">
        <v>2150</v>
      </c>
      <c r="R276" s="180"/>
      <c r="S276" s="180"/>
      <c r="T276" s="181" t="s">
        <v>2151</v>
      </c>
      <c r="U276" s="179" t="s">
        <v>413</v>
      </c>
      <c r="V276" s="179" t="s">
        <v>413</v>
      </c>
      <c r="W276" s="114" t="s">
        <v>2152</v>
      </c>
      <c r="X276" s="180">
        <v>32</v>
      </c>
      <c r="Y276" s="182" t="s">
        <v>913</v>
      </c>
      <c r="Z276" s="183" t="s">
        <v>2153</v>
      </c>
      <c r="AA276" s="184"/>
      <c r="AB276" s="194"/>
      <c r="AC276" s="195"/>
      <c r="AD276" s="172" t="s">
        <v>887</v>
      </c>
      <c r="AE276" s="195"/>
      <c r="AF276" s="195"/>
      <c r="AG276" s="195"/>
      <c r="AH276" s="106" t="s">
        <v>915</v>
      </c>
      <c r="AI276" s="195"/>
      <c r="AJ276" s="108"/>
      <c r="AK276" s="195"/>
      <c r="AL276" s="108"/>
      <c r="AM276" s="195"/>
      <c r="AN276" s="108"/>
      <c r="AO276" s="195"/>
      <c r="AP276" s="108"/>
      <c r="AQ276" s="195"/>
      <c r="AR276" s="108"/>
      <c r="AS276" s="195"/>
      <c r="AT276" s="108"/>
      <c r="AU276" s="195"/>
      <c r="AV276" s="108"/>
      <c r="AW276" s="195"/>
      <c r="AX276" s="196"/>
      <c r="AY276" s="196"/>
      <c r="AZ276" s="196"/>
      <c r="BA276" s="196"/>
      <c r="BB276" s="196"/>
      <c r="BC276" s="196"/>
    </row>
    <row r="277" spans="1:55" s="197" customFormat="1" ht="26.4" x14ac:dyDescent="0.3">
      <c r="A277" s="114">
        <f>A276+1</f>
        <v>273</v>
      </c>
      <c r="B277" s="179" t="s">
        <v>2154</v>
      </c>
      <c r="C277" s="114">
        <v>6</v>
      </c>
      <c r="D277" s="114" t="s">
        <v>2155</v>
      </c>
      <c r="E277" s="114" t="s">
        <v>944</v>
      </c>
      <c r="F277" s="114" t="s">
        <v>909</v>
      </c>
      <c r="G277" s="114"/>
      <c r="H277" s="114" t="s">
        <v>869</v>
      </c>
      <c r="I277" s="114" t="s">
        <v>870</v>
      </c>
      <c r="J277" s="114"/>
      <c r="K277" s="114" t="s">
        <v>872</v>
      </c>
      <c r="L277" s="114"/>
      <c r="M277" s="114"/>
      <c r="N277" s="114">
        <v>7</v>
      </c>
      <c r="O277" s="180">
        <v>0</v>
      </c>
      <c r="P277" s="180">
        <v>1</v>
      </c>
      <c r="Q277" s="180">
        <v>0</v>
      </c>
      <c r="R277" s="180"/>
      <c r="S277" s="180"/>
      <c r="T277" s="181" t="s">
        <v>2156</v>
      </c>
      <c r="U277" s="179" t="s">
        <v>2157</v>
      </c>
      <c r="V277" s="179" t="s">
        <v>2157</v>
      </c>
      <c r="W277" s="114" t="s">
        <v>2158</v>
      </c>
      <c r="X277" s="180">
        <v>32</v>
      </c>
      <c r="Y277" s="182" t="s">
        <v>913</v>
      </c>
      <c r="Z277" s="183" t="s">
        <v>2159</v>
      </c>
      <c r="AA277" s="184"/>
      <c r="AB277" s="194"/>
      <c r="AC277" s="195"/>
      <c r="AD277" s="172" t="s">
        <v>887</v>
      </c>
      <c r="AE277" s="195"/>
      <c r="AF277" s="195"/>
      <c r="AG277" s="195"/>
      <c r="AH277" s="106" t="s">
        <v>915</v>
      </c>
      <c r="AI277" s="195"/>
      <c r="AJ277" s="108"/>
      <c r="AK277" s="195"/>
      <c r="AL277" s="108"/>
      <c r="AM277" s="195"/>
      <c r="AN277" s="108"/>
      <c r="AO277" s="195"/>
      <c r="AP277" s="108"/>
      <c r="AQ277" s="195"/>
      <c r="AR277" s="108"/>
      <c r="AS277" s="195"/>
      <c r="AT277" s="108"/>
      <c r="AU277" s="195"/>
      <c r="AV277" s="108"/>
      <c r="AW277" s="195"/>
      <c r="AX277" s="196"/>
      <c r="AY277" s="196"/>
      <c r="AZ277" s="196"/>
      <c r="BA277" s="196"/>
      <c r="BB277" s="196"/>
      <c r="BC277" s="196"/>
    </row>
    <row r="278" spans="1:55" ht="49.5" customHeight="1" x14ac:dyDescent="0.3">
      <c r="A278" s="114">
        <f>A277+1</f>
        <v>274</v>
      </c>
      <c r="B278" s="179" t="s">
        <v>2160</v>
      </c>
      <c r="C278" s="114">
        <v>0</v>
      </c>
      <c r="D278" s="114" t="s">
        <v>991</v>
      </c>
      <c r="E278" s="114" t="s">
        <v>944</v>
      </c>
      <c r="F278" s="114" t="s">
        <v>909</v>
      </c>
      <c r="G278" s="114"/>
      <c r="H278" s="114"/>
      <c r="I278" s="114"/>
      <c r="J278" s="114" t="s">
        <v>871</v>
      </c>
      <c r="K278" s="114"/>
      <c r="L278" s="114"/>
      <c r="M278" s="114"/>
      <c r="N278" s="114">
        <v>8</v>
      </c>
      <c r="O278" s="180" t="s">
        <v>1181</v>
      </c>
      <c r="P278" s="180" t="s">
        <v>1182</v>
      </c>
      <c r="Q278" s="180" t="s">
        <v>1181</v>
      </c>
      <c r="R278" s="180"/>
      <c r="S278" s="180"/>
      <c r="T278" s="181" t="s">
        <v>2161</v>
      </c>
      <c r="U278" s="179" t="s">
        <v>2162</v>
      </c>
      <c r="V278" s="179" t="s">
        <v>2163</v>
      </c>
      <c r="W278" s="114" t="s">
        <v>2164</v>
      </c>
      <c r="X278" s="179">
        <v>32</v>
      </c>
      <c r="Y278" s="182" t="s">
        <v>913</v>
      </c>
      <c r="Z278" s="183" t="s">
        <v>2165</v>
      </c>
      <c r="AA278" s="184"/>
      <c r="AB278" s="182"/>
      <c r="AC278" s="114"/>
      <c r="AD278" s="172" t="s">
        <v>887</v>
      </c>
      <c r="AE278" s="114"/>
      <c r="AF278" s="114"/>
      <c r="AG278" s="114"/>
      <c r="AH278" s="106"/>
      <c r="AI278" s="114"/>
      <c r="AJ278" s="106"/>
      <c r="AK278" s="114"/>
      <c r="AL278" s="106"/>
      <c r="AM278" s="114"/>
      <c r="AN278" s="106"/>
      <c r="AO278" s="114"/>
      <c r="AP278" s="106"/>
      <c r="AQ278" s="114"/>
      <c r="AR278" s="106"/>
      <c r="AS278" s="114"/>
      <c r="AT278" s="106"/>
      <c r="AU278" s="114"/>
      <c r="AV278" s="106"/>
      <c r="AW278" s="114"/>
      <c r="AX278" s="157"/>
      <c r="AY278" s="157"/>
      <c r="AZ278" s="157"/>
      <c r="BA278" s="157"/>
      <c r="BB278" s="157"/>
      <c r="BC278" s="157"/>
    </row>
    <row r="279" spans="1:55" x14ac:dyDescent="0.3">
      <c r="A279" s="114">
        <f>A278+1</f>
        <v>275</v>
      </c>
      <c r="B279" s="179" t="s">
        <v>2166</v>
      </c>
      <c r="C279" s="114">
        <v>0</v>
      </c>
      <c r="D279" s="114" t="s">
        <v>991</v>
      </c>
      <c r="E279" s="114" t="s">
        <v>944</v>
      </c>
      <c r="F279" s="114" t="s">
        <v>923</v>
      </c>
      <c r="G279" s="114" t="s">
        <v>868</v>
      </c>
      <c r="H279" s="114"/>
      <c r="I279" s="114"/>
      <c r="J279" s="114" t="s">
        <v>871</v>
      </c>
      <c r="K279" s="114"/>
      <c r="L279" s="114"/>
      <c r="M279" s="114"/>
      <c r="N279" s="114">
        <v>8</v>
      </c>
      <c r="O279" s="180" t="s">
        <v>1181</v>
      </c>
      <c r="P279" s="180" t="s">
        <v>1182</v>
      </c>
      <c r="Q279" s="180" t="s">
        <v>1181</v>
      </c>
      <c r="R279" s="180"/>
      <c r="S279" s="180"/>
      <c r="T279" s="181" t="s">
        <v>2167</v>
      </c>
      <c r="U279" s="179" t="s">
        <v>2168</v>
      </c>
      <c r="V279" s="179" t="s">
        <v>2169</v>
      </c>
      <c r="W279" s="114" t="s">
        <v>2170</v>
      </c>
      <c r="X279" s="179">
        <v>32</v>
      </c>
      <c r="Y279" s="182" t="s">
        <v>913</v>
      </c>
      <c r="Z279" s="183" t="s">
        <v>2171</v>
      </c>
      <c r="AA279" s="184"/>
      <c r="AB279" s="182"/>
      <c r="AC279" s="114"/>
      <c r="AD279" s="114"/>
      <c r="AE279" s="114"/>
      <c r="AF279" s="114"/>
      <c r="AG279" s="114"/>
      <c r="AH279" s="106"/>
      <c r="AI279" s="114"/>
      <c r="AJ279" s="106"/>
      <c r="AK279" s="114"/>
      <c r="AL279" s="106"/>
      <c r="AM279" s="114"/>
      <c r="AN279" s="106"/>
      <c r="AO279" s="114"/>
      <c r="AP279" s="106"/>
      <c r="AQ279" s="114"/>
      <c r="AR279" s="106"/>
      <c r="AS279" s="114"/>
      <c r="AT279" s="106"/>
      <c r="AU279" s="114"/>
      <c r="AV279" s="106"/>
      <c r="AW279" s="114"/>
      <c r="AX279" s="157"/>
      <c r="AY279" s="157"/>
      <c r="AZ279" s="157"/>
      <c r="BA279" s="157"/>
      <c r="BB279" s="157"/>
      <c r="BC279" s="157"/>
    </row>
    <row r="280" spans="1:55" x14ac:dyDescent="0.3">
      <c r="A280" s="114">
        <f t="shared" ref="A280:A310" si="7">A279+1</f>
        <v>276</v>
      </c>
      <c r="B280" s="179" t="s">
        <v>2172</v>
      </c>
      <c r="C280" s="114">
        <v>0</v>
      </c>
      <c r="D280" s="114" t="s">
        <v>991</v>
      </c>
      <c r="E280" s="114" t="s">
        <v>944</v>
      </c>
      <c r="F280" s="114" t="s">
        <v>923</v>
      </c>
      <c r="G280" s="114" t="s">
        <v>868</v>
      </c>
      <c r="H280" s="114"/>
      <c r="I280" s="114"/>
      <c r="J280" s="114" t="s">
        <v>871</v>
      </c>
      <c r="K280" s="114"/>
      <c r="L280" s="114"/>
      <c r="M280" s="114"/>
      <c r="N280" s="114">
        <v>8</v>
      </c>
      <c r="O280" s="180" t="s">
        <v>1181</v>
      </c>
      <c r="P280" s="180" t="s">
        <v>1182</v>
      </c>
      <c r="Q280" s="180" t="s">
        <v>1181</v>
      </c>
      <c r="R280" s="180"/>
      <c r="S280" s="180"/>
      <c r="T280" s="181" t="s">
        <v>2173</v>
      </c>
      <c r="U280" s="179" t="s">
        <v>2174</v>
      </c>
      <c r="V280" s="179" t="s">
        <v>2175</v>
      </c>
      <c r="W280" s="114" t="s">
        <v>2176</v>
      </c>
      <c r="X280" s="179">
        <v>32</v>
      </c>
      <c r="Y280" s="182" t="s">
        <v>913</v>
      </c>
      <c r="Z280" s="183" t="s">
        <v>2171</v>
      </c>
      <c r="AA280" s="184"/>
      <c r="AB280" s="182"/>
      <c r="AC280" s="114"/>
      <c r="AD280" s="114"/>
      <c r="AE280" s="114"/>
      <c r="AF280" s="114"/>
      <c r="AG280" s="114"/>
      <c r="AH280" s="106"/>
      <c r="AI280" s="114"/>
      <c r="AJ280" s="106"/>
      <c r="AK280" s="114"/>
      <c r="AL280" s="106"/>
      <c r="AM280" s="114"/>
      <c r="AN280" s="106"/>
      <c r="AO280" s="114"/>
      <c r="AP280" s="106"/>
      <c r="AQ280" s="114"/>
      <c r="AR280" s="106"/>
      <c r="AS280" s="114"/>
      <c r="AT280" s="106"/>
      <c r="AU280" s="114"/>
      <c r="AV280" s="106"/>
      <c r="AW280" s="114"/>
      <c r="AX280" s="157"/>
      <c r="AY280" s="157"/>
      <c r="AZ280" s="157"/>
      <c r="BA280" s="157"/>
      <c r="BB280" s="157"/>
      <c r="BC280" s="157"/>
    </row>
    <row r="281" spans="1:55" x14ac:dyDescent="0.3">
      <c r="A281" s="114">
        <f t="shared" si="7"/>
        <v>277</v>
      </c>
      <c r="B281" s="179" t="s">
        <v>2177</v>
      </c>
      <c r="C281" s="114">
        <v>0</v>
      </c>
      <c r="D281" s="114" t="s">
        <v>991</v>
      </c>
      <c r="E281" s="114" t="s">
        <v>944</v>
      </c>
      <c r="F281" s="114" t="s">
        <v>923</v>
      </c>
      <c r="G281" s="114" t="s">
        <v>868</v>
      </c>
      <c r="H281" s="114"/>
      <c r="I281" s="114"/>
      <c r="J281" s="114" t="s">
        <v>871</v>
      </c>
      <c r="K281" s="114"/>
      <c r="L281" s="114"/>
      <c r="M281" s="114"/>
      <c r="N281" s="114">
        <v>8</v>
      </c>
      <c r="O281" s="180" t="s">
        <v>1181</v>
      </c>
      <c r="P281" s="180" t="s">
        <v>1182</v>
      </c>
      <c r="Q281" s="180" t="s">
        <v>1181</v>
      </c>
      <c r="R281" s="180"/>
      <c r="S281" s="180"/>
      <c r="T281" s="181" t="s">
        <v>2178</v>
      </c>
      <c r="U281" s="179" t="s">
        <v>2179</v>
      </c>
      <c r="V281" s="179" t="s">
        <v>2180</v>
      </c>
      <c r="W281" s="114" t="s">
        <v>2181</v>
      </c>
      <c r="X281" s="179">
        <v>32</v>
      </c>
      <c r="Y281" s="182" t="s">
        <v>913</v>
      </c>
      <c r="Z281" s="183" t="s">
        <v>2171</v>
      </c>
      <c r="AA281" s="184"/>
      <c r="AB281" s="182"/>
      <c r="AC281" s="114"/>
      <c r="AD281" s="114"/>
      <c r="AE281" s="114"/>
      <c r="AF281" s="114"/>
      <c r="AG281" s="114"/>
      <c r="AH281" s="106"/>
      <c r="AI281" s="114"/>
      <c r="AJ281" s="106"/>
      <c r="AK281" s="114"/>
      <c r="AL281" s="106"/>
      <c r="AM281" s="114"/>
      <c r="AN281" s="106"/>
      <c r="AO281" s="114"/>
      <c r="AP281" s="106"/>
      <c r="AQ281" s="114"/>
      <c r="AR281" s="106"/>
      <c r="AS281" s="114"/>
      <c r="AT281" s="106"/>
      <c r="AU281" s="114"/>
      <c r="AV281" s="106"/>
      <c r="AW281" s="114"/>
      <c r="AX281" s="157"/>
      <c r="AY281" s="157"/>
      <c r="AZ281" s="157"/>
      <c r="BA281" s="157"/>
      <c r="BB281" s="157"/>
      <c r="BC281" s="157"/>
    </row>
    <row r="282" spans="1:55" x14ac:dyDescent="0.3">
      <c r="A282" s="114">
        <f t="shared" si="7"/>
        <v>278</v>
      </c>
      <c r="B282" s="179" t="s">
        <v>2182</v>
      </c>
      <c r="C282" s="114">
        <v>0</v>
      </c>
      <c r="D282" s="114" t="s">
        <v>991</v>
      </c>
      <c r="E282" s="114" t="s">
        <v>944</v>
      </c>
      <c r="F282" s="114" t="s">
        <v>923</v>
      </c>
      <c r="G282" s="114" t="s">
        <v>868</v>
      </c>
      <c r="H282" s="114"/>
      <c r="I282" s="114"/>
      <c r="J282" s="114" t="s">
        <v>871</v>
      </c>
      <c r="K282" s="114"/>
      <c r="L282" s="114"/>
      <c r="M282" s="114"/>
      <c r="N282" s="114">
        <v>8</v>
      </c>
      <c r="O282" s="180" t="s">
        <v>1181</v>
      </c>
      <c r="P282" s="180" t="s">
        <v>1182</v>
      </c>
      <c r="Q282" s="180" t="s">
        <v>1181</v>
      </c>
      <c r="R282" s="180"/>
      <c r="S282" s="180"/>
      <c r="T282" s="181" t="s">
        <v>2183</v>
      </c>
      <c r="U282" s="179" t="s">
        <v>2184</v>
      </c>
      <c r="V282" s="179" t="s">
        <v>2185</v>
      </c>
      <c r="W282" s="114" t="s">
        <v>2186</v>
      </c>
      <c r="X282" s="179">
        <v>32</v>
      </c>
      <c r="Y282" s="182" t="s">
        <v>913</v>
      </c>
      <c r="Z282" s="183" t="s">
        <v>2171</v>
      </c>
      <c r="AA282" s="184"/>
      <c r="AB282" s="182"/>
      <c r="AC282" s="114"/>
      <c r="AD282" s="114"/>
      <c r="AE282" s="114"/>
      <c r="AF282" s="114"/>
      <c r="AG282" s="114"/>
      <c r="AH282" s="106"/>
      <c r="AI282" s="114"/>
      <c r="AJ282" s="106"/>
      <c r="AK282" s="114"/>
      <c r="AL282" s="106"/>
      <c r="AM282" s="114"/>
      <c r="AN282" s="106"/>
      <c r="AO282" s="114"/>
      <c r="AP282" s="106"/>
      <c r="AQ282" s="114"/>
      <c r="AR282" s="106"/>
      <c r="AS282" s="114"/>
      <c r="AT282" s="106"/>
      <c r="AU282" s="114"/>
      <c r="AV282" s="106"/>
      <c r="AW282" s="114"/>
      <c r="AX282" s="157"/>
      <c r="AY282" s="157"/>
      <c r="AZ282" s="157"/>
      <c r="BA282" s="157"/>
      <c r="BB282" s="157"/>
      <c r="BC282" s="157"/>
    </row>
    <row r="283" spans="1:55" ht="39.6" x14ac:dyDescent="0.3">
      <c r="A283" s="114">
        <f t="shared" si="7"/>
        <v>279</v>
      </c>
      <c r="B283" s="179" t="s">
        <v>2187</v>
      </c>
      <c r="C283" s="114">
        <v>0</v>
      </c>
      <c r="D283" s="114" t="s">
        <v>991</v>
      </c>
      <c r="E283" s="114" t="s">
        <v>980</v>
      </c>
      <c r="F283" s="114" t="s">
        <v>909</v>
      </c>
      <c r="G283" s="114"/>
      <c r="H283" s="114"/>
      <c r="I283" s="114"/>
      <c r="J283" s="114"/>
      <c r="K283" s="114"/>
      <c r="L283" s="114"/>
      <c r="M283" s="114"/>
      <c r="N283" s="114">
        <v>3</v>
      </c>
      <c r="O283" s="192" t="s">
        <v>2188</v>
      </c>
      <c r="P283" s="192" t="s">
        <v>2189</v>
      </c>
      <c r="Q283" s="192" t="s">
        <v>2190</v>
      </c>
      <c r="R283" s="192" t="s">
        <v>2191</v>
      </c>
      <c r="S283" s="192" t="s">
        <v>2192</v>
      </c>
      <c r="T283" s="181" t="s">
        <v>2193</v>
      </c>
      <c r="U283" s="179" t="s">
        <v>2194</v>
      </c>
      <c r="V283" s="179" t="s">
        <v>2195</v>
      </c>
      <c r="W283" s="114" t="s">
        <v>2196</v>
      </c>
      <c r="X283" s="180">
        <v>16</v>
      </c>
      <c r="Y283" s="182" t="s">
        <v>913</v>
      </c>
      <c r="Z283" s="183" t="s">
        <v>2197</v>
      </c>
      <c r="AA283" s="184"/>
      <c r="AB283" s="182"/>
      <c r="AC283" s="114"/>
      <c r="AD283" s="172" t="s">
        <v>887</v>
      </c>
      <c r="AE283" s="114"/>
      <c r="AF283" s="114"/>
      <c r="AG283" s="114"/>
      <c r="AH283" s="106"/>
      <c r="AI283" s="114"/>
      <c r="AJ283" s="106"/>
      <c r="AK283" s="114"/>
      <c r="AL283" s="106"/>
      <c r="AM283" s="114"/>
      <c r="AN283" s="106"/>
      <c r="AO283" s="114"/>
      <c r="AP283" s="106"/>
      <c r="AQ283" s="114"/>
      <c r="AR283" s="106"/>
      <c r="AS283" s="114"/>
      <c r="AT283" s="106"/>
      <c r="AU283" s="114"/>
      <c r="AV283" s="106"/>
      <c r="AW283" s="114"/>
      <c r="AX283" s="157"/>
      <c r="AY283" s="157"/>
      <c r="AZ283" s="157"/>
      <c r="BA283" s="157"/>
      <c r="BB283" s="157"/>
      <c r="BC283" s="157"/>
    </row>
    <row r="284" spans="1:55" ht="52.8" x14ac:dyDescent="0.3">
      <c r="A284" s="114">
        <f t="shared" si="7"/>
        <v>280</v>
      </c>
      <c r="B284" s="179" t="s">
        <v>2198</v>
      </c>
      <c r="C284" s="114">
        <v>0</v>
      </c>
      <c r="D284" s="114" t="s">
        <v>991</v>
      </c>
      <c r="E284" s="114" t="s">
        <v>929</v>
      </c>
      <c r="F284" s="114" t="s">
        <v>909</v>
      </c>
      <c r="G284" s="114"/>
      <c r="H284" s="114"/>
      <c r="I284" s="114"/>
      <c r="J284" s="114" t="s">
        <v>871</v>
      </c>
      <c r="K284" s="114"/>
      <c r="L284" s="114"/>
      <c r="M284" s="114"/>
      <c r="N284" s="114">
        <v>6</v>
      </c>
      <c r="O284" s="180" t="s">
        <v>909</v>
      </c>
      <c r="P284" s="180" t="s">
        <v>2199</v>
      </c>
      <c r="Q284" s="180" t="s">
        <v>909</v>
      </c>
      <c r="R284" s="180"/>
      <c r="S284" s="180"/>
      <c r="T284" s="181" t="s">
        <v>2200</v>
      </c>
      <c r="U284" s="179" t="s">
        <v>2201</v>
      </c>
      <c r="V284" s="179" t="s">
        <v>2202</v>
      </c>
      <c r="W284" s="114" t="s">
        <v>2203</v>
      </c>
      <c r="X284" s="180">
        <v>16</v>
      </c>
      <c r="Y284" s="182" t="s">
        <v>913</v>
      </c>
      <c r="Z284" s="183" t="s">
        <v>2204</v>
      </c>
      <c r="AA284" s="184"/>
      <c r="AB284" s="182"/>
      <c r="AC284" s="114">
        <v>3</v>
      </c>
      <c r="AD284" s="172" t="s">
        <v>887</v>
      </c>
      <c r="AE284" s="114"/>
      <c r="AF284" s="114"/>
      <c r="AG284" s="114"/>
      <c r="AH284" s="106"/>
      <c r="AI284" s="114"/>
      <c r="AJ284" s="106"/>
      <c r="AK284" s="114"/>
      <c r="AL284" s="106"/>
      <c r="AM284" s="114"/>
      <c r="AN284" s="106"/>
      <c r="AO284" s="114"/>
      <c r="AP284" s="106"/>
      <c r="AQ284" s="114"/>
      <c r="AR284" s="106"/>
      <c r="AS284" s="114"/>
      <c r="AT284" s="106"/>
      <c r="AU284" s="114"/>
      <c r="AV284" s="106"/>
      <c r="AW284" s="114"/>
      <c r="AX284" s="157"/>
      <c r="AY284" s="157"/>
      <c r="AZ284" s="157"/>
      <c r="BA284" s="157"/>
      <c r="BB284" s="157"/>
      <c r="BC284" s="157"/>
    </row>
    <row r="285" spans="1:55" ht="52.8" x14ac:dyDescent="0.3">
      <c r="A285" s="114">
        <f t="shared" si="7"/>
        <v>281</v>
      </c>
      <c r="B285" s="179" t="s">
        <v>2205</v>
      </c>
      <c r="C285" s="114">
        <v>0</v>
      </c>
      <c r="D285" s="114" t="s">
        <v>991</v>
      </c>
      <c r="E285" s="114" t="s">
        <v>929</v>
      </c>
      <c r="F285" s="114" t="s">
        <v>909</v>
      </c>
      <c r="G285" s="114"/>
      <c r="H285" s="114"/>
      <c r="I285" s="114"/>
      <c r="J285" s="114" t="s">
        <v>871</v>
      </c>
      <c r="K285" s="114"/>
      <c r="L285" s="114"/>
      <c r="M285" s="114"/>
      <c r="N285" s="114">
        <v>6</v>
      </c>
      <c r="O285" s="180" t="s">
        <v>909</v>
      </c>
      <c r="P285" s="180" t="s">
        <v>2124</v>
      </c>
      <c r="Q285" s="180" t="s">
        <v>909</v>
      </c>
      <c r="R285" s="180"/>
      <c r="S285" s="180"/>
      <c r="T285" s="181" t="s">
        <v>2206</v>
      </c>
      <c r="U285" s="179" t="s">
        <v>2207</v>
      </c>
      <c r="V285" s="179" t="s">
        <v>2208</v>
      </c>
      <c r="W285" s="114" t="s">
        <v>2209</v>
      </c>
      <c r="X285" s="180">
        <v>16</v>
      </c>
      <c r="Y285" s="182" t="s">
        <v>913</v>
      </c>
      <c r="Z285" s="183" t="s">
        <v>2210</v>
      </c>
      <c r="AA285" s="184"/>
      <c r="AB285" s="182"/>
      <c r="AC285" s="114">
        <v>3</v>
      </c>
      <c r="AD285" s="172" t="s">
        <v>887</v>
      </c>
      <c r="AE285" s="114"/>
      <c r="AF285" s="114"/>
      <c r="AG285" s="114"/>
      <c r="AH285" s="106"/>
      <c r="AI285" s="114"/>
      <c r="AJ285" s="106"/>
      <c r="AK285" s="114"/>
      <c r="AL285" s="106"/>
      <c r="AM285" s="114"/>
      <c r="AN285" s="106"/>
      <c r="AO285" s="114"/>
      <c r="AP285" s="106"/>
      <c r="AQ285" s="114"/>
      <c r="AR285" s="106"/>
      <c r="AS285" s="114"/>
      <c r="AT285" s="106"/>
      <c r="AU285" s="114"/>
      <c r="AV285" s="106"/>
      <c r="AW285" s="114"/>
      <c r="AX285" s="157"/>
      <c r="AY285" s="157"/>
      <c r="AZ285" s="157"/>
      <c r="BA285" s="157"/>
      <c r="BB285" s="157"/>
      <c r="BC285" s="157"/>
    </row>
    <row r="286" spans="1:55" x14ac:dyDescent="0.3">
      <c r="A286" s="114">
        <f t="shared" si="7"/>
        <v>282</v>
      </c>
      <c r="B286" s="179" t="s">
        <v>2211</v>
      </c>
      <c r="C286" s="114">
        <v>0</v>
      </c>
      <c r="D286" s="114" t="s">
        <v>991</v>
      </c>
      <c r="E286" s="114" t="s">
        <v>929</v>
      </c>
      <c r="F286" s="114" t="s">
        <v>923</v>
      </c>
      <c r="G286" s="114" t="s">
        <v>868</v>
      </c>
      <c r="H286" s="114"/>
      <c r="I286" s="114"/>
      <c r="J286" s="114" t="s">
        <v>871</v>
      </c>
      <c r="K286" s="114"/>
      <c r="L286" s="114"/>
      <c r="M286" s="114"/>
      <c r="N286" s="114">
        <v>6</v>
      </c>
      <c r="O286" s="180" t="s">
        <v>909</v>
      </c>
      <c r="P286" s="180" t="s">
        <v>2199</v>
      </c>
      <c r="Q286" s="180" t="s">
        <v>909</v>
      </c>
      <c r="R286" s="180"/>
      <c r="S286" s="180"/>
      <c r="T286" s="181" t="s">
        <v>2212</v>
      </c>
      <c r="U286" s="179" t="s">
        <v>2213</v>
      </c>
      <c r="V286" s="179" t="s">
        <v>2214</v>
      </c>
      <c r="W286" s="114" t="s">
        <v>2215</v>
      </c>
      <c r="X286" s="180">
        <v>16</v>
      </c>
      <c r="Y286" s="182" t="s">
        <v>913</v>
      </c>
      <c r="Z286" s="183"/>
      <c r="AA286" s="184"/>
      <c r="AB286" s="182"/>
      <c r="AC286" s="114"/>
      <c r="AD286" s="114"/>
      <c r="AE286" s="114"/>
      <c r="AF286" s="114"/>
      <c r="AG286" s="114"/>
      <c r="AH286" s="106"/>
      <c r="AI286" s="114"/>
      <c r="AJ286" s="106"/>
      <c r="AK286" s="114"/>
      <c r="AL286" s="106"/>
      <c r="AM286" s="114"/>
      <c r="AN286" s="106"/>
      <c r="AO286" s="114"/>
      <c r="AP286" s="106"/>
      <c r="AQ286" s="114"/>
      <c r="AR286" s="106"/>
      <c r="AS286" s="114"/>
      <c r="AT286" s="106"/>
      <c r="AU286" s="114"/>
      <c r="AV286" s="106"/>
      <c r="AW286" s="114"/>
      <c r="AX286" s="157"/>
      <c r="AY286" s="157"/>
      <c r="AZ286" s="157"/>
      <c r="BA286" s="157"/>
      <c r="BB286" s="157"/>
      <c r="BC286" s="157"/>
    </row>
    <row r="287" spans="1:55" x14ac:dyDescent="0.3">
      <c r="A287" s="114">
        <f>A286+1</f>
        <v>283</v>
      </c>
      <c r="B287" s="179" t="s">
        <v>2216</v>
      </c>
      <c r="C287" s="114">
        <v>0</v>
      </c>
      <c r="D287" s="114" t="s">
        <v>991</v>
      </c>
      <c r="E287" s="114" t="s">
        <v>929</v>
      </c>
      <c r="F287" s="114" t="s">
        <v>923</v>
      </c>
      <c r="G287" s="114" t="s">
        <v>868</v>
      </c>
      <c r="H287" s="114"/>
      <c r="I287" s="114"/>
      <c r="J287" s="114" t="s">
        <v>871</v>
      </c>
      <c r="K287" s="114"/>
      <c r="L287" s="114"/>
      <c r="M287" s="114"/>
      <c r="N287" s="114">
        <v>6</v>
      </c>
      <c r="O287" s="180" t="s">
        <v>909</v>
      </c>
      <c r="P287" s="180" t="s">
        <v>2217</v>
      </c>
      <c r="Q287" s="180" t="s">
        <v>909</v>
      </c>
      <c r="R287" s="180"/>
      <c r="S287" s="180"/>
      <c r="T287" s="181" t="s">
        <v>2218</v>
      </c>
      <c r="U287" s="179" t="s">
        <v>405</v>
      </c>
      <c r="V287" s="179" t="s">
        <v>405</v>
      </c>
      <c r="W287" s="114" t="s">
        <v>2219</v>
      </c>
      <c r="X287" s="180">
        <v>16</v>
      </c>
      <c r="Y287" s="182" t="s">
        <v>913</v>
      </c>
      <c r="Z287" s="183" t="s">
        <v>2220</v>
      </c>
      <c r="AA287" s="184"/>
      <c r="AB287" s="182"/>
      <c r="AC287" s="114"/>
      <c r="AD287" s="114"/>
      <c r="AE287" s="114"/>
      <c r="AF287" s="114"/>
      <c r="AG287" s="114"/>
      <c r="AH287" s="106"/>
      <c r="AI287" s="114"/>
      <c r="AJ287" s="106"/>
      <c r="AK287" s="114"/>
      <c r="AL287" s="106"/>
      <c r="AM287" s="114"/>
      <c r="AN287" s="106"/>
      <c r="AO287" s="114"/>
      <c r="AP287" s="106"/>
      <c r="AQ287" s="114"/>
      <c r="AR287" s="106"/>
      <c r="AS287" s="114"/>
      <c r="AT287" s="106"/>
      <c r="AU287" s="114"/>
      <c r="AV287" s="106"/>
      <c r="AW287" s="114"/>
      <c r="AX287" s="157"/>
      <c r="AY287" s="157"/>
      <c r="AZ287" s="157"/>
      <c r="BA287" s="157"/>
      <c r="BB287" s="157"/>
      <c r="BC287" s="157"/>
    </row>
    <row r="288" spans="1:55" ht="66" x14ac:dyDescent="0.3">
      <c r="A288" s="114">
        <f t="shared" si="7"/>
        <v>284</v>
      </c>
      <c r="B288" s="179" t="s">
        <v>2221</v>
      </c>
      <c r="C288" s="114">
        <v>0</v>
      </c>
      <c r="D288" s="114" t="s">
        <v>991</v>
      </c>
      <c r="E288" s="114" t="s">
        <v>980</v>
      </c>
      <c r="F288" s="114" t="s">
        <v>909</v>
      </c>
      <c r="G288" s="114"/>
      <c r="H288" s="114"/>
      <c r="I288" s="114"/>
      <c r="J288" s="114" t="s">
        <v>871</v>
      </c>
      <c r="K288" s="114"/>
      <c r="L288" s="114"/>
      <c r="M288" s="114"/>
      <c r="N288" s="114">
        <v>3</v>
      </c>
      <c r="O288" s="180">
        <v>0</v>
      </c>
      <c r="P288" s="180">
        <v>14</v>
      </c>
      <c r="Q288" s="180">
        <v>0</v>
      </c>
      <c r="R288" s="180"/>
      <c r="S288" s="180"/>
      <c r="T288" s="181" t="s">
        <v>2222</v>
      </c>
      <c r="U288" s="179" t="s">
        <v>2223</v>
      </c>
      <c r="V288" s="179" t="s">
        <v>2224</v>
      </c>
      <c r="W288" s="114" t="s">
        <v>2225</v>
      </c>
      <c r="X288" s="180">
        <v>16</v>
      </c>
      <c r="Y288" s="182" t="s">
        <v>913</v>
      </c>
      <c r="Z288" s="183" t="s">
        <v>2226</v>
      </c>
      <c r="AA288" s="184"/>
      <c r="AB288" s="182"/>
      <c r="AC288" s="114"/>
      <c r="AD288" s="172" t="s">
        <v>887</v>
      </c>
      <c r="AE288" s="114"/>
      <c r="AF288" s="114"/>
      <c r="AG288" s="114"/>
      <c r="AH288" s="106"/>
      <c r="AI288" s="114"/>
      <c r="AJ288" s="106"/>
      <c r="AK288" s="114"/>
      <c r="AL288" s="106"/>
      <c r="AM288" s="114"/>
      <c r="AN288" s="106"/>
      <c r="AO288" s="114"/>
      <c r="AP288" s="106"/>
      <c r="AQ288" s="114"/>
      <c r="AR288" s="106"/>
      <c r="AS288" s="114"/>
      <c r="AT288" s="106"/>
      <c r="AU288" s="114"/>
      <c r="AV288" s="106"/>
      <c r="AW288" s="114"/>
      <c r="AX288" s="157"/>
      <c r="AY288" s="157"/>
      <c r="AZ288" s="157"/>
      <c r="BA288" s="157"/>
      <c r="BB288" s="157"/>
      <c r="BC288" s="157"/>
    </row>
    <row r="289" spans="1:55" ht="79.2" x14ac:dyDescent="0.3">
      <c r="A289" s="114">
        <f t="shared" si="7"/>
        <v>285</v>
      </c>
      <c r="B289" s="179" t="s">
        <v>2227</v>
      </c>
      <c r="C289" s="114">
        <v>0</v>
      </c>
      <c r="D289" s="114" t="s">
        <v>991</v>
      </c>
      <c r="E289" s="114" t="s">
        <v>980</v>
      </c>
      <c r="F289" s="114" t="s">
        <v>909</v>
      </c>
      <c r="G289" s="114"/>
      <c r="H289" s="114"/>
      <c r="I289" s="114"/>
      <c r="J289" s="114"/>
      <c r="K289" s="114"/>
      <c r="L289" s="114"/>
      <c r="M289" s="114"/>
      <c r="N289" s="114">
        <v>3</v>
      </c>
      <c r="O289" s="180">
        <v>0</v>
      </c>
      <c r="P289" s="180">
        <v>32767</v>
      </c>
      <c r="Q289" s="180">
        <v>16384</v>
      </c>
      <c r="R289" s="180"/>
      <c r="S289" s="180"/>
      <c r="T289" s="181" t="s">
        <v>2228</v>
      </c>
      <c r="U289" s="179" t="s">
        <v>2229</v>
      </c>
      <c r="V289" s="179" t="s">
        <v>2230</v>
      </c>
      <c r="W289" s="114" t="s">
        <v>2231</v>
      </c>
      <c r="X289" s="180">
        <v>16</v>
      </c>
      <c r="Y289" s="182" t="s">
        <v>913</v>
      </c>
      <c r="Z289" s="183" t="s">
        <v>2232</v>
      </c>
      <c r="AA289" s="184"/>
      <c r="AB289" s="179"/>
      <c r="AC289" s="114"/>
      <c r="AD289" s="172" t="s">
        <v>887</v>
      </c>
      <c r="AE289" s="114"/>
      <c r="AF289" s="114"/>
      <c r="AG289" s="114"/>
      <c r="AH289" s="106"/>
      <c r="AI289" s="114"/>
      <c r="AJ289" s="106"/>
      <c r="AK289" s="114"/>
      <c r="AL289" s="106"/>
      <c r="AM289" s="114"/>
      <c r="AN289" s="106"/>
      <c r="AO289" s="114"/>
      <c r="AP289" s="106"/>
      <c r="AQ289" s="114"/>
      <c r="AR289" s="106"/>
      <c r="AS289" s="114"/>
      <c r="AT289" s="106"/>
      <c r="AU289" s="114"/>
      <c r="AV289" s="106"/>
      <c r="AW289" s="114"/>
      <c r="AX289" s="157"/>
      <c r="AY289" s="157"/>
      <c r="AZ289" s="157"/>
      <c r="BA289" s="157"/>
      <c r="BB289" s="157"/>
      <c r="BC289" s="157"/>
    </row>
    <row r="290" spans="1:55" ht="79.2" x14ac:dyDescent="0.3">
      <c r="A290" s="114">
        <f t="shared" si="7"/>
        <v>286</v>
      </c>
      <c r="B290" s="179" t="s">
        <v>2233</v>
      </c>
      <c r="C290" s="114">
        <v>0</v>
      </c>
      <c r="D290" s="114" t="s">
        <v>991</v>
      </c>
      <c r="E290" s="114" t="s">
        <v>980</v>
      </c>
      <c r="F290" s="114" t="s">
        <v>909</v>
      </c>
      <c r="G290" s="114"/>
      <c r="H290" s="114"/>
      <c r="I290" s="114"/>
      <c r="J290" s="114"/>
      <c r="K290" s="114"/>
      <c r="L290" s="114"/>
      <c r="M290" s="114"/>
      <c r="N290" s="114">
        <v>3</v>
      </c>
      <c r="O290" s="180">
        <v>0</v>
      </c>
      <c r="P290" s="180">
        <v>32767</v>
      </c>
      <c r="Q290" s="180">
        <v>16384</v>
      </c>
      <c r="R290" s="180"/>
      <c r="S290" s="180"/>
      <c r="T290" s="181" t="s">
        <v>2234</v>
      </c>
      <c r="U290" s="179" t="s">
        <v>2235</v>
      </c>
      <c r="V290" s="179" t="s">
        <v>2236</v>
      </c>
      <c r="W290" s="114" t="s">
        <v>2237</v>
      </c>
      <c r="X290" s="180">
        <v>16</v>
      </c>
      <c r="Y290" s="182" t="s">
        <v>913</v>
      </c>
      <c r="Z290" s="183" t="s">
        <v>2232</v>
      </c>
      <c r="AA290" s="184"/>
      <c r="AB290" s="179"/>
      <c r="AC290" s="114"/>
      <c r="AD290" s="172" t="s">
        <v>887</v>
      </c>
      <c r="AE290" s="114"/>
      <c r="AF290" s="114"/>
      <c r="AG290" s="114"/>
      <c r="AH290" s="106"/>
      <c r="AI290" s="114"/>
      <c r="AJ290" s="106"/>
      <c r="AK290" s="114"/>
      <c r="AL290" s="106"/>
      <c r="AM290" s="114"/>
      <c r="AN290" s="106"/>
      <c r="AO290" s="114"/>
      <c r="AP290" s="106"/>
      <c r="AQ290" s="114"/>
      <c r="AR290" s="106"/>
      <c r="AS290" s="114"/>
      <c r="AT290" s="106"/>
      <c r="AU290" s="114"/>
      <c r="AV290" s="106"/>
      <c r="AW290" s="114"/>
      <c r="AX290" s="157"/>
      <c r="AY290" s="157"/>
      <c r="AZ290" s="157"/>
      <c r="BA290" s="157"/>
      <c r="BB290" s="157"/>
      <c r="BC290" s="157"/>
    </row>
    <row r="291" spans="1:55" ht="79.2" x14ac:dyDescent="0.3">
      <c r="A291" s="114">
        <f t="shared" si="7"/>
        <v>287</v>
      </c>
      <c r="B291" s="179" t="s">
        <v>2238</v>
      </c>
      <c r="C291" s="114">
        <v>0</v>
      </c>
      <c r="D291" s="114" t="s">
        <v>991</v>
      </c>
      <c r="E291" s="114" t="s">
        <v>980</v>
      </c>
      <c r="F291" s="114" t="s">
        <v>909</v>
      </c>
      <c r="G291" s="114"/>
      <c r="H291" s="114"/>
      <c r="I291" s="114"/>
      <c r="J291" s="114"/>
      <c r="K291" s="114"/>
      <c r="L291" s="114"/>
      <c r="M291" s="114"/>
      <c r="N291" s="114">
        <v>3</v>
      </c>
      <c r="O291" s="180">
        <v>0</v>
      </c>
      <c r="P291" s="180">
        <v>32767</v>
      </c>
      <c r="Q291" s="180">
        <v>16384</v>
      </c>
      <c r="R291" s="180"/>
      <c r="S291" s="180"/>
      <c r="T291" s="181" t="s">
        <v>2239</v>
      </c>
      <c r="U291" s="179" t="s">
        <v>2240</v>
      </c>
      <c r="V291" s="179" t="s">
        <v>2241</v>
      </c>
      <c r="W291" s="114" t="s">
        <v>2242</v>
      </c>
      <c r="X291" s="180">
        <v>16</v>
      </c>
      <c r="Y291" s="182" t="s">
        <v>913</v>
      </c>
      <c r="Z291" s="183" t="s">
        <v>2232</v>
      </c>
      <c r="AA291" s="184"/>
      <c r="AB291" s="179"/>
      <c r="AC291" s="114"/>
      <c r="AD291" s="172" t="s">
        <v>887</v>
      </c>
      <c r="AE291" s="114"/>
      <c r="AF291" s="114"/>
      <c r="AG291" s="114"/>
      <c r="AH291" s="106"/>
      <c r="AI291" s="114"/>
      <c r="AJ291" s="106"/>
      <c r="AK291" s="114"/>
      <c r="AL291" s="106"/>
      <c r="AM291" s="114"/>
      <c r="AN291" s="106"/>
      <c r="AO291" s="114"/>
      <c r="AP291" s="106"/>
      <c r="AQ291" s="114"/>
      <c r="AR291" s="106"/>
      <c r="AS291" s="114"/>
      <c r="AT291" s="106"/>
      <c r="AU291" s="114"/>
      <c r="AV291" s="106"/>
      <c r="AW291" s="114"/>
      <c r="AX291" s="157"/>
      <c r="AY291" s="157"/>
      <c r="AZ291" s="157"/>
      <c r="BA291" s="157"/>
      <c r="BB291" s="157"/>
      <c r="BC291" s="157"/>
    </row>
    <row r="292" spans="1:55" ht="79.2" x14ac:dyDescent="0.3">
      <c r="A292" s="114">
        <f t="shared" si="7"/>
        <v>288</v>
      </c>
      <c r="B292" s="179" t="s">
        <v>2243</v>
      </c>
      <c r="C292" s="114">
        <v>0</v>
      </c>
      <c r="D292" s="114" t="s">
        <v>991</v>
      </c>
      <c r="E292" s="114" t="s">
        <v>980</v>
      </c>
      <c r="F292" s="114" t="s">
        <v>909</v>
      </c>
      <c r="G292" s="114"/>
      <c r="H292" s="114"/>
      <c r="I292" s="114"/>
      <c r="J292" s="114"/>
      <c r="K292" s="114"/>
      <c r="L292" s="114"/>
      <c r="M292" s="114"/>
      <c r="N292" s="114">
        <v>3</v>
      </c>
      <c r="O292" s="180">
        <v>0</v>
      </c>
      <c r="P292" s="180">
        <v>32767</v>
      </c>
      <c r="Q292" s="180">
        <v>16384</v>
      </c>
      <c r="R292" s="180"/>
      <c r="S292" s="180"/>
      <c r="T292" s="181" t="s">
        <v>2244</v>
      </c>
      <c r="U292" s="179" t="s">
        <v>2245</v>
      </c>
      <c r="V292" s="179" t="s">
        <v>2246</v>
      </c>
      <c r="W292" s="114" t="s">
        <v>2247</v>
      </c>
      <c r="X292" s="180">
        <v>16</v>
      </c>
      <c r="Y292" s="182" t="s">
        <v>913</v>
      </c>
      <c r="Z292" s="183" t="s">
        <v>2232</v>
      </c>
      <c r="AA292" s="184"/>
      <c r="AB292" s="179"/>
      <c r="AC292" s="114"/>
      <c r="AD292" s="172" t="s">
        <v>887</v>
      </c>
      <c r="AE292" s="114"/>
      <c r="AF292" s="114"/>
      <c r="AG292" s="114"/>
      <c r="AH292" s="106"/>
      <c r="AI292" s="114"/>
      <c r="AJ292" s="106"/>
      <c r="AK292" s="114"/>
      <c r="AL292" s="106"/>
      <c r="AM292" s="114"/>
      <c r="AN292" s="106"/>
      <c r="AO292" s="114"/>
      <c r="AP292" s="106"/>
      <c r="AQ292" s="114"/>
      <c r="AR292" s="106"/>
      <c r="AS292" s="114"/>
      <c r="AT292" s="106"/>
      <c r="AU292" s="114"/>
      <c r="AV292" s="106"/>
      <c r="AW292" s="114"/>
      <c r="AX292" s="157"/>
      <c r="AY292" s="157"/>
      <c r="AZ292" s="157"/>
      <c r="BA292" s="157"/>
      <c r="BB292" s="157"/>
      <c r="BC292" s="157"/>
    </row>
    <row r="293" spans="1:55" ht="79.2" x14ac:dyDescent="0.3">
      <c r="A293" s="114">
        <f t="shared" si="7"/>
        <v>289</v>
      </c>
      <c r="B293" s="179" t="s">
        <v>2248</v>
      </c>
      <c r="C293" s="114">
        <v>0</v>
      </c>
      <c r="D293" s="114" t="s">
        <v>991</v>
      </c>
      <c r="E293" s="114" t="s">
        <v>980</v>
      </c>
      <c r="F293" s="114" t="s">
        <v>909</v>
      </c>
      <c r="G293" s="114"/>
      <c r="H293" s="114"/>
      <c r="I293" s="114"/>
      <c r="J293" s="114"/>
      <c r="K293" s="114"/>
      <c r="L293" s="114"/>
      <c r="M293" s="114"/>
      <c r="N293" s="114">
        <v>3</v>
      </c>
      <c r="O293" s="180">
        <v>1</v>
      </c>
      <c r="P293" s="180">
        <v>4</v>
      </c>
      <c r="Q293" s="180">
        <v>2</v>
      </c>
      <c r="R293" s="180"/>
      <c r="S293" s="180"/>
      <c r="T293" s="181" t="s">
        <v>2249</v>
      </c>
      <c r="U293" s="179" t="s">
        <v>2250</v>
      </c>
      <c r="V293" s="179" t="s">
        <v>2251</v>
      </c>
      <c r="W293" s="114" t="s">
        <v>2252</v>
      </c>
      <c r="X293" s="180">
        <v>16</v>
      </c>
      <c r="Y293" s="182" t="s">
        <v>913</v>
      </c>
      <c r="Z293" s="183" t="s">
        <v>2232</v>
      </c>
      <c r="AA293" s="184"/>
      <c r="AB293" s="179"/>
      <c r="AC293" s="114"/>
      <c r="AD293" s="172" t="s">
        <v>887</v>
      </c>
      <c r="AE293" s="114"/>
      <c r="AF293" s="114"/>
      <c r="AG293" s="114"/>
      <c r="AH293" s="106"/>
      <c r="AI293" s="114"/>
      <c r="AJ293" s="106"/>
      <c r="AK293" s="114"/>
      <c r="AL293" s="106"/>
      <c r="AM293" s="114"/>
      <c r="AN293" s="106"/>
      <c r="AO293" s="114"/>
      <c r="AP293" s="106"/>
      <c r="AQ293" s="114"/>
      <c r="AR293" s="106"/>
      <c r="AS293" s="114"/>
      <c r="AT293" s="106"/>
      <c r="AU293" s="114"/>
      <c r="AV293" s="106"/>
      <c r="AW293" s="114"/>
      <c r="AX293" s="157"/>
      <c r="AY293" s="157"/>
      <c r="AZ293" s="157"/>
      <c r="BA293" s="157"/>
      <c r="BB293" s="157"/>
      <c r="BC293" s="157"/>
    </row>
    <row r="294" spans="1:55" ht="79.2" x14ac:dyDescent="0.3">
      <c r="A294" s="114">
        <f t="shared" si="7"/>
        <v>290</v>
      </c>
      <c r="B294" s="179" t="s">
        <v>2253</v>
      </c>
      <c r="C294" s="114">
        <v>0</v>
      </c>
      <c r="D294" s="114" t="s">
        <v>991</v>
      </c>
      <c r="E294" s="114" t="s">
        <v>980</v>
      </c>
      <c r="F294" s="114" t="s">
        <v>909</v>
      </c>
      <c r="G294" s="114"/>
      <c r="H294" s="114"/>
      <c r="I294" s="114"/>
      <c r="J294" s="114"/>
      <c r="K294" s="114"/>
      <c r="L294" s="114"/>
      <c r="M294" s="114"/>
      <c r="N294" s="114">
        <v>3</v>
      </c>
      <c r="O294" s="180">
        <v>-800</v>
      </c>
      <c r="P294" s="180">
        <v>800</v>
      </c>
      <c r="Q294" s="180">
        <v>0</v>
      </c>
      <c r="R294" s="180"/>
      <c r="S294" s="180" t="s">
        <v>1620</v>
      </c>
      <c r="T294" s="111" t="s">
        <v>2254</v>
      </c>
      <c r="U294" s="179" t="s">
        <v>2255</v>
      </c>
      <c r="V294" s="179" t="s">
        <v>2256</v>
      </c>
      <c r="W294" s="114" t="s">
        <v>2257</v>
      </c>
      <c r="X294" s="180">
        <v>16</v>
      </c>
      <c r="Y294" s="182" t="s">
        <v>913</v>
      </c>
      <c r="Z294" s="183" t="s">
        <v>2232</v>
      </c>
      <c r="AA294" s="184"/>
      <c r="AB294" s="182"/>
      <c r="AC294" s="114"/>
      <c r="AD294" s="172" t="s">
        <v>887</v>
      </c>
      <c r="AE294" s="114"/>
      <c r="AF294" s="114"/>
      <c r="AG294" s="114"/>
      <c r="AH294" s="106"/>
      <c r="AI294" s="114"/>
      <c r="AJ294" s="106"/>
      <c r="AK294" s="114"/>
      <c r="AL294" s="106"/>
      <c r="AM294" s="114"/>
      <c r="AN294" s="106"/>
      <c r="AO294" s="114"/>
      <c r="AP294" s="106"/>
      <c r="AQ294" s="114"/>
      <c r="AR294" s="106"/>
      <c r="AS294" s="114"/>
      <c r="AT294" s="106"/>
      <c r="AU294" s="114"/>
      <c r="AV294" s="106"/>
      <c r="AW294" s="114"/>
      <c r="AX294" s="157"/>
      <c r="AY294" s="157"/>
      <c r="AZ294" s="157"/>
      <c r="BA294" s="157"/>
      <c r="BB294" s="157"/>
      <c r="BC294" s="157"/>
    </row>
    <row r="295" spans="1:55" ht="79.2" x14ac:dyDescent="0.3">
      <c r="A295" s="114">
        <f t="shared" si="7"/>
        <v>291</v>
      </c>
      <c r="B295" s="179" t="s">
        <v>2258</v>
      </c>
      <c r="C295" s="114">
        <v>0</v>
      </c>
      <c r="D295" s="114" t="s">
        <v>991</v>
      </c>
      <c r="E295" s="114" t="s">
        <v>980</v>
      </c>
      <c r="F295" s="114" t="s">
        <v>909</v>
      </c>
      <c r="G295" s="114"/>
      <c r="H295" s="114"/>
      <c r="I295" s="114"/>
      <c r="J295" s="114"/>
      <c r="K295" s="114"/>
      <c r="L295" s="114"/>
      <c r="M295" s="114"/>
      <c r="N295" s="114">
        <v>3</v>
      </c>
      <c r="O295" s="180">
        <v>-800</v>
      </c>
      <c r="P295" s="180">
        <v>800</v>
      </c>
      <c r="Q295" s="180">
        <v>0</v>
      </c>
      <c r="R295" s="180"/>
      <c r="S295" s="180" t="s">
        <v>1620</v>
      </c>
      <c r="T295" s="111" t="s">
        <v>2259</v>
      </c>
      <c r="U295" s="179" t="s">
        <v>2260</v>
      </c>
      <c r="V295" s="179" t="s">
        <v>2261</v>
      </c>
      <c r="W295" s="114" t="s">
        <v>2262</v>
      </c>
      <c r="X295" s="180">
        <v>16</v>
      </c>
      <c r="Y295" s="182" t="s">
        <v>913</v>
      </c>
      <c r="Z295" s="183" t="s">
        <v>2232</v>
      </c>
      <c r="AA295" s="184"/>
      <c r="AB295" s="182"/>
      <c r="AC295" s="114"/>
      <c r="AD295" s="172" t="s">
        <v>887</v>
      </c>
      <c r="AE295" s="114"/>
      <c r="AF295" s="114"/>
      <c r="AG295" s="114"/>
      <c r="AH295" s="106"/>
      <c r="AI295" s="114"/>
      <c r="AJ295" s="106"/>
      <c r="AK295" s="114"/>
      <c r="AL295" s="106"/>
      <c r="AM295" s="114"/>
      <c r="AN295" s="106"/>
      <c r="AO295" s="114"/>
      <c r="AP295" s="106"/>
      <c r="AQ295" s="114"/>
      <c r="AR295" s="106"/>
      <c r="AS295" s="114"/>
      <c r="AT295" s="106"/>
      <c r="AU295" s="114"/>
      <c r="AV295" s="106"/>
      <c r="AW295" s="114"/>
      <c r="AX295" s="157"/>
      <c r="AY295" s="157"/>
      <c r="AZ295" s="157"/>
      <c r="BA295" s="157"/>
      <c r="BB295" s="157"/>
      <c r="BC295" s="157"/>
    </row>
    <row r="296" spans="1:55" x14ac:dyDescent="0.3">
      <c r="A296" s="114">
        <f t="shared" si="7"/>
        <v>292</v>
      </c>
      <c r="B296" s="179" t="s">
        <v>2263</v>
      </c>
      <c r="C296" s="114">
        <v>0</v>
      </c>
      <c r="D296" s="114" t="s">
        <v>991</v>
      </c>
      <c r="E296" s="114" t="s">
        <v>980</v>
      </c>
      <c r="F296" s="114" t="s">
        <v>909</v>
      </c>
      <c r="G296" s="114"/>
      <c r="H296" s="114"/>
      <c r="I296" s="114"/>
      <c r="J296" s="114"/>
      <c r="K296" s="114"/>
      <c r="L296" s="114"/>
      <c r="M296" s="114"/>
      <c r="N296" s="114">
        <v>3</v>
      </c>
      <c r="O296" s="180">
        <v>-5000</v>
      </c>
      <c r="P296" s="180">
        <v>5000</v>
      </c>
      <c r="Q296" s="180">
        <v>0</v>
      </c>
      <c r="R296" s="180"/>
      <c r="S296" s="180" t="s">
        <v>1620</v>
      </c>
      <c r="T296" s="181" t="s">
        <v>2264</v>
      </c>
      <c r="U296" s="179" t="s">
        <v>2265</v>
      </c>
      <c r="V296" s="179" t="s">
        <v>2266</v>
      </c>
      <c r="W296" s="114" t="s">
        <v>2267</v>
      </c>
      <c r="X296" s="180">
        <v>16</v>
      </c>
      <c r="Y296" s="182" t="s">
        <v>2268</v>
      </c>
      <c r="Z296" s="183"/>
      <c r="AA296" s="184"/>
      <c r="AB296" s="182"/>
      <c r="AC296" s="114">
        <v>2</v>
      </c>
      <c r="AD296" s="172" t="s">
        <v>887</v>
      </c>
      <c r="AE296" s="114"/>
      <c r="AF296" s="114"/>
      <c r="AG296" s="114"/>
      <c r="AH296" s="106"/>
      <c r="AI296" s="114"/>
      <c r="AJ296" s="106"/>
      <c r="AK296" s="114"/>
      <c r="AL296" s="106"/>
      <c r="AM296" s="114"/>
      <c r="AN296" s="106"/>
      <c r="AO296" s="114"/>
      <c r="AP296" s="106"/>
      <c r="AQ296" s="114"/>
      <c r="AR296" s="106"/>
      <c r="AS296" s="114"/>
      <c r="AT296" s="106"/>
      <c r="AU296" s="114"/>
      <c r="AV296" s="106"/>
      <c r="AW296" s="114"/>
      <c r="AX296" s="157"/>
      <c r="AY296" s="157"/>
      <c r="AZ296" s="157"/>
      <c r="BA296" s="157"/>
      <c r="BB296" s="157"/>
      <c r="BC296" s="157"/>
    </row>
    <row r="297" spans="1:55" x14ac:dyDescent="0.3">
      <c r="A297" s="114">
        <f t="shared" si="7"/>
        <v>293</v>
      </c>
      <c r="B297" s="179" t="s">
        <v>2269</v>
      </c>
      <c r="C297" s="114">
        <v>0</v>
      </c>
      <c r="D297" s="114" t="s">
        <v>991</v>
      </c>
      <c r="E297" s="114" t="s">
        <v>980</v>
      </c>
      <c r="F297" s="114" t="s">
        <v>909</v>
      </c>
      <c r="G297" s="114"/>
      <c r="H297" s="114"/>
      <c r="I297" s="114"/>
      <c r="J297" s="114"/>
      <c r="K297" s="114"/>
      <c r="L297" s="114"/>
      <c r="M297" s="114"/>
      <c r="N297" s="114">
        <v>3</v>
      </c>
      <c r="O297" s="180">
        <v>-5000</v>
      </c>
      <c r="P297" s="180">
        <v>5000</v>
      </c>
      <c r="Q297" s="180">
        <v>0</v>
      </c>
      <c r="R297" s="180"/>
      <c r="S297" s="180" t="s">
        <v>1620</v>
      </c>
      <c r="T297" s="181" t="s">
        <v>2270</v>
      </c>
      <c r="U297" s="179" t="s">
        <v>2271</v>
      </c>
      <c r="V297" s="179" t="s">
        <v>2272</v>
      </c>
      <c r="W297" s="114" t="s">
        <v>2273</v>
      </c>
      <c r="X297" s="180">
        <v>16</v>
      </c>
      <c r="Y297" s="182" t="s">
        <v>2274</v>
      </c>
      <c r="Z297" s="183"/>
      <c r="AA297" s="184"/>
      <c r="AB297" s="182"/>
      <c r="AC297" s="114">
        <v>2</v>
      </c>
      <c r="AD297" s="172" t="s">
        <v>887</v>
      </c>
      <c r="AE297" s="114"/>
      <c r="AF297" s="114"/>
      <c r="AG297" s="114"/>
      <c r="AH297" s="106"/>
      <c r="AI297" s="114"/>
      <c r="AJ297" s="106"/>
      <c r="AK297" s="114"/>
      <c r="AL297" s="106"/>
      <c r="AM297" s="114"/>
      <c r="AN297" s="106"/>
      <c r="AO297" s="114"/>
      <c r="AP297" s="106"/>
      <c r="AQ297" s="114"/>
      <c r="AR297" s="106"/>
      <c r="AS297" s="114"/>
      <c r="AT297" s="106"/>
      <c r="AU297" s="114"/>
      <c r="AV297" s="106"/>
      <c r="AW297" s="114"/>
      <c r="AX297" s="157"/>
      <c r="AY297" s="157"/>
      <c r="AZ297" s="157"/>
      <c r="BA297" s="157"/>
      <c r="BB297" s="157"/>
      <c r="BC297" s="157"/>
    </row>
    <row r="298" spans="1:55" ht="52.8" x14ac:dyDescent="0.3">
      <c r="A298" s="114">
        <f t="shared" si="7"/>
        <v>294</v>
      </c>
      <c r="B298" s="179"/>
      <c r="C298" s="114">
        <v>0</v>
      </c>
      <c r="D298" s="114" t="s">
        <v>991</v>
      </c>
      <c r="E298" s="114" t="s">
        <v>908</v>
      </c>
      <c r="F298" s="114" t="s">
        <v>923</v>
      </c>
      <c r="G298" s="114" t="s">
        <v>868</v>
      </c>
      <c r="H298" s="114"/>
      <c r="I298" s="114"/>
      <c r="J298" s="114"/>
      <c r="K298" s="114" t="s">
        <v>872</v>
      </c>
      <c r="L298" s="114"/>
      <c r="M298" s="114"/>
      <c r="N298" s="114">
        <v>255</v>
      </c>
      <c r="O298" s="180">
        <v>0</v>
      </c>
      <c r="P298" s="180">
        <v>0</v>
      </c>
      <c r="Q298" s="180">
        <v>0</v>
      </c>
      <c r="R298" s="180"/>
      <c r="S298" s="180"/>
      <c r="T298" s="181" t="s">
        <v>2275</v>
      </c>
      <c r="U298" s="181" t="s">
        <v>2275</v>
      </c>
      <c r="V298" s="179"/>
      <c r="W298" s="114"/>
      <c r="X298" s="180"/>
      <c r="Y298" s="182"/>
      <c r="Z298" s="183" t="s">
        <v>2276</v>
      </c>
      <c r="AA298" s="184"/>
      <c r="AB298" s="182"/>
      <c r="AC298" s="114"/>
      <c r="AD298" s="114"/>
      <c r="AE298" s="114"/>
      <c r="AF298" s="114"/>
      <c r="AG298" s="114"/>
      <c r="AH298" s="106"/>
      <c r="AI298" s="114"/>
      <c r="AJ298" s="106"/>
      <c r="AK298" s="114"/>
      <c r="AL298" s="106"/>
      <c r="AM298" s="114"/>
      <c r="AN298" s="106"/>
      <c r="AO298" s="114"/>
      <c r="AP298" s="106"/>
      <c r="AQ298" s="114"/>
      <c r="AR298" s="106"/>
      <c r="AS298" s="114"/>
      <c r="AT298" s="106"/>
      <c r="AU298" s="114"/>
      <c r="AV298" s="106"/>
      <c r="AW298" s="114"/>
      <c r="AX298" s="157"/>
      <c r="AY298" s="157"/>
      <c r="AZ298" s="157"/>
      <c r="BA298" s="157"/>
      <c r="BB298" s="157"/>
      <c r="BC298" s="157"/>
    </row>
    <row r="299" spans="1:55" ht="26.4" x14ac:dyDescent="0.3">
      <c r="A299" s="114">
        <f t="shared" si="7"/>
        <v>295</v>
      </c>
      <c r="B299" s="179" t="s">
        <v>2277</v>
      </c>
      <c r="C299" s="114">
        <v>0</v>
      </c>
      <c r="D299" s="114" t="s">
        <v>991</v>
      </c>
      <c r="E299" s="114" t="s">
        <v>966</v>
      </c>
      <c r="F299" s="114" t="s">
        <v>923</v>
      </c>
      <c r="G299" s="114" t="s">
        <v>868</v>
      </c>
      <c r="H299" s="114"/>
      <c r="I299" s="114"/>
      <c r="J299" s="114" t="s">
        <v>871</v>
      </c>
      <c r="K299" s="114"/>
      <c r="L299" s="114"/>
      <c r="M299" s="114"/>
      <c r="N299" s="114">
        <v>3</v>
      </c>
      <c r="O299" s="180">
        <v>-2147483648</v>
      </c>
      <c r="P299" s="180">
        <v>2147483647</v>
      </c>
      <c r="Q299" s="180">
        <v>0</v>
      </c>
      <c r="R299" s="180"/>
      <c r="S299" s="180"/>
      <c r="T299" s="181" t="s">
        <v>2278</v>
      </c>
      <c r="U299" s="179" t="s">
        <v>270</v>
      </c>
      <c r="V299" s="179" t="s">
        <v>2279</v>
      </c>
      <c r="W299" s="114" t="s">
        <v>2280</v>
      </c>
      <c r="X299" s="180">
        <v>32</v>
      </c>
      <c r="Y299" s="182" t="s">
        <v>913</v>
      </c>
      <c r="Z299" s="183" t="s">
        <v>2281</v>
      </c>
      <c r="AA299" s="184"/>
      <c r="AB299" s="182"/>
      <c r="AC299" s="114"/>
      <c r="AD299" s="114"/>
      <c r="AE299" s="114"/>
      <c r="AF299" s="114"/>
      <c r="AG299" s="114"/>
      <c r="AH299" s="106"/>
      <c r="AI299" s="114"/>
      <c r="AJ299" s="106"/>
      <c r="AK299" s="114"/>
      <c r="AL299" s="106"/>
      <c r="AM299" s="114"/>
      <c r="AN299" s="106"/>
      <c r="AO299" s="114"/>
      <c r="AP299" s="106"/>
      <c r="AQ299" s="114"/>
      <c r="AR299" s="106"/>
      <c r="AS299" s="114"/>
      <c r="AT299" s="106"/>
      <c r="AU299" s="114"/>
      <c r="AV299" s="106"/>
      <c r="AW299" s="114"/>
      <c r="AX299" s="157"/>
      <c r="AY299" s="157"/>
      <c r="AZ299" s="157"/>
      <c r="BA299" s="157"/>
      <c r="BB299" s="157"/>
      <c r="BC299" s="157"/>
    </row>
    <row r="300" spans="1:55" x14ac:dyDescent="0.3">
      <c r="A300" s="114">
        <f t="shared" si="7"/>
        <v>296</v>
      </c>
      <c r="B300" s="179" t="s">
        <v>2282</v>
      </c>
      <c r="C300" s="114">
        <v>0</v>
      </c>
      <c r="D300" s="114" t="s">
        <v>991</v>
      </c>
      <c r="E300" s="114" t="s">
        <v>944</v>
      </c>
      <c r="F300" s="114" t="s">
        <v>909</v>
      </c>
      <c r="G300" s="114"/>
      <c r="H300" s="114"/>
      <c r="I300" s="114"/>
      <c r="J300" s="114"/>
      <c r="K300" s="114"/>
      <c r="L300" s="114"/>
      <c r="M300" s="114"/>
      <c r="N300" s="114">
        <v>9</v>
      </c>
      <c r="O300" s="180" t="s">
        <v>1181</v>
      </c>
      <c r="P300" s="180" t="s">
        <v>1182</v>
      </c>
      <c r="Q300" s="180" t="s">
        <v>2283</v>
      </c>
      <c r="R300" s="180"/>
      <c r="S300" s="180"/>
      <c r="T300" s="181" t="s">
        <v>462</v>
      </c>
      <c r="U300" s="179" t="s">
        <v>2284</v>
      </c>
      <c r="V300" s="179" t="s">
        <v>2285</v>
      </c>
      <c r="W300" s="114" t="s">
        <v>2286</v>
      </c>
      <c r="X300" s="180">
        <v>32</v>
      </c>
      <c r="Y300" s="182" t="s">
        <v>913</v>
      </c>
      <c r="Z300" s="183"/>
      <c r="AA300" s="184"/>
      <c r="AB300" s="182"/>
      <c r="AC300" s="114">
        <v>3</v>
      </c>
      <c r="AD300" s="172" t="s">
        <v>887</v>
      </c>
      <c r="AE300" s="114"/>
      <c r="AF300" s="114"/>
      <c r="AG300" s="114"/>
      <c r="AH300" s="106"/>
      <c r="AI300" s="114"/>
      <c r="AJ300" s="106"/>
      <c r="AK300" s="114"/>
      <c r="AL300" s="106"/>
      <c r="AM300" s="114"/>
      <c r="AN300" s="106"/>
      <c r="AO300" s="114"/>
      <c r="AP300" s="106"/>
      <c r="AQ300" s="114"/>
      <c r="AR300" s="106"/>
      <c r="AS300" s="114"/>
      <c r="AT300" s="106"/>
      <c r="AU300" s="114"/>
      <c r="AV300" s="106"/>
      <c r="AW300" s="114"/>
      <c r="AX300" s="157"/>
      <c r="AY300" s="157"/>
      <c r="AZ300" s="157"/>
      <c r="BA300" s="157"/>
      <c r="BB300" s="157"/>
      <c r="BC300" s="157"/>
    </row>
    <row r="301" spans="1:55" ht="26.4" x14ac:dyDescent="0.3">
      <c r="A301" s="114">
        <f t="shared" si="7"/>
        <v>297</v>
      </c>
      <c r="B301" s="179" t="s">
        <v>2287</v>
      </c>
      <c r="C301" s="114">
        <v>0</v>
      </c>
      <c r="D301" s="114" t="s">
        <v>991</v>
      </c>
      <c r="E301" s="114" t="s">
        <v>929</v>
      </c>
      <c r="F301" s="114" t="s">
        <v>909</v>
      </c>
      <c r="G301" s="114"/>
      <c r="H301" s="114"/>
      <c r="I301" s="114"/>
      <c r="J301" s="114"/>
      <c r="K301" s="114"/>
      <c r="L301" s="114"/>
      <c r="M301" s="191" t="s">
        <v>874</v>
      </c>
      <c r="N301" s="114">
        <v>9</v>
      </c>
      <c r="O301" s="180" t="s">
        <v>909</v>
      </c>
      <c r="P301" s="180" t="s">
        <v>2288</v>
      </c>
      <c r="Q301" s="180" t="s">
        <v>909</v>
      </c>
      <c r="R301" s="180"/>
      <c r="S301" s="180"/>
      <c r="T301" s="181" t="s">
        <v>464</v>
      </c>
      <c r="U301" s="179" t="s">
        <v>2289</v>
      </c>
      <c r="V301" s="179" t="s">
        <v>2289</v>
      </c>
      <c r="W301" s="114" t="s">
        <v>2290</v>
      </c>
      <c r="X301" s="180">
        <v>16</v>
      </c>
      <c r="Y301" s="182" t="s">
        <v>1503</v>
      </c>
      <c r="Z301" s="183" t="s">
        <v>2291</v>
      </c>
      <c r="AA301" s="184"/>
      <c r="AB301" s="182"/>
      <c r="AC301" s="114">
        <v>4</v>
      </c>
      <c r="AD301" s="172" t="s">
        <v>887</v>
      </c>
      <c r="AE301" s="114"/>
      <c r="AF301" s="114"/>
      <c r="AG301" s="114"/>
      <c r="AH301" s="106"/>
      <c r="AI301" s="114"/>
      <c r="AJ301" s="106"/>
      <c r="AK301" s="114"/>
      <c r="AL301" s="106"/>
      <c r="AM301" s="114"/>
      <c r="AN301" s="106"/>
      <c r="AO301" s="114"/>
      <c r="AP301" s="106"/>
      <c r="AQ301" s="114"/>
      <c r="AR301" s="106"/>
      <c r="AS301" s="114"/>
      <c r="AT301" s="106" t="s">
        <v>915</v>
      </c>
      <c r="AU301" s="114"/>
      <c r="AV301" s="106"/>
      <c r="AW301" s="114"/>
      <c r="AX301" s="157"/>
      <c r="AY301" s="157"/>
      <c r="AZ301" s="157"/>
      <c r="BA301" s="157"/>
      <c r="BB301" s="157"/>
      <c r="BC301" s="157"/>
    </row>
    <row r="302" spans="1:55" ht="105.6" x14ac:dyDescent="0.3">
      <c r="A302" s="114">
        <f t="shared" si="7"/>
        <v>298</v>
      </c>
      <c r="B302" s="179" t="s">
        <v>2292</v>
      </c>
      <c r="C302" s="114">
        <v>0</v>
      </c>
      <c r="D302" s="114" t="s">
        <v>991</v>
      </c>
      <c r="E302" s="114" t="s">
        <v>966</v>
      </c>
      <c r="F302" s="114" t="s">
        <v>909</v>
      </c>
      <c r="G302" s="114"/>
      <c r="H302" s="114"/>
      <c r="I302" s="114"/>
      <c r="J302" s="114"/>
      <c r="K302" s="114"/>
      <c r="L302" s="114"/>
      <c r="M302" s="114"/>
      <c r="N302" s="114">
        <v>9</v>
      </c>
      <c r="O302" s="192" t="s">
        <v>2293</v>
      </c>
      <c r="P302" s="192" t="s">
        <v>2294</v>
      </c>
      <c r="Q302" s="192" t="s">
        <v>2295</v>
      </c>
      <c r="R302" s="192" t="s">
        <v>2296</v>
      </c>
      <c r="S302" s="192" t="s">
        <v>2297</v>
      </c>
      <c r="T302" s="181" t="s">
        <v>467</v>
      </c>
      <c r="U302" s="179" t="s">
        <v>2298</v>
      </c>
      <c r="V302" s="179" t="s">
        <v>2299</v>
      </c>
      <c r="W302" s="114" t="s">
        <v>2300</v>
      </c>
      <c r="X302" s="180">
        <v>32</v>
      </c>
      <c r="Y302" s="182" t="s">
        <v>1503</v>
      </c>
      <c r="Z302" s="183" t="s">
        <v>2301</v>
      </c>
      <c r="AA302" s="184"/>
      <c r="AB302" s="182"/>
      <c r="AC302" s="114">
        <v>4</v>
      </c>
      <c r="AD302" s="172" t="s">
        <v>887</v>
      </c>
      <c r="AE302" s="114"/>
      <c r="AF302" s="114"/>
      <c r="AG302" s="114"/>
      <c r="AH302" s="106"/>
      <c r="AI302" s="114"/>
      <c r="AJ302" s="106"/>
      <c r="AK302" s="114"/>
      <c r="AL302" s="106"/>
      <c r="AM302" s="114"/>
      <c r="AN302" s="106"/>
      <c r="AO302" s="114"/>
      <c r="AP302" s="106"/>
      <c r="AQ302" s="114"/>
      <c r="AR302" s="106"/>
      <c r="AS302" s="114"/>
      <c r="AT302" s="106" t="s">
        <v>915</v>
      </c>
      <c r="AU302" s="114"/>
      <c r="AV302" s="106"/>
      <c r="AW302" s="114"/>
      <c r="AX302" s="157"/>
      <c r="AY302" s="157"/>
      <c r="AZ302" s="157"/>
      <c r="BA302" s="157"/>
      <c r="BB302" s="157"/>
      <c r="BC302" s="157"/>
    </row>
    <row r="303" spans="1:55" ht="92.4" x14ac:dyDescent="0.3">
      <c r="A303" s="114">
        <f t="shared" si="7"/>
        <v>299</v>
      </c>
      <c r="B303" s="179" t="s">
        <v>2302</v>
      </c>
      <c r="C303" s="114">
        <v>0</v>
      </c>
      <c r="D303" s="114" t="s">
        <v>991</v>
      </c>
      <c r="E303" s="114" t="s">
        <v>966</v>
      </c>
      <c r="F303" s="114" t="s">
        <v>909</v>
      </c>
      <c r="G303" s="114"/>
      <c r="H303" s="114"/>
      <c r="I303" s="114"/>
      <c r="J303" s="114"/>
      <c r="K303" s="114"/>
      <c r="L303" s="114"/>
      <c r="M303" s="114"/>
      <c r="N303" s="114">
        <v>9</v>
      </c>
      <c r="O303" s="192" t="s">
        <v>2293</v>
      </c>
      <c r="P303" s="192" t="s">
        <v>2303</v>
      </c>
      <c r="Q303" s="192" t="s">
        <v>2304</v>
      </c>
      <c r="R303" s="192" t="s">
        <v>2296</v>
      </c>
      <c r="S303" s="192" t="s">
        <v>2297</v>
      </c>
      <c r="T303" s="181" t="s">
        <v>469</v>
      </c>
      <c r="U303" s="179" t="s">
        <v>2305</v>
      </c>
      <c r="V303" s="179" t="s">
        <v>2306</v>
      </c>
      <c r="W303" s="114" t="s">
        <v>2307</v>
      </c>
      <c r="X303" s="180">
        <v>32</v>
      </c>
      <c r="Y303" s="182" t="s">
        <v>1503</v>
      </c>
      <c r="Z303" s="183" t="s">
        <v>2308</v>
      </c>
      <c r="AA303" s="184"/>
      <c r="AB303" s="182"/>
      <c r="AC303" s="114">
        <v>4</v>
      </c>
      <c r="AD303" s="172" t="s">
        <v>887</v>
      </c>
      <c r="AE303" s="114"/>
      <c r="AF303" s="114"/>
      <c r="AG303" s="114"/>
      <c r="AH303" s="106"/>
      <c r="AI303" s="114"/>
      <c r="AJ303" s="106"/>
      <c r="AK303" s="114"/>
      <c r="AL303" s="106"/>
      <c r="AM303" s="114"/>
      <c r="AN303" s="106"/>
      <c r="AO303" s="114"/>
      <c r="AP303" s="106"/>
      <c r="AQ303" s="114"/>
      <c r="AR303" s="106"/>
      <c r="AS303" s="114"/>
      <c r="AT303" s="106" t="s">
        <v>915</v>
      </c>
      <c r="AU303" s="114"/>
      <c r="AV303" s="106"/>
      <c r="AW303" s="114"/>
      <c r="AX303" s="157"/>
      <c r="AY303" s="157"/>
      <c r="AZ303" s="157"/>
      <c r="BA303" s="157"/>
      <c r="BB303" s="157"/>
      <c r="BC303" s="157"/>
    </row>
    <row r="304" spans="1:55" ht="52.8" x14ac:dyDescent="0.3">
      <c r="A304" s="114">
        <f t="shared" si="7"/>
        <v>300</v>
      </c>
      <c r="B304" s="179" t="s">
        <v>2309</v>
      </c>
      <c r="C304" s="114">
        <v>0</v>
      </c>
      <c r="D304" s="114" t="s">
        <v>991</v>
      </c>
      <c r="E304" s="114" t="s">
        <v>980</v>
      </c>
      <c r="F304" s="114" t="s">
        <v>909</v>
      </c>
      <c r="G304" s="114"/>
      <c r="H304" s="114"/>
      <c r="I304" s="114"/>
      <c r="J304" s="114" t="s">
        <v>871</v>
      </c>
      <c r="K304" s="114"/>
      <c r="L304" s="114"/>
      <c r="M304" s="114"/>
      <c r="N304" s="114">
        <v>9</v>
      </c>
      <c r="O304" s="180">
        <v>0</v>
      </c>
      <c r="P304" s="180">
        <v>20099</v>
      </c>
      <c r="Q304" s="180">
        <v>0</v>
      </c>
      <c r="R304" s="180"/>
      <c r="S304" s="180"/>
      <c r="T304" s="181" t="s">
        <v>471</v>
      </c>
      <c r="U304" s="179" t="s">
        <v>2310</v>
      </c>
      <c r="V304" s="179" t="s">
        <v>2311</v>
      </c>
      <c r="W304" s="114" t="s">
        <v>2312</v>
      </c>
      <c r="X304" s="180">
        <v>16</v>
      </c>
      <c r="Y304" s="182" t="s">
        <v>1503</v>
      </c>
      <c r="Z304" s="183" t="s">
        <v>2313</v>
      </c>
      <c r="AA304" s="184"/>
      <c r="AB304" s="179"/>
      <c r="AC304" s="114"/>
      <c r="AD304" s="172" t="s">
        <v>887</v>
      </c>
      <c r="AE304" s="114"/>
      <c r="AF304" s="114"/>
      <c r="AG304" s="114"/>
      <c r="AH304" s="106"/>
      <c r="AI304" s="114"/>
      <c r="AJ304" s="106"/>
      <c r="AK304" s="114"/>
      <c r="AL304" s="106"/>
      <c r="AM304" s="114"/>
      <c r="AN304" s="106"/>
      <c r="AO304" s="114"/>
      <c r="AP304" s="106"/>
      <c r="AQ304" s="114"/>
      <c r="AR304" s="106"/>
      <c r="AS304" s="114"/>
      <c r="AT304" s="106"/>
      <c r="AU304" s="114"/>
      <c r="AV304" s="106"/>
      <c r="AW304" s="114"/>
      <c r="AX304" s="157"/>
      <c r="AY304" s="157"/>
      <c r="AZ304" s="157"/>
      <c r="BA304" s="157"/>
      <c r="BB304" s="157"/>
      <c r="BC304" s="157"/>
    </row>
    <row r="305" spans="1:55" x14ac:dyDescent="0.3">
      <c r="A305" s="114">
        <f t="shared" si="7"/>
        <v>301</v>
      </c>
      <c r="B305" s="179" t="s">
        <v>2314</v>
      </c>
      <c r="C305" s="114">
        <v>0</v>
      </c>
      <c r="D305" s="114" t="s">
        <v>991</v>
      </c>
      <c r="E305" s="114" t="s">
        <v>966</v>
      </c>
      <c r="F305" s="114" t="s">
        <v>909</v>
      </c>
      <c r="G305" s="114"/>
      <c r="H305" s="114"/>
      <c r="I305" s="114"/>
      <c r="J305" s="114"/>
      <c r="K305" s="114"/>
      <c r="L305" s="114"/>
      <c r="M305" s="114"/>
      <c r="N305" s="114">
        <v>9</v>
      </c>
      <c r="O305" s="180">
        <v>-2147483648</v>
      </c>
      <c r="P305" s="180">
        <v>2147483647</v>
      </c>
      <c r="Q305" s="180">
        <v>2147483647</v>
      </c>
      <c r="R305" s="180"/>
      <c r="S305" s="180" t="s">
        <v>1036</v>
      </c>
      <c r="T305" s="181" t="s">
        <v>473</v>
      </c>
      <c r="U305" s="179" t="s">
        <v>2315</v>
      </c>
      <c r="V305" s="179" t="s">
        <v>2316</v>
      </c>
      <c r="W305" s="114" t="s">
        <v>2317</v>
      </c>
      <c r="X305" s="180">
        <v>32</v>
      </c>
      <c r="Y305" s="182" t="s">
        <v>1503</v>
      </c>
      <c r="Z305" s="183"/>
      <c r="AA305" s="184"/>
      <c r="AB305" s="182"/>
      <c r="AC305" s="114">
        <v>4</v>
      </c>
      <c r="AD305" s="172" t="s">
        <v>887</v>
      </c>
      <c r="AE305" s="114"/>
      <c r="AF305" s="114"/>
      <c r="AG305" s="114"/>
      <c r="AH305" s="106"/>
      <c r="AI305" s="114"/>
      <c r="AJ305" s="106"/>
      <c r="AK305" s="114"/>
      <c r="AL305" s="106"/>
      <c r="AM305" s="114" t="s">
        <v>915</v>
      </c>
      <c r="AN305" s="106"/>
      <c r="AO305" s="114"/>
      <c r="AP305" s="106"/>
      <c r="AQ305" s="114"/>
      <c r="AR305" s="106"/>
      <c r="AS305" s="114"/>
      <c r="AT305" s="106"/>
      <c r="AU305" s="114"/>
      <c r="AV305" s="106"/>
      <c r="AW305" s="114"/>
      <c r="AX305" s="157"/>
      <c r="AY305" s="157"/>
      <c r="AZ305" s="157"/>
      <c r="BA305" s="157"/>
      <c r="BB305" s="157"/>
      <c r="BC305" s="157"/>
    </row>
    <row r="306" spans="1:55" ht="52.8" x14ac:dyDescent="0.3">
      <c r="A306" s="114">
        <f t="shared" si="7"/>
        <v>302</v>
      </c>
      <c r="B306" s="179" t="s">
        <v>2318</v>
      </c>
      <c r="C306" s="114">
        <v>0</v>
      </c>
      <c r="D306" s="114" t="s">
        <v>991</v>
      </c>
      <c r="E306" s="114" t="s">
        <v>966</v>
      </c>
      <c r="F306" s="114" t="s">
        <v>909</v>
      </c>
      <c r="G306" s="114"/>
      <c r="H306" s="114"/>
      <c r="I306" s="114"/>
      <c r="J306" s="114"/>
      <c r="K306" s="114"/>
      <c r="L306" s="114"/>
      <c r="M306" s="114"/>
      <c r="N306" s="114">
        <v>9</v>
      </c>
      <c r="O306" s="180">
        <v>-2147483648</v>
      </c>
      <c r="P306" s="180">
        <v>2147483647</v>
      </c>
      <c r="Q306" s="180">
        <v>-2147483648</v>
      </c>
      <c r="R306" s="180"/>
      <c r="S306" s="180" t="s">
        <v>1036</v>
      </c>
      <c r="T306" s="181" t="s">
        <v>476</v>
      </c>
      <c r="U306" s="179" t="s">
        <v>2319</v>
      </c>
      <c r="V306" s="179" t="s">
        <v>2320</v>
      </c>
      <c r="W306" s="114" t="s">
        <v>2321</v>
      </c>
      <c r="X306" s="180">
        <v>32</v>
      </c>
      <c r="Y306" s="182" t="s">
        <v>1503</v>
      </c>
      <c r="Z306" s="183" t="s">
        <v>2322</v>
      </c>
      <c r="AA306" s="184"/>
      <c r="AB306" s="182"/>
      <c r="AC306" s="114">
        <v>4</v>
      </c>
      <c r="AD306" s="172" t="s">
        <v>887</v>
      </c>
      <c r="AE306" s="114"/>
      <c r="AF306" s="114"/>
      <c r="AG306" s="114"/>
      <c r="AH306" s="106"/>
      <c r="AI306" s="114"/>
      <c r="AJ306" s="106"/>
      <c r="AK306" s="114"/>
      <c r="AL306" s="106"/>
      <c r="AM306" s="114" t="s">
        <v>915</v>
      </c>
      <c r="AN306" s="106"/>
      <c r="AO306" s="114"/>
      <c r="AP306" s="106"/>
      <c r="AQ306" s="114"/>
      <c r="AR306" s="106"/>
      <c r="AS306" s="114"/>
      <c r="AT306" s="106"/>
      <c r="AU306" s="114"/>
      <c r="AV306" s="106"/>
      <c r="AW306" s="114"/>
      <c r="AX306" s="157"/>
      <c r="AY306" s="157"/>
      <c r="AZ306" s="157"/>
      <c r="BA306" s="157"/>
      <c r="BB306" s="157"/>
      <c r="BC306" s="157"/>
    </row>
    <row r="307" spans="1:55" ht="52.8" x14ac:dyDescent="0.3">
      <c r="A307" s="114">
        <f t="shared" si="7"/>
        <v>303</v>
      </c>
      <c r="B307" s="179" t="s">
        <v>2323</v>
      </c>
      <c r="C307" s="114">
        <v>0</v>
      </c>
      <c r="D307" s="114" t="s">
        <v>991</v>
      </c>
      <c r="E307" s="114" t="s">
        <v>929</v>
      </c>
      <c r="F307" s="114" t="s">
        <v>923</v>
      </c>
      <c r="G307" s="114" t="s">
        <v>868</v>
      </c>
      <c r="H307" s="114"/>
      <c r="I307" s="114"/>
      <c r="J307" s="114" t="s">
        <v>871</v>
      </c>
      <c r="K307" s="114"/>
      <c r="L307" s="114"/>
      <c r="M307" s="114"/>
      <c r="N307" s="114">
        <v>9</v>
      </c>
      <c r="O307" s="180">
        <v>0</v>
      </c>
      <c r="P307" s="180">
        <v>32767</v>
      </c>
      <c r="Q307" s="180">
        <v>800</v>
      </c>
      <c r="R307" s="180"/>
      <c r="S307" s="180"/>
      <c r="T307" s="181" t="s">
        <v>478</v>
      </c>
      <c r="U307" s="179" t="s">
        <v>2324</v>
      </c>
      <c r="V307" s="179" t="s">
        <v>2325</v>
      </c>
      <c r="W307" s="114" t="s">
        <v>2326</v>
      </c>
      <c r="X307" s="180">
        <v>16</v>
      </c>
      <c r="Y307" s="182" t="s">
        <v>913</v>
      </c>
      <c r="Z307" s="183" t="s">
        <v>2327</v>
      </c>
      <c r="AA307" s="184"/>
      <c r="AB307" s="182"/>
      <c r="AC307" s="114"/>
      <c r="AD307" s="114"/>
      <c r="AE307" s="114"/>
      <c r="AF307" s="114"/>
      <c r="AG307" s="114"/>
      <c r="AH307" s="106"/>
      <c r="AI307" s="114"/>
      <c r="AJ307" s="106"/>
      <c r="AK307" s="114"/>
      <c r="AL307" s="106"/>
      <c r="AM307" s="114"/>
      <c r="AN307" s="106"/>
      <c r="AO307" s="114"/>
      <c r="AP307" s="106"/>
      <c r="AQ307" s="114"/>
      <c r="AR307" s="106"/>
      <c r="AS307" s="114"/>
      <c r="AT307" s="106"/>
      <c r="AU307" s="114"/>
      <c r="AV307" s="106"/>
      <c r="AW307" s="114"/>
      <c r="AX307" s="157"/>
      <c r="AY307" s="157"/>
      <c r="AZ307" s="157"/>
      <c r="BA307" s="157"/>
      <c r="BB307" s="157"/>
      <c r="BC307" s="157"/>
    </row>
    <row r="308" spans="1:55" ht="26.4" x14ac:dyDescent="0.3">
      <c r="A308" s="114">
        <f t="shared" si="7"/>
        <v>304</v>
      </c>
      <c r="B308" s="179" t="s">
        <v>2328</v>
      </c>
      <c r="C308" s="114">
        <v>0</v>
      </c>
      <c r="D308" s="114" t="s">
        <v>991</v>
      </c>
      <c r="E308" s="114" t="s">
        <v>980</v>
      </c>
      <c r="F308" s="114" t="s">
        <v>909</v>
      </c>
      <c r="G308" s="114"/>
      <c r="H308" s="114"/>
      <c r="I308" s="114"/>
      <c r="J308" s="114" t="s">
        <v>871</v>
      </c>
      <c r="K308" s="114"/>
      <c r="L308" s="114"/>
      <c r="M308" s="114"/>
      <c r="N308" s="114">
        <v>9</v>
      </c>
      <c r="O308" s="180">
        <v>0</v>
      </c>
      <c r="P308" s="180">
        <v>32767</v>
      </c>
      <c r="Q308" s="180">
        <v>0</v>
      </c>
      <c r="R308" s="180"/>
      <c r="S308" s="180"/>
      <c r="T308" s="181" t="s">
        <v>480</v>
      </c>
      <c r="U308" s="179" t="s">
        <v>2329</v>
      </c>
      <c r="V308" s="179" t="s">
        <v>2330</v>
      </c>
      <c r="W308" s="114" t="s">
        <v>2331</v>
      </c>
      <c r="X308" s="180">
        <v>16</v>
      </c>
      <c r="Y308" s="182" t="s">
        <v>913</v>
      </c>
      <c r="Z308" s="183" t="s">
        <v>2332</v>
      </c>
      <c r="AA308" s="184"/>
      <c r="AB308" s="182"/>
      <c r="AC308" s="109"/>
      <c r="AD308" s="172"/>
      <c r="AE308" s="114"/>
      <c r="AF308" s="114"/>
      <c r="AG308" s="114"/>
      <c r="AH308" s="106"/>
      <c r="AI308" s="114"/>
      <c r="AJ308" s="106"/>
      <c r="AK308" s="114"/>
      <c r="AL308" s="106"/>
      <c r="AM308" s="114"/>
      <c r="AN308" s="106"/>
      <c r="AO308" s="114"/>
      <c r="AP308" s="106"/>
      <c r="AQ308" s="114"/>
      <c r="AR308" s="106"/>
      <c r="AS308" s="114"/>
      <c r="AT308" s="106"/>
      <c r="AU308" s="114"/>
      <c r="AV308" s="106"/>
      <c r="AW308" s="114"/>
      <c r="AX308" s="157"/>
      <c r="AY308" s="157"/>
      <c r="AZ308" s="157"/>
      <c r="BA308" s="157"/>
      <c r="BB308" s="157"/>
      <c r="BC308" s="157"/>
    </row>
    <row r="309" spans="1:55" x14ac:dyDescent="0.3">
      <c r="A309" s="114">
        <f>A308+1</f>
        <v>305</v>
      </c>
      <c r="B309" s="179" t="s">
        <v>2333</v>
      </c>
      <c r="C309" s="114">
        <v>0</v>
      </c>
      <c r="D309" s="114" t="s">
        <v>991</v>
      </c>
      <c r="E309" s="114" t="s">
        <v>966</v>
      </c>
      <c r="F309" s="114" t="s">
        <v>909</v>
      </c>
      <c r="G309" s="114"/>
      <c r="H309" s="114"/>
      <c r="I309" s="114"/>
      <c r="J309" s="114" t="s">
        <v>871</v>
      </c>
      <c r="K309" s="114"/>
      <c r="L309" s="114"/>
      <c r="M309" s="114"/>
      <c r="N309" s="114">
        <v>9</v>
      </c>
      <c r="O309" s="180">
        <v>-2147483648</v>
      </c>
      <c r="P309" s="180">
        <v>2147483647</v>
      </c>
      <c r="Q309" s="180">
        <v>0</v>
      </c>
      <c r="R309" s="180"/>
      <c r="S309" s="180"/>
      <c r="T309" s="181" t="s">
        <v>482</v>
      </c>
      <c r="U309" s="179" t="s">
        <v>2334</v>
      </c>
      <c r="V309" s="179" t="s">
        <v>2335</v>
      </c>
      <c r="W309" s="114" t="s">
        <v>2336</v>
      </c>
      <c r="X309" s="180">
        <v>32</v>
      </c>
      <c r="Y309" s="182" t="s">
        <v>913</v>
      </c>
      <c r="Z309" s="183"/>
      <c r="AA309" s="184"/>
      <c r="AB309" s="182"/>
      <c r="AC309" s="109"/>
      <c r="AD309" s="172"/>
      <c r="AE309" s="114"/>
      <c r="AF309" s="114"/>
      <c r="AG309" s="114"/>
      <c r="AH309" s="106"/>
      <c r="AI309" s="114"/>
      <c r="AJ309" s="106"/>
      <c r="AK309" s="114"/>
      <c r="AL309" s="106"/>
      <c r="AM309" s="114"/>
      <c r="AN309" s="106"/>
      <c r="AO309" s="114"/>
      <c r="AP309" s="106"/>
      <c r="AQ309" s="114"/>
      <c r="AR309" s="106"/>
      <c r="AS309" s="114"/>
      <c r="AT309" s="106"/>
      <c r="AU309" s="114"/>
      <c r="AV309" s="106"/>
      <c r="AW309" s="114"/>
      <c r="AX309" s="157"/>
      <c r="AY309" s="157"/>
      <c r="AZ309" s="157"/>
      <c r="BA309" s="157"/>
      <c r="BB309" s="157"/>
      <c r="BC309" s="157"/>
    </row>
    <row r="310" spans="1:55" x14ac:dyDescent="0.3">
      <c r="A310" s="114">
        <f t="shared" si="7"/>
        <v>306</v>
      </c>
      <c r="B310" s="179" t="s">
        <v>2337</v>
      </c>
      <c r="C310" s="114">
        <v>0</v>
      </c>
      <c r="D310" s="114" t="s">
        <v>991</v>
      </c>
      <c r="E310" s="114" t="s">
        <v>966</v>
      </c>
      <c r="F310" s="114" t="s">
        <v>909</v>
      </c>
      <c r="G310" s="114"/>
      <c r="H310" s="114"/>
      <c r="I310" s="114"/>
      <c r="J310" s="114" t="s">
        <v>871</v>
      </c>
      <c r="K310" s="114"/>
      <c r="L310" s="114"/>
      <c r="M310" s="114"/>
      <c r="N310" s="114">
        <v>9</v>
      </c>
      <c r="O310" s="180">
        <v>-2147483648</v>
      </c>
      <c r="P310" s="180">
        <v>2147483647</v>
      </c>
      <c r="Q310" s="180">
        <v>0</v>
      </c>
      <c r="R310" s="180"/>
      <c r="S310" s="180"/>
      <c r="T310" s="181" t="s">
        <v>484</v>
      </c>
      <c r="U310" s="179" t="s">
        <v>2338</v>
      </c>
      <c r="V310" s="179" t="s">
        <v>2339</v>
      </c>
      <c r="W310" s="114" t="s">
        <v>2340</v>
      </c>
      <c r="X310" s="180">
        <v>32</v>
      </c>
      <c r="Y310" s="182" t="s">
        <v>913</v>
      </c>
      <c r="Z310" s="183"/>
      <c r="AA310" s="184"/>
      <c r="AB310" s="182"/>
      <c r="AC310" s="109"/>
      <c r="AD310" s="172"/>
      <c r="AE310" s="114"/>
      <c r="AF310" s="114"/>
      <c r="AG310" s="114"/>
      <c r="AH310" s="106"/>
      <c r="AI310" s="114"/>
      <c r="AJ310" s="106"/>
      <c r="AK310" s="114"/>
      <c r="AL310" s="106"/>
      <c r="AM310" s="114"/>
      <c r="AN310" s="106"/>
      <c r="AO310" s="114"/>
      <c r="AP310" s="106"/>
      <c r="AQ310" s="114"/>
      <c r="AR310" s="106"/>
      <c r="AS310" s="114"/>
      <c r="AT310" s="106"/>
      <c r="AU310" s="114"/>
      <c r="AV310" s="106"/>
      <c r="AW310" s="114"/>
      <c r="AX310" s="157"/>
      <c r="AY310" s="157"/>
      <c r="AZ310" s="157"/>
      <c r="BA310" s="157"/>
      <c r="BB310" s="157"/>
      <c r="BC310" s="157"/>
    </row>
    <row r="311" spans="1:55" x14ac:dyDescent="0.3">
      <c r="A311" s="114">
        <f>A310+1</f>
        <v>307</v>
      </c>
      <c r="B311" s="179" t="s">
        <v>2341</v>
      </c>
      <c r="C311" s="114">
        <v>0</v>
      </c>
      <c r="D311" s="114" t="s">
        <v>991</v>
      </c>
      <c r="E311" s="114" t="s">
        <v>929</v>
      </c>
      <c r="F311" s="114" t="s">
        <v>909</v>
      </c>
      <c r="G311" s="114"/>
      <c r="H311" s="114"/>
      <c r="I311" s="114"/>
      <c r="J311" s="114" t="s">
        <v>871</v>
      </c>
      <c r="K311" s="114"/>
      <c r="L311" s="114"/>
      <c r="M311" s="191" t="s">
        <v>874</v>
      </c>
      <c r="N311" s="114">
        <v>9</v>
      </c>
      <c r="O311" s="180" t="s">
        <v>909</v>
      </c>
      <c r="P311" s="180" t="s">
        <v>1278</v>
      </c>
      <c r="Q311" s="180" t="s">
        <v>909</v>
      </c>
      <c r="R311" s="180"/>
      <c r="S311" s="180"/>
      <c r="T311" s="181" t="s">
        <v>486</v>
      </c>
      <c r="U311" s="179" t="s">
        <v>2342</v>
      </c>
      <c r="V311" s="179" t="s">
        <v>2343</v>
      </c>
      <c r="W311" s="114" t="s">
        <v>2344</v>
      </c>
      <c r="X311" s="180">
        <v>16</v>
      </c>
      <c r="Y311" s="182" t="s">
        <v>913</v>
      </c>
      <c r="Z311" s="183"/>
      <c r="AA311" s="184"/>
      <c r="AB311" s="182"/>
      <c r="AC311" s="114">
        <v>4</v>
      </c>
      <c r="AD311" s="172" t="s">
        <v>887</v>
      </c>
      <c r="AE311" s="114"/>
      <c r="AF311" s="114"/>
      <c r="AG311" s="114"/>
      <c r="AH311" s="106"/>
      <c r="AI311" s="114"/>
      <c r="AJ311" s="106"/>
      <c r="AK311" s="114"/>
      <c r="AL311" s="106"/>
      <c r="AM311" s="114"/>
      <c r="AN311" s="106"/>
      <c r="AO311" s="114"/>
      <c r="AP311" s="106"/>
      <c r="AQ311" s="114"/>
      <c r="AR311" s="106"/>
      <c r="AS311" s="114"/>
      <c r="AT311" s="106"/>
      <c r="AU311" s="114"/>
      <c r="AV311" s="106"/>
      <c r="AW311" s="114"/>
      <c r="AX311" s="157"/>
      <c r="AY311" s="157"/>
      <c r="AZ311" s="157"/>
      <c r="BA311" s="157"/>
      <c r="BB311" s="157"/>
      <c r="BC311" s="157"/>
    </row>
    <row r="312" spans="1:55" ht="26.4" x14ac:dyDescent="0.3">
      <c r="A312" s="114">
        <f>A311+1</f>
        <v>308</v>
      </c>
      <c r="B312" s="179" t="s">
        <v>2345</v>
      </c>
      <c r="C312" s="114">
        <v>0</v>
      </c>
      <c r="D312" s="114" t="s">
        <v>991</v>
      </c>
      <c r="E312" s="114" t="s">
        <v>966</v>
      </c>
      <c r="F312" s="114" t="s">
        <v>909</v>
      </c>
      <c r="G312" s="114"/>
      <c r="H312" s="114"/>
      <c r="I312" s="114"/>
      <c r="J312" s="114" t="s">
        <v>871</v>
      </c>
      <c r="K312" s="114"/>
      <c r="L312" s="114"/>
      <c r="M312" s="114"/>
      <c r="N312" s="114">
        <v>9</v>
      </c>
      <c r="O312" s="180">
        <v>-2147483648</v>
      </c>
      <c r="P312" s="180">
        <v>2147483647</v>
      </c>
      <c r="Q312" s="180">
        <v>0</v>
      </c>
      <c r="R312" s="180"/>
      <c r="S312" s="180" t="s">
        <v>1036</v>
      </c>
      <c r="T312" s="181" t="s">
        <v>488</v>
      </c>
      <c r="U312" s="179" t="s">
        <v>2346</v>
      </c>
      <c r="V312" s="179" t="s">
        <v>2347</v>
      </c>
      <c r="W312" s="114" t="s">
        <v>2348</v>
      </c>
      <c r="X312" s="180">
        <v>32</v>
      </c>
      <c r="Y312" s="182" t="s">
        <v>913</v>
      </c>
      <c r="Z312" s="183" t="s">
        <v>2349</v>
      </c>
      <c r="AA312" s="184"/>
      <c r="AB312" s="182"/>
      <c r="AC312" s="114"/>
      <c r="AD312" s="114"/>
      <c r="AE312" s="114"/>
      <c r="AF312" s="114"/>
      <c r="AG312" s="114"/>
      <c r="AH312" s="106"/>
      <c r="AI312" s="114"/>
      <c r="AJ312" s="106"/>
      <c r="AK312" s="114"/>
      <c r="AL312" s="106"/>
      <c r="AM312" s="114"/>
      <c r="AN312" s="106"/>
      <c r="AO312" s="114"/>
      <c r="AP312" s="106"/>
      <c r="AQ312" s="114"/>
      <c r="AR312" s="106"/>
      <c r="AS312" s="114"/>
      <c r="AT312" s="106"/>
      <c r="AU312" s="114"/>
      <c r="AV312" s="106"/>
      <c r="AW312" s="114"/>
      <c r="AX312" s="157"/>
      <c r="AY312" s="157"/>
      <c r="AZ312" s="157"/>
      <c r="BA312" s="157"/>
      <c r="BB312" s="157"/>
      <c r="BC312" s="157"/>
    </row>
    <row r="313" spans="1:55" x14ac:dyDescent="0.3">
      <c r="A313" s="114">
        <f t="shared" ref="A313:A372" si="8">A312+1</f>
        <v>309</v>
      </c>
      <c r="B313" s="179" t="s">
        <v>2350</v>
      </c>
      <c r="C313" s="114">
        <v>0</v>
      </c>
      <c r="D313" s="114" t="s">
        <v>991</v>
      </c>
      <c r="E313" s="114" t="s">
        <v>966</v>
      </c>
      <c r="F313" s="114" t="s">
        <v>909</v>
      </c>
      <c r="G313" s="114"/>
      <c r="H313" s="114"/>
      <c r="I313" s="114"/>
      <c r="J313" s="114"/>
      <c r="K313" s="114"/>
      <c r="L313" s="114"/>
      <c r="M313" s="114"/>
      <c r="N313" s="114">
        <v>9</v>
      </c>
      <c r="O313" s="180">
        <v>-2147483648</v>
      </c>
      <c r="P313" s="180">
        <v>2147483647</v>
      </c>
      <c r="Q313" s="180">
        <v>0</v>
      </c>
      <c r="R313" s="180"/>
      <c r="S313" s="180" t="s">
        <v>1238</v>
      </c>
      <c r="T313" s="181" t="s">
        <v>490</v>
      </c>
      <c r="U313" s="179" t="s">
        <v>2351</v>
      </c>
      <c r="V313" s="179" t="s">
        <v>2352</v>
      </c>
      <c r="W313" s="114" t="s">
        <v>2353</v>
      </c>
      <c r="X313" s="180">
        <v>32</v>
      </c>
      <c r="Y313" s="182" t="s">
        <v>913</v>
      </c>
      <c r="Z313" s="183" t="s">
        <v>2354</v>
      </c>
      <c r="AA313" s="184"/>
      <c r="AB313" s="182"/>
      <c r="AC313" s="114"/>
      <c r="AD313" s="114"/>
      <c r="AE313" s="114"/>
      <c r="AF313" s="114"/>
      <c r="AG313" s="114"/>
      <c r="AH313" s="106"/>
      <c r="AI313" s="114"/>
      <c r="AJ313" s="106"/>
      <c r="AK313" s="114"/>
      <c r="AL313" s="106"/>
      <c r="AM313" s="114"/>
      <c r="AN313" s="106"/>
      <c r="AO313" s="114"/>
      <c r="AP313" s="106"/>
      <c r="AQ313" s="114"/>
      <c r="AR313" s="106"/>
      <c r="AS313" s="114"/>
      <c r="AT313" s="106"/>
      <c r="AU313" s="114"/>
      <c r="AV313" s="106"/>
      <c r="AW313" s="114"/>
      <c r="AX313" s="157"/>
      <c r="AY313" s="157"/>
      <c r="AZ313" s="157"/>
      <c r="BA313" s="157"/>
      <c r="BB313" s="157"/>
      <c r="BC313" s="157"/>
    </row>
    <row r="314" spans="1:55" x14ac:dyDescent="0.3">
      <c r="A314" s="114">
        <f t="shared" si="8"/>
        <v>310</v>
      </c>
      <c r="B314" s="179" t="s">
        <v>2355</v>
      </c>
      <c r="C314" s="114">
        <v>0</v>
      </c>
      <c r="D314" s="114" t="s">
        <v>991</v>
      </c>
      <c r="E314" s="114" t="s">
        <v>966</v>
      </c>
      <c r="F314" s="114" t="s">
        <v>909</v>
      </c>
      <c r="G314" s="114"/>
      <c r="H314" s="114"/>
      <c r="I314" s="114"/>
      <c r="J314" s="114"/>
      <c r="K314" s="114"/>
      <c r="L314" s="114"/>
      <c r="M314" s="114"/>
      <c r="N314" s="114">
        <v>9</v>
      </c>
      <c r="O314" s="180">
        <v>-2147483648</v>
      </c>
      <c r="P314" s="180">
        <v>2147483647</v>
      </c>
      <c r="Q314" s="112">
        <v>0</v>
      </c>
      <c r="R314" s="180"/>
      <c r="S314" s="180" t="s">
        <v>1238</v>
      </c>
      <c r="T314" s="181" t="s">
        <v>492</v>
      </c>
      <c r="U314" s="179" t="s">
        <v>2356</v>
      </c>
      <c r="V314" s="179" t="s">
        <v>2357</v>
      </c>
      <c r="W314" s="114" t="s">
        <v>2358</v>
      </c>
      <c r="X314" s="180">
        <v>32</v>
      </c>
      <c r="Y314" s="182" t="s">
        <v>913</v>
      </c>
      <c r="Z314" s="183" t="s">
        <v>2354</v>
      </c>
      <c r="AA314" s="184" t="s">
        <v>2359</v>
      </c>
      <c r="AB314" s="182"/>
      <c r="AC314" s="114"/>
      <c r="AD314" s="114"/>
      <c r="AE314" s="114"/>
      <c r="AF314" s="114"/>
      <c r="AG314" s="114"/>
      <c r="AH314" s="106"/>
      <c r="AI314" s="114"/>
      <c r="AJ314" s="106"/>
      <c r="AK314" s="114"/>
      <c r="AL314" s="106"/>
      <c r="AM314" s="114"/>
      <c r="AN314" s="106"/>
      <c r="AO314" s="114"/>
      <c r="AP314" s="106"/>
      <c r="AQ314" s="114"/>
      <c r="AR314" s="106"/>
      <c r="AS314" s="114"/>
      <c r="AT314" s="106"/>
      <c r="AU314" s="114"/>
      <c r="AV314" s="106"/>
      <c r="AW314" s="114"/>
      <c r="AX314" s="157"/>
      <c r="AY314" s="157"/>
      <c r="AZ314" s="157"/>
      <c r="BA314" s="157"/>
      <c r="BB314" s="157"/>
      <c r="BC314" s="157"/>
    </row>
    <row r="315" spans="1:55" x14ac:dyDescent="0.3">
      <c r="A315" s="114">
        <f t="shared" si="8"/>
        <v>311</v>
      </c>
      <c r="B315" s="179" t="s">
        <v>2360</v>
      </c>
      <c r="C315" s="114">
        <v>0</v>
      </c>
      <c r="D315" s="114" t="s">
        <v>991</v>
      </c>
      <c r="E315" s="114" t="s">
        <v>966</v>
      </c>
      <c r="F315" s="114" t="s">
        <v>909</v>
      </c>
      <c r="G315" s="114"/>
      <c r="H315" s="114"/>
      <c r="I315" s="114"/>
      <c r="J315" s="114"/>
      <c r="K315" s="114"/>
      <c r="L315" s="114"/>
      <c r="M315" s="114"/>
      <c r="N315" s="114">
        <v>9</v>
      </c>
      <c r="O315" s="180">
        <v>-2147000000</v>
      </c>
      <c r="P315" s="180">
        <v>2147000000</v>
      </c>
      <c r="Q315" s="180">
        <v>1000000</v>
      </c>
      <c r="R315" s="180">
        <v>9.9999999999999995E-7</v>
      </c>
      <c r="S315" s="187"/>
      <c r="T315" s="181" t="s">
        <v>494</v>
      </c>
      <c r="U315" s="179" t="s">
        <v>2361</v>
      </c>
      <c r="V315" s="179" t="s">
        <v>2362</v>
      </c>
      <c r="W315" s="114" t="s">
        <v>2363</v>
      </c>
      <c r="X315" s="180">
        <v>32</v>
      </c>
      <c r="Y315" s="182" t="s">
        <v>1503</v>
      </c>
      <c r="Z315" s="183"/>
      <c r="AA315" s="184"/>
      <c r="AB315" s="182"/>
      <c r="AC315" s="114">
        <v>3</v>
      </c>
      <c r="AD315" s="172" t="s">
        <v>887</v>
      </c>
      <c r="AE315" s="114"/>
      <c r="AF315" s="114"/>
      <c r="AG315" s="114"/>
      <c r="AH315" s="106"/>
      <c r="AI315" s="114"/>
      <c r="AJ315" s="106"/>
      <c r="AK315" s="114"/>
      <c r="AL315" s="106"/>
      <c r="AM315" s="114"/>
      <c r="AN315" s="106"/>
      <c r="AO315" s="114"/>
      <c r="AP315" s="106"/>
      <c r="AQ315" s="114"/>
      <c r="AR315" s="106"/>
      <c r="AS315" s="114"/>
      <c r="AT315" s="106"/>
      <c r="AU315" s="114" t="s">
        <v>915</v>
      </c>
      <c r="AV315" s="106"/>
      <c r="AW315" s="114"/>
      <c r="AX315" s="157"/>
      <c r="AY315" s="157"/>
      <c r="AZ315" s="157"/>
      <c r="BA315" s="157"/>
      <c r="BB315" s="157"/>
      <c r="BC315" s="157"/>
    </row>
    <row r="316" spans="1:55" x14ac:dyDescent="0.3">
      <c r="A316" s="114">
        <f t="shared" si="8"/>
        <v>312</v>
      </c>
      <c r="B316" s="179" t="s">
        <v>2364</v>
      </c>
      <c r="C316" s="114">
        <v>0</v>
      </c>
      <c r="D316" s="114" t="s">
        <v>991</v>
      </c>
      <c r="E316" s="114" t="s">
        <v>929</v>
      </c>
      <c r="F316" s="114" t="s">
        <v>909</v>
      </c>
      <c r="G316" s="114"/>
      <c r="H316" s="114"/>
      <c r="I316" s="114"/>
      <c r="J316" s="114"/>
      <c r="K316" s="114"/>
      <c r="L316" s="114"/>
      <c r="M316" s="114"/>
      <c r="N316" s="114">
        <v>9</v>
      </c>
      <c r="O316" s="180">
        <v>1</v>
      </c>
      <c r="P316" s="180">
        <v>65500</v>
      </c>
      <c r="Q316" s="180">
        <v>200</v>
      </c>
      <c r="R316" s="180"/>
      <c r="S316" s="180" t="s">
        <v>1047</v>
      </c>
      <c r="T316" s="181" t="s">
        <v>497</v>
      </c>
      <c r="U316" s="179" t="s">
        <v>2365</v>
      </c>
      <c r="V316" s="179" t="s">
        <v>2366</v>
      </c>
      <c r="W316" s="114" t="s">
        <v>2367</v>
      </c>
      <c r="X316" s="180">
        <v>16</v>
      </c>
      <c r="Y316" s="182" t="s">
        <v>1503</v>
      </c>
      <c r="Z316" s="183"/>
      <c r="AA316" s="184"/>
      <c r="AB316" s="182"/>
      <c r="AC316" s="114">
        <v>4</v>
      </c>
      <c r="AD316" s="172" t="s">
        <v>887</v>
      </c>
      <c r="AE316" s="114"/>
      <c r="AF316" s="114"/>
      <c r="AG316" s="114"/>
      <c r="AH316" s="106"/>
      <c r="AI316" s="114"/>
      <c r="AJ316" s="106"/>
      <c r="AK316" s="114"/>
      <c r="AL316" s="106"/>
      <c r="AM316" s="114"/>
      <c r="AN316" s="106"/>
      <c r="AO316" s="114"/>
      <c r="AP316" s="106"/>
      <c r="AQ316" s="114"/>
      <c r="AR316" s="106" t="s">
        <v>915</v>
      </c>
      <c r="AS316" s="114"/>
      <c r="AT316" s="106"/>
      <c r="AU316" s="114"/>
      <c r="AV316" s="106"/>
      <c r="AW316" s="114"/>
      <c r="AX316" s="157"/>
      <c r="AY316" s="157"/>
      <c r="AZ316" s="157"/>
      <c r="BA316" s="157"/>
      <c r="BB316" s="157"/>
      <c r="BC316" s="157"/>
    </row>
    <row r="317" spans="1:55" x14ac:dyDescent="0.3">
      <c r="A317" s="114">
        <f t="shared" si="8"/>
        <v>313</v>
      </c>
      <c r="B317" s="179" t="s">
        <v>2368</v>
      </c>
      <c r="C317" s="114">
        <v>0</v>
      </c>
      <c r="D317" s="114" t="s">
        <v>991</v>
      </c>
      <c r="E317" s="114" t="s">
        <v>929</v>
      </c>
      <c r="F317" s="114" t="s">
        <v>909</v>
      </c>
      <c r="G317" s="114"/>
      <c r="H317" s="114"/>
      <c r="I317" s="114"/>
      <c r="J317" s="114"/>
      <c r="K317" s="114"/>
      <c r="L317" s="114"/>
      <c r="M317" s="114"/>
      <c r="N317" s="114">
        <v>9</v>
      </c>
      <c r="O317" s="180">
        <v>1</v>
      </c>
      <c r="P317" s="180">
        <v>65500</v>
      </c>
      <c r="Q317" s="180">
        <v>300</v>
      </c>
      <c r="R317" s="180"/>
      <c r="S317" s="180" t="s">
        <v>1047</v>
      </c>
      <c r="T317" s="181" t="s">
        <v>500</v>
      </c>
      <c r="U317" s="179" t="s">
        <v>2369</v>
      </c>
      <c r="V317" s="179" t="s">
        <v>2370</v>
      </c>
      <c r="W317" s="114" t="s">
        <v>2371</v>
      </c>
      <c r="X317" s="180">
        <v>16</v>
      </c>
      <c r="Y317" s="182" t="s">
        <v>1503</v>
      </c>
      <c r="Z317" s="183"/>
      <c r="AA317" s="184"/>
      <c r="AB317" s="182"/>
      <c r="AC317" s="114">
        <v>4</v>
      </c>
      <c r="AD317" s="172" t="s">
        <v>887</v>
      </c>
      <c r="AE317" s="114"/>
      <c r="AF317" s="114"/>
      <c r="AG317" s="114"/>
      <c r="AH317" s="106"/>
      <c r="AI317" s="114"/>
      <c r="AJ317" s="106"/>
      <c r="AK317" s="114"/>
      <c r="AL317" s="106"/>
      <c r="AM317" s="114"/>
      <c r="AN317" s="106"/>
      <c r="AO317" s="114"/>
      <c r="AP317" s="106"/>
      <c r="AQ317" s="114"/>
      <c r="AR317" s="106" t="s">
        <v>915</v>
      </c>
      <c r="AS317" s="114"/>
      <c r="AT317" s="106"/>
      <c r="AU317" s="114"/>
      <c r="AV317" s="106"/>
      <c r="AW317" s="114"/>
      <c r="AX317" s="157"/>
      <c r="AY317" s="157"/>
      <c r="AZ317" s="157"/>
      <c r="BA317" s="157"/>
      <c r="BB317" s="157"/>
      <c r="BC317" s="157"/>
    </row>
    <row r="318" spans="1:55" x14ac:dyDescent="0.3">
      <c r="A318" s="114">
        <f t="shared" si="8"/>
        <v>314</v>
      </c>
      <c r="B318" s="179" t="s">
        <v>2372</v>
      </c>
      <c r="C318" s="114">
        <v>0</v>
      </c>
      <c r="D318" s="114" t="s">
        <v>991</v>
      </c>
      <c r="E318" s="114" t="s">
        <v>929</v>
      </c>
      <c r="F318" s="114" t="s">
        <v>909</v>
      </c>
      <c r="G318" s="114"/>
      <c r="H318" s="114"/>
      <c r="I318" s="114"/>
      <c r="J318" s="114"/>
      <c r="K318" s="114"/>
      <c r="L318" s="114"/>
      <c r="M318" s="114"/>
      <c r="N318" s="114">
        <v>9</v>
      </c>
      <c r="O318" s="180">
        <v>1</v>
      </c>
      <c r="P318" s="180">
        <v>65500</v>
      </c>
      <c r="Q318" s="180">
        <v>500</v>
      </c>
      <c r="R318" s="180"/>
      <c r="S318" s="180" t="s">
        <v>1047</v>
      </c>
      <c r="T318" s="181" t="s">
        <v>502</v>
      </c>
      <c r="U318" s="179" t="s">
        <v>2373</v>
      </c>
      <c r="V318" s="179" t="s">
        <v>2374</v>
      </c>
      <c r="W318" s="114" t="s">
        <v>2375</v>
      </c>
      <c r="X318" s="180">
        <v>16</v>
      </c>
      <c r="Y318" s="182" t="s">
        <v>1503</v>
      </c>
      <c r="Z318" s="183"/>
      <c r="AA318" s="184"/>
      <c r="AB318" s="182"/>
      <c r="AC318" s="114">
        <v>4</v>
      </c>
      <c r="AD318" s="172" t="s">
        <v>887</v>
      </c>
      <c r="AE318" s="114"/>
      <c r="AF318" s="114"/>
      <c r="AG318" s="114"/>
      <c r="AH318" s="106"/>
      <c r="AI318" s="114"/>
      <c r="AJ318" s="106"/>
      <c r="AK318" s="114"/>
      <c r="AL318" s="106"/>
      <c r="AM318" s="114"/>
      <c r="AN318" s="106"/>
      <c r="AO318" s="114"/>
      <c r="AP318" s="106"/>
      <c r="AQ318" s="114"/>
      <c r="AR318" s="106" t="s">
        <v>915</v>
      </c>
      <c r="AS318" s="114"/>
      <c r="AT318" s="106"/>
      <c r="AU318" s="114"/>
      <c r="AV318" s="106"/>
      <c r="AW318" s="114"/>
      <c r="AX318" s="157"/>
      <c r="AY318" s="157"/>
      <c r="AZ318" s="157"/>
      <c r="BA318" s="157"/>
      <c r="BB318" s="157"/>
      <c r="BC318" s="157"/>
    </row>
    <row r="319" spans="1:55" x14ac:dyDescent="0.3">
      <c r="A319" s="114">
        <f t="shared" si="8"/>
        <v>315</v>
      </c>
      <c r="B319" s="179" t="s">
        <v>2376</v>
      </c>
      <c r="C319" s="114">
        <v>0</v>
      </c>
      <c r="D319" s="114" t="s">
        <v>991</v>
      </c>
      <c r="E319" s="114" t="s">
        <v>929</v>
      </c>
      <c r="F319" s="114" t="s">
        <v>909</v>
      </c>
      <c r="G319" s="114"/>
      <c r="H319" s="114"/>
      <c r="I319" s="114"/>
      <c r="J319" s="114"/>
      <c r="K319" s="114"/>
      <c r="L319" s="114"/>
      <c r="M319" s="114"/>
      <c r="N319" s="114">
        <v>9</v>
      </c>
      <c r="O319" s="180">
        <v>1</v>
      </c>
      <c r="P319" s="180">
        <v>65500</v>
      </c>
      <c r="Q319" s="180">
        <v>600</v>
      </c>
      <c r="R319" s="180"/>
      <c r="S319" s="180" t="s">
        <v>1047</v>
      </c>
      <c r="T319" s="181" t="s">
        <v>504</v>
      </c>
      <c r="U319" s="179" t="s">
        <v>2377</v>
      </c>
      <c r="V319" s="179" t="s">
        <v>2378</v>
      </c>
      <c r="W319" s="114" t="s">
        <v>2379</v>
      </c>
      <c r="X319" s="180">
        <v>16</v>
      </c>
      <c r="Y319" s="182" t="s">
        <v>1503</v>
      </c>
      <c r="Z319" s="183"/>
      <c r="AA319" s="184"/>
      <c r="AB319" s="182"/>
      <c r="AC319" s="114">
        <v>4</v>
      </c>
      <c r="AD319" s="172" t="s">
        <v>887</v>
      </c>
      <c r="AE319" s="114"/>
      <c r="AF319" s="114"/>
      <c r="AG319" s="114"/>
      <c r="AH319" s="106"/>
      <c r="AI319" s="114"/>
      <c r="AJ319" s="106"/>
      <c r="AK319" s="114"/>
      <c r="AL319" s="106"/>
      <c r="AM319" s="114"/>
      <c r="AN319" s="106"/>
      <c r="AO319" s="114"/>
      <c r="AP319" s="106"/>
      <c r="AQ319" s="114"/>
      <c r="AR319" s="106" t="s">
        <v>915</v>
      </c>
      <c r="AS319" s="114"/>
      <c r="AT319" s="106"/>
      <c r="AU319" s="114"/>
      <c r="AV319" s="106"/>
      <c r="AW319" s="114"/>
      <c r="AX319" s="157"/>
      <c r="AY319" s="157"/>
      <c r="AZ319" s="157"/>
      <c r="BA319" s="157"/>
      <c r="BB319" s="157"/>
      <c r="BC319" s="157"/>
    </row>
    <row r="320" spans="1:55" x14ac:dyDescent="0.3">
      <c r="A320" s="114">
        <f t="shared" si="8"/>
        <v>316</v>
      </c>
      <c r="B320" s="179" t="s">
        <v>2380</v>
      </c>
      <c r="C320" s="114">
        <v>0</v>
      </c>
      <c r="D320" s="114" t="s">
        <v>991</v>
      </c>
      <c r="E320" s="114" t="s">
        <v>929</v>
      </c>
      <c r="F320" s="114" t="s">
        <v>909</v>
      </c>
      <c r="G320" s="114"/>
      <c r="H320" s="114"/>
      <c r="I320" s="114"/>
      <c r="J320" s="114"/>
      <c r="K320" s="114"/>
      <c r="L320" s="114"/>
      <c r="M320" s="114"/>
      <c r="N320" s="114">
        <v>9</v>
      </c>
      <c r="O320" s="180">
        <v>1</v>
      </c>
      <c r="P320" s="180">
        <v>65500</v>
      </c>
      <c r="Q320" s="180">
        <v>800</v>
      </c>
      <c r="R320" s="180"/>
      <c r="S320" s="180" t="s">
        <v>1047</v>
      </c>
      <c r="T320" s="181" t="s">
        <v>506</v>
      </c>
      <c r="U320" s="179" t="s">
        <v>2381</v>
      </c>
      <c r="V320" s="179" t="s">
        <v>2382</v>
      </c>
      <c r="W320" s="114" t="s">
        <v>2383</v>
      </c>
      <c r="X320" s="180">
        <v>16</v>
      </c>
      <c r="Y320" s="182" t="s">
        <v>1503</v>
      </c>
      <c r="Z320" s="183"/>
      <c r="AA320" s="184"/>
      <c r="AB320" s="182"/>
      <c r="AC320" s="114">
        <v>4</v>
      </c>
      <c r="AD320" s="172" t="s">
        <v>887</v>
      </c>
      <c r="AE320" s="114"/>
      <c r="AF320" s="114"/>
      <c r="AG320" s="114"/>
      <c r="AH320" s="106"/>
      <c r="AI320" s="114"/>
      <c r="AJ320" s="106"/>
      <c r="AK320" s="114"/>
      <c r="AL320" s="106"/>
      <c r="AM320" s="114"/>
      <c r="AN320" s="106"/>
      <c r="AO320" s="114"/>
      <c r="AP320" s="106"/>
      <c r="AQ320" s="114"/>
      <c r="AR320" s="106" t="s">
        <v>915</v>
      </c>
      <c r="AS320" s="114"/>
      <c r="AT320" s="106"/>
      <c r="AU320" s="114"/>
      <c r="AV320" s="106"/>
      <c r="AW320" s="114"/>
      <c r="AX320" s="157"/>
      <c r="AY320" s="157"/>
      <c r="AZ320" s="157"/>
      <c r="BA320" s="157"/>
      <c r="BB320" s="157"/>
      <c r="BC320" s="157"/>
    </row>
    <row r="321" spans="1:55" x14ac:dyDescent="0.3">
      <c r="A321" s="114">
        <f t="shared" si="8"/>
        <v>317</v>
      </c>
      <c r="B321" s="179" t="s">
        <v>2384</v>
      </c>
      <c r="C321" s="114">
        <v>0</v>
      </c>
      <c r="D321" s="114" t="s">
        <v>991</v>
      </c>
      <c r="E321" s="114" t="s">
        <v>929</v>
      </c>
      <c r="F321" s="114" t="s">
        <v>909</v>
      </c>
      <c r="G321" s="114"/>
      <c r="H321" s="114"/>
      <c r="I321" s="114"/>
      <c r="J321" s="114"/>
      <c r="K321" s="114"/>
      <c r="L321" s="114"/>
      <c r="M321" s="114"/>
      <c r="N321" s="114">
        <v>9</v>
      </c>
      <c r="O321" s="180">
        <v>1</v>
      </c>
      <c r="P321" s="180">
        <v>65500</v>
      </c>
      <c r="Q321" s="180">
        <v>900</v>
      </c>
      <c r="R321" s="180"/>
      <c r="S321" s="180" t="s">
        <v>1047</v>
      </c>
      <c r="T321" s="181" t="s">
        <v>508</v>
      </c>
      <c r="U321" s="179" t="s">
        <v>2385</v>
      </c>
      <c r="V321" s="179" t="s">
        <v>2386</v>
      </c>
      <c r="W321" s="114" t="s">
        <v>2387</v>
      </c>
      <c r="X321" s="180">
        <v>16</v>
      </c>
      <c r="Y321" s="182" t="s">
        <v>1503</v>
      </c>
      <c r="Z321" s="183"/>
      <c r="AA321" s="184"/>
      <c r="AB321" s="182"/>
      <c r="AC321" s="114">
        <v>4</v>
      </c>
      <c r="AD321" s="172" t="s">
        <v>887</v>
      </c>
      <c r="AE321" s="114"/>
      <c r="AF321" s="114"/>
      <c r="AG321" s="114"/>
      <c r="AH321" s="106"/>
      <c r="AI321" s="114"/>
      <c r="AJ321" s="106"/>
      <c r="AK321" s="114"/>
      <c r="AL321" s="106"/>
      <c r="AM321" s="114"/>
      <c r="AN321" s="106"/>
      <c r="AO321" s="114"/>
      <c r="AP321" s="106"/>
      <c r="AQ321" s="114"/>
      <c r="AR321" s="106" t="s">
        <v>915</v>
      </c>
      <c r="AS321" s="114"/>
      <c r="AT321" s="106"/>
      <c r="AU321" s="114"/>
      <c r="AV321" s="106"/>
      <c r="AW321" s="114"/>
      <c r="AX321" s="157"/>
      <c r="AY321" s="157"/>
      <c r="AZ321" s="157"/>
      <c r="BA321" s="157"/>
      <c r="BB321" s="157"/>
      <c r="BC321" s="157"/>
    </row>
    <row r="322" spans="1:55" x14ac:dyDescent="0.3">
      <c r="A322" s="114">
        <f t="shared" si="8"/>
        <v>318</v>
      </c>
      <c r="B322" s="179" t="s">
        <v>2388</v>
      </c>
      <c r="C322" s="114">
        <v>0</v>
      </c>
      <c r="D322" s="114" t="s">
        <v>991</v>
      </c>
      <c r="E322" s="114" t="s">
        <v>929</v>
      </c>
      <c r="F322" s="114" t="s">
        <v>909</v>
      </c>
      <c r="G322" s="114"/>
      <c r="H322" s="114"/>
      <c r="I322" s="114"/>
      <c r="J322" s="114"/>
      <c r="K322" s="114"/>
      <c r="L322" s="114"/>
      <c r="M322" s="114"/>
      <c r="N322" s="114">
        <v>9</v>
      </c>
      <c r="O322" s="180">
        <v>1</v>
      </c>
      <c r="P322" s="180">
        <v>65500</v>
      </c>
      <c r="Q322" s="180">
        <v>1000</v>
      </c>
      <c r="R322" s="180"/>
      <c r="S322" s="180" t="s">
        <v>1047</v>
      </c>
      <c r="T322" s="181" t="s">
        <v>510</v>
      </c>
      <c r="U322" s="179" t="s">
        <v>2389</v>
      </c>
      <c r="V322" s="179" t="s">
        <v>2390</v>
      </c>
      <c r="W322" s="114" t="s">
        <v>2391</v>
      </c>
      <c r="X322" s="180">
        <v>16</v>
      </c>
      <c r="Y322" s="182" t="s">
        <v>1503</v>
      </c>
      <c r="Z322" s="183"/>
      <c r="AA322" s="184"/>
      <c r="AB322" s="182"/>
      <c r="AC322" s="114">
        <v>4</v>
      </c>
      <c r="AD322" s="172" t="s">
        <v>887</v>
      </c>
      <c r="AE322" s="114"/>
      <c r="AF322" s="114"/>
      <c r="AG322" s="114"/>
      <c r="AH322" s="106"/>
      <c r="AI322" s="114"/>
      <c r="AJ322" s="106"/>
      <c r="AK322" s="114"/>
      <c r="AL322" s="106"/>
      <c r="AM322" s="114"/>
      <c r="AN322" s="106"/>
      <c r="AO322" s="114"/>
      <c r="AP322" s="106"/>
      <c r="AQ322" s="114"/>
      <c r="AR322" s="106" t="s">
        <v>915</v>
      </c>
      <c r="AS322" s="114"/>
      <c r="AT322" s="106"/>
      <c r="AU322" s="114"/>
      <c r="AV322" s="106"/>
      <c r="AW322" s="114"/>
      <c r="AX322" s="157"/>
      <c r="AY322" s="157"/>
      <c r="AZ322" s="157"/>
      <c r="BA322" s="157"/>
      <c r="BB322" s="157"/>
      <c r="BC322" s="157"/>
    </row>
    <row r="323" spans="1:55" x14ac:dyDescent="0.3">
      <c r="A323" s="114">
        <f t="shared" si="8"/>
        <v>319</v>
      </c>
      <c r="B323" s="179" t="s">
        <v>2392</v>
      </c>
      <c r="C323" s="114">
        <v>0</v>
      </c>
      <c r="D323" s="114" t="s">
        <v>991</v>
      </c>
      <c r="E323" s="114" t="s">
        <v>929</v>
      </c>
      <c r="F323" s="114" t="s">
        <v>909</v>
      </c>
      <c r="G323" s="114"/>
      <c r="H323" s="114"/>
      <c r="I323" s="114"/>
      <c r="J323" s="114"/>
      <c r="K323" s="114"/>
      <c r="L323" s="114"/>
      <c r="M323" s="114"/>
      <c r="N323" s="114">
        <v>9</v>
      </c>
      <c r="O323" s="180">
        <v>1</v>
      </c>
      <c r="P323" s="180">
        <v>65500</v>
      </c>
      <c r="Q323" s="180">
        <v>1200</v>
      </c>
      <c r="R323" s="180"/>
      <c r="S323" s="180" t="s">
        <v>1047</v>
      </c>
      <c r="T323" s="181" t="s">
        <v>512</v>
      </c>
      <c r="U323" s="179" t="s">
        <v>2393</v>
      </c>
      <c r="V323" s="179" t="s">
        <v>2394</v>
      </c>
      <c r="W323" s="114" t="s">
        <v>2395</v>
      </c>
      <c r="X323" s="180">
        <v>16</v>
      </c>
      <c r="Y323" s="182" t="s">
        <v>1503</v>
      </c>
      <c r="Z323" s="183"/>
      <c r="AA323" s="184"/>
      <c r="AB323" s="182"/>
      <c r="AC323" s="114">
        <v>4</v>
      </c>
      <c r="AD323" s="172" t="s">
        <v>887</v>
      </c>
      <c r="AE323" s="114"/>
      <c r="AF323" s="114"/>
      <c r="AG323" s="114"/>
      <c r="AH323" s="106"/>
      <c r="AI323" s="114"/>
      <c r="AJ323" s="106"/>
      <c r="AK323" s="114"/>
      <c r="AL323" s="106"/>
      <c r="AM323" s="114"/>
      <c r="AN323" s="106"/>
      <c r="AO323" s="114"/>
      <c r="AP323" s="106"/>
      <c r="AQ323" s="114"/>
      <c r="AR323" s="106" t="s">
        <v>915</v>
      </c>
      <c r="AS323" s="114"/>
      <c r="AT323" s="106"/>
      <c r="AU323" s="114"/>
      <c r="AV323" s="106"/>
      <c r="AW323" s="114"/>
      <c r="AX323" s="157"/>
      <c r="AY323" s="157"/>
      <c r="AZ323" s="157"/>
      <c r="BA323" s="157"/>
      <c r="BB323" s="157"/>
      <c r="BC323" s="157"/>
    </row>
    <row r="324" spans="1:55" x14ac:dyDescent="0.3">
      <c r="A324" s="114">
        <f t="shared" si="8"/>
        <v>320</v>
      </c>
      <c r="B324" s="179" t="s">
        <v>2396</v>
      </c>
      <c r="C324" s="114">
        <v>0</v>
      </c>
      <c r="D324" s="114" t="s">
        <v>991</v>
      </c>
      <c r="E324" s="114" t="s">
        <v>929</v>
      </c>
      <c r="F324" s="114" t="s">
        <v>909</v>
      </c>
      <c r="G324" s="114"/>
      <c r="H324" s="114"/>
      <c r="I324" s="114"/>
      <c r="J324" s="114"/>
      <c r="K324" s="114"/>
      <c r="L324" s="114"/>
      <c r="M324" s="114"/>
      <c r="N324" s="114">
        <v>9</v>
      </c>
      <c r="O324" s="180">
        <v>1</v>
      </c>
      <c r="P324" s="180">
        <v>65500</v>
      </c>
      <c r="Q324" s="180">
        <v>1500</v>
      </c>
      <c r="R324" s="180"/>
      <c r="S324" s="180" t="s">
        <v>1047</v>
      </c>
      <c r="T324" s="181" t="s">
        <v>514</v>
      </c>
      <c r="U324" s="179" t="s">
        <v>2397</v>
      </c>
      <c r="V324" s="179" t="s">
        <v>2398</v>
      </c>
      <c r="W324" s="114" t="s">
        <v>2399</v>
      </c>
      <c r="X324" s="180">
        <v>16</v>
      </c>
      <c r="Y324" s="182" t="s">
        <v>1503</v>
      </c>
      <c r="Z324" s="183"/>
      <c r="AA324" s="184"/>
      <c r="AB324" s="182"/>
      <c r="AC324" s="114">
        <v>4</v>
      </c>
      <c r="AD324" s="172" t="s">
        <v>887</v>
      </c>
      <c r="AE324" s="114"/>
      <c r="AF324" s="114"/>
      <c r="AG324" s="114"/>
      <c r="AH324" s="106"/>
      <c r="AI324" s="114"/>
      <c r="AJ324" s="106"/>
      <c r="AK324" s="114"/>
      <c r="AL324" s="106"/>
      <c r="AM324" s="114"/>
      <c r="AN324" s="106"/>
      <c r="AO324" s="114"/>
      <c r="AP324" s="106"/>
      <c r="AQ324" s="114"/>
      <c r="AR324" s="106" t="s">
        <v>915</v>
      </c>
      <c r="AS324" s="114"/>
      <c r="AT324" s="106"/>
      <c r="AU324" s="114"/>
      <c r="AV324" s="106"/>
      <c r="AW324" s="114"/>
      <c r="AX324" s="157"/>
      <c r="AY324" s="157"/>
      <c r="AZ324" s="157"/>
      <c r="BA324" s="157"/>
      <c r="BB324" s="157"/>
      <c r="BC324" s="157"/>
    </row>
    <row r="325" spans="1:55" x14ac:dyDescent="0.3">
      <c r="A325" s="114">
        <f t="shared" si="8"/>
        <v>321</v>
      </c>
      <c r="B325" s="179" t="s">
        <v>2400</v>
      </c>
      <c r="C325" s="114">
        <v>0</v>
      </c>
      <c r="D325" s="114" t="s">
        <v>991</v>
      </c>
      <c r="E325" s="114" t="s">
        <v>929</v>
      </c>
      <c r="F325" s="114" t="s">
        <v>909</v>
      </c>
      <c r="G325" s="114"/>
      <c r="H325" s="114"/>
      <c r="I325" s="114"/>
      <c r="J325" s="114"/>
      <c r="K325" s="114"/>
      <c r="L325" s="114"/>
      <c r="M325" s="114"/>
      <c r="N325" s="114">
        <v>9</v>
      </c>
      <c r="O325" s="180">
        <v>1</v>
      </c>
      <c r="P325" s="180">
        <v>65500</v>
      </c>
      <c r="Q325" s="180">
        <v>2000</v>
      </c>
      <c r="R325" s="180"/>
      <c r="S325" s="180" t="s">
        <v>1047</v>
      </c>
      <c r="T325" s="181" t="s">
        <v>516</v>
      </c>
      <c r="U325" s="179" t="s">
        <v>2401</v>
      </c>
      <c r="V325" s="179" t="s">
        <v>2402</v>
      </c>
      <c r="W325" s="114" t="s">
        <v>2403</v>
      </c>
      <c r="X325" s="179">
        <v>16</v>
      </c>
      <c r="Y325" s="182" t="s">
        <v>1503</v>
      </c>
      <c r="Z325" s="183"/>
      <c r="AA325" s="184"/>
      <c r="AB325" s="182"/>
      <c r="AC325" s="114">
        <v>4</v>
      </c>
      <c r="AD325" s="172" t="s">
        <v>887</v>
      </c>
      <c r="AE325" s="114"/>
      <c r="AF325" s="114"/>
      <c r="AG325" s="114"/>
      <c r="AH325" s="106"/>
      <c r="AI325" s="114"/>
      <c r="AJ325" s="106"/>
      <c r="AK325" s="114"/>
      <c r="AL325" s="106"/>
      <c r="AM325" s="114"/>
      <c r="AN325" s="106"/>
      <c r="AO325" s="114"/>
      <c r="AP325" s="106"/>
      <c r="AQ325" s="114"/>
      <c r="AR325" s="106" t="s">
        <v>915</v>
      </c>
      <c r="AS325" s="114"/>
      <c r="AT325" s="106"/>
      <c r="AU325" s="114"/>
      <c r="AV325" s="106"/>
      <c r="AW325" s="114"/>
      <c r="AX325" s="157"/>
      <c r="AY325" s="157"/>
      <c r="AZ325" s="157"/>
      <c r="BA325" s="157"/>
      <c r="BB325" s="157"/>
      <c r="BC325" s="157"/>
    </row>
    <row r="326" spans="1:55" x14ac:dyDescent="0.3">
      <c r="A326" s="114">
        <f t="shared" si="8"/>
        <v>322</v>
      </c>
      <c r="B326" s="179" t="s">
        <v>2404</v>
      </c>
      <c r="C326" s="114">
        <v>0</v>
      </c>
      <c r="D326" s="114" t="s">
        <v>991</v>
      </c>
      <c r="E326" s="114" t="s">
        <v>929</v>
      </c>
      <c r="F326" s="114" t="s">
        <v>909</v>
      </c>
      <c r="G326" s="114"/>
      <c r="H326" s="114"/>
      <c r="I326" s="114"/>
      <c r="J326" s="114"/>
      <c r="K326" s="114"/>
      <c r="L326" s="114"/>
      <c r="M326" s="114"/>
      <c r="N326" s="114">
        <v>9</v>
      </c>
      <c r="O326" s="180">
        <v>1</v>
      </c>
      <c r="P326" s="180">
        <v>65500</v>
      </c>
      <c r="Q326" s="180">
        <v>2500</v>
      </c>
      <c r="R326" s="180"/>
      <c r="S326" s="180" t="s">
        <v>1047</v>
      </c>
      <c r="T326" s="181" t="s">
        <v>518</v>
      </c>
      <c r="U326" s="179" t="s">
        <v>2405</v>
      </c>
      <c r="V326" s="179" t="s">
        <v>2406</v>
      </c>
      <c r="W326" s="114" t="s">
        <v>2407</v>
      </c>
      <c r="X326" s="180">
        <v>16</v>
      </c>
      <c r="Y326" s="182" t="s">
        <v>1503</v>
      </c>
      <c r="Z326" s="183"/>
      <c r="AA326" s="184"/>
      <c r="AB326" s="182"/>
      <c r="AC326" s="114">
        <v>4</v>
      </c>
      <c r="AD326" s="172" t="s">
        <v>887</v>
      </c>
      <c r="AE326" s="114"/>
      <c r="AF326" s="114"/>
      <c r="AG326" s="114"/>
      <c r="AH326" s="106"/>
      <c r="AI326" s="114"/>
      <c r="AJ326" s="106"/>
      <c r="AK326" s="114"/>
      <c r="AL326" s="106"/>
      <c r="AM326" s="114"/>
      <c r="AN326" s="106"/>
      <c r="AO326" s="114"/>
      <c r="AP326" s="106"/>
      <c r="AQ326" s="114"/>
      <c r="AR326" s="106" t="s">
        <v>915</v>
      </c>
      <c r="AS326" s="114"/>
      <c r="AT326" s="106"/>
      <c r="AU326" s="114"/>
      <c r="AV326" s="106"/>
      <c r="AW326" s="114"/>
      <c r="AX326" s="157"/>
      <c r="AY326" s="157"/>
      <c r="AZ326" s="157"/>
      <c r="BA326" s="157"/>
      <c r="BB326" s="157"/>
      <c r="BC326" s="157"/>
    </row>
    <row r="327" spans="1:55" x14ac:dyDescent="0.3">
      <c r="A327" s="114">
        <f t="shared" si="8"/>
        <v>323</v>
      </c>
      <c r="B327" s="179" t="s">
        <v>2408</v>
      </c>
      <c r="C327" s="114">
        <v>0</v>
      </c>
      <c r="D327" s="114" t="s">
        <v>991</v>
      </c>
      <c r="E327" s="114" t="s">
        <v>929</v>
      </c>
      <c r="F327" s="114" t="s">
        <v>909</v>
      </c>
      <c r="G327" s="114"/>
      <c r="H327" s="114"/>
      <c r="I327" s="114"/>
      <c r="J327" s="114"/>
      <c r="K327" s="114"/>
      <c r="L327" s="114"/>
      <c r="M327" s="114"/>
      <c r="N327" s="114">
        <v>9</v>
      </c>
      <c r="O327" s="180">
        <v>1</v>
      </c>
      <c r="P327" s="180">
        <v>65500</v>
      </c>
      <c r="Q327" s="180">
        <v>3000</v>
      </c>
      <c r="R327" s="180"/>
      <c r="S327" s="180" t="s">
        <v>1047</v>
      </c>
      <c r="T327" s="181" t="s">
        <v>520</v>
      </c>
      <c r="U327" s="179" t="s">
        <v>2409</v>
      </c>
      <c r="V327" s="179" t="s">
        <v>2410</v>
      </c>
      <c r="W327" s="114" t="s">
        <v>2411</v>
      </c>
      <c r="X327" s="180">
        <v>16</v>
      </c>
      <c r="Y327" s="182" t="s">
        <v>1503</v>
      </c>
      <c r="Z327" s="183"/>
      <c r="AA327" s="184"/>
      <c r="AB327" s="182"/>
      <c r="AC327" s="114">
        <v>4</v>
      </c>
      <c r="AD327" s="172" t="s">
        <v>887</v>
      </c>
      <c r="AE327" s="114"/>
      <c r="AF327" s="114"/>
      <c r="AG327" s="114"/>
      <c r="AH327" s="106"/>
      <c r="AI327" s="114"/>
      <c r="AJ327" s="106"/>
      <c r="AK327" s="114"/>
      <c r="AL327" s="106"/>
      <c r="AM327" s="114"/>
      <c r="AN327" s="106"/>
      <c r="AO327" s="114"/>
      <c r="AP327" s="106"/>
      <c r="AQ327" s="114"/>
      <c r="AR327" s="106" t="s">
        <v>915</v>
      </c>
      <c r="AS327" s="114"/>
      <c r="AT327" s="106"/>
      <c r="AU327" s="114"/>
      <c r="AV327" s="106"/>
      <c r="AW327" s="114"/>
      <c r="AX327" s="157"/>
      <c r="AY327" s="157"/>
      <c r="AZ327" s="157"/>
      <c r="BA327" s="157"/>
      <c r="BB327" s="157"/>
      <c r="BC327" s="157"/>
    </row>
    <row r="328" spans="1:55" x14ac:dyDescent="0.3">
      <c r="A328" s="114">
        <f t="shared" si="8"/>
        <v>324</v>
      </c>
      <c r="B328" s="179" t="s">
        <v>2412</v>
      </c>
      <c r="C328" s="114">
        <v>0</v>
      </c>
      <c r="D328" s="114" t="s">
        <v>991</v>
      </c>
      <c r="E328" s="114" t="s">
        <v>929</v>
      </c>
      <c r="F328" s="114" t="s">
        <v>909</v>
      </c>
      <c r="G328" s="114"/>
      <c r="H328" s="114"/>
      <c r="I328" s="114"/>
      <c r="J328" s="114"/>
      <c r="K328" s="114"/>
      <c r="L328" s="114"/>
      <c r="M328" s="114"/>
      <c r="N328" s="114">
        <v>9</v>
      </c>
      <c r="O328" s="180">
        <v>1</v>
      </c>
      <c r="P328" s="180">
        <v>65500</v>
      </c>
      <c r="Q328" s="180">
        <v>5000</v>
      </c>
      <c r="R328" s="180"/>
      <c r="S328" s="180" t="s">
        <v>1047</v>
      </c>
      <c r="T328" s="181" t="s">
        <v>522</v>
      </c>
      <c r="U328" s="179" t="s">
        <v>2413</v>
      </c>
      <c r="V328" s="179" t="s">
        <v>2414</v>
      </c>
      <c r="W328" s="114" t="s">
        <v>2415</v>
      </c>
      <c r="X328" s="180">
        <v>16</v>
      </c>
      <c r="Y328" s="182" t="s">
        <v>1503</v>
      </c>
      <c r="Z328" s="183"/>
      <c r="AA328" s="184"/>
      <c r="AB328" s="182"/>
      <c r="AC328" s="114">
        <v>4</v>
      </c>
      <c r="AD328" s="172" t="s">
        <v>887</v>
      </c>
      <c r="AE328" s="114"/>
      <c r="AF328" s="114"/>
      <c r="AG328" s="114"/>
      <c r="AH328" s="106"/>
      <c r="AI328" s="114"/>
      <c r="AJ328" s="106"/>
      <c r="AK328" s="114"/>
      <c r="AL328" s="106"/>
      <c r="AM328" s="114"/>
      <c r="AN328" s="106"/>
      <c r="AO328" s="114"/>
      <c r="AP328" s="106"/>
      <c r="AQ328" s="114"/>
      <c r="AR328" s="106" t="s">
        <v>915</v>
      </c>
      <c r="AS328" s="114"/>
      <c r="AT328" s="106"/>
      <c r="AU328" s="114"/>
      <c r="AV328" s="106"/>
      <c r="AW328" s="114"/>
      <c r="AX328" s="157"/>
      <c r="AY328" s="157"/>
      <c r="AZ328" s="157"/>
      <c r="BA328" s="157"/>
      <c r="BB328" s="157"/>
      <c r="BC328" s="157"/>
    </row>
    <row r="329" spans="1:55" x14ac:dyDescent="0.3">
      <c r="A329" s="114">
        <f t="shared" si="8"/>
        <v>325</v>
      </c>
      <c r="B329" s="179" t="s">
        <v>2416</v>
      </c>
      <c r="C329" s="114">
        <v>0</v>
      </c>
      <c r="D329" s="114" t="s">
        <v>991</v>
      </c>
      <c r="E329" s="114" t="s">
        <v>929</v>
      </c>
      <c r="F329" s="114" t="s">
        <v>909</v>
      </c>
      <c r="G329" s="114"/>
      <c r="H329" s="114"/>
      <c r="I329" s="114"/>
      <c r="J329" s="114"/>
      <c r="K329" s="114"/>
      <c r="L329" s="114"/>
      <c r="M329" s="114"/>
      <c r="N329" s="114">
        <v>9</v>
      </c>
      <c r="O329" s="180">
        <v>1</v>
      </c>
      <c r="P329" s="180">
        <v>65500</v>
      </c>
      <c r="Q329" s="180">
        <v>8000</v>
      </c>
      <c r="R329" s="180"/>
      <c r="S329" s="180" t="s">
        <v>1047</v>
      </c>
      <c r="T329" s="181" t="s">
        <v>524</v>
      </c>
      <c r="U329" s="179" t="s">
        <v>2417</v>
      </c>
      <c r="V329" s="179" t="s">
        <v>2418</v>
      </c>
      <c r="W329" s="114" t="s">
        <v>2419</v>
      </c>
      <c r="X329" s="180">
        <v>16</v>
      </c>
      <c r="Y329" s="182" t="s">
        <v>1503</v>
      </c>
      <c r="Z329" s="183"/>
      <c r="AA329" s="184"/>
      <c r="AB329" s="182"/>
      <c r="AC329" s="114">
        <v>4</v>
      </c>
      <c r="AD329" s="172" t="s">
        <v>887</v>
      </c>
      <c r="AE329" s="114"/>
      <c r="AF329" s="114"/>
      <c r="AG329" s="114"/>
      <c r="AH329" s="106"/>
      <c r="AI329" s="114"/>
      <c r="AJ329" s="106"/>
      <c r="AK329" s="114"/>
      <c r="AL329" s="106"/>
      <c r="AM329" s="114"/>
      <c r="AN329" s="106"/>
      <c r="AO329" s="114"/>
      <c r="AP329" s="106"/>
      <c r="AQ329" s="114"/>
      <c r="AR329" s="106" t="s">
        <v>915</v>
      </c>
      <c r="AS329" s="114"/>
      <c r="AT329" s="106"/>
      <c r="AU329" s="114"/>
      <c r="AV329" s="106"/>
      <c r="AW329" s="114"/>
      <c r="AX329" s="157"/>
      <c r="AY329" s="157"/>
      <c r="AZ329" s="157"/>
      <c r="BA329" s="157"/>
      <c r="BB329" s="157"/>
      <c r="BC329" s="157"/>
    </row>
    <row r="330" spans="1:55" ht="26.4" x14ac:dyDescent="0.3">
      <c r="A330" s="114">
        <f t="shared" si="8"/>
        <v>326</v>
      </c>
      <c r="B330" s="179" t="s">
        <v>2420</v>
      </c>
      <c r="C330" s="114">
        <v>0</v>
      </c>
      <c r="D330" s="114" t="s">
        <v>991</v>
      </c>
      <c r="E330" s="114" t="s">
        <v>929</v>
      </c>
      <c r="F330" s="114" t="s">
        <v>909</v>
      </c>
      <c r="G330" s="114"/>
      <c r="H330" s="114"/>
      <c r="I330" s="114"/>
      <c r="J330" s="114"/>
      <c r="K330" s="114"/>
      <c r="L330" s="114"/>
      <c r="M330" s="114"/>
      <c r="N330" s="114">
        <v>9</v>
      </c>
      <c r="O330" s="180">
        <v>1</v>
      </c>
      <c r="P330" s="180">
        <v>1500</v>
      </c>
      <c r="Q330" s="180">
        <v>50</v>
      </c>
      <c r="R330" s="180"/>
      <c r="S330" s="180" t="s">
        <v>1047</v>
      </c>
      <c r="T330" s="181" t="s">
        <v>526</v>
      </c>
      <c r="U330" s="179" t="s">
        <v>2421</v>
      </c>
      <c r="V330" s="179" t="s">
        <v>2422</v>
      </c>
      <c r="W330" s="114" t="s">
        <v>2423</v>
      </c>
      <c r="X330" s="180">
        <v>16</v>
      </c>
      <c r="Y330" s="182" t="s">
        <v>1503</v>
      </c>
      <c r="Z330" s="183" t="s">
        <v>2424</v>
      </c>
      <c r="AA330" s="184"/>
      <c r="AB330" s="182"/>
      <c r="AC330" s="114">
        <v>4</v>
      </c>
      <c r="AD330" s="172" t="s">
        <v>887</v>
      </c>
      <c r="AE330" s="114"/>
      <c r="AF330" s="114"/>
      <c r="AG330" s="114"/>
      <c r="AH330" s="106"/>
      <c r="AI330" s="114"/>
      <c r="AJ330" s="106"/>
      <c r="AK330" s="114"/>
      <c r="AL330" s="106"/>
      <c r="AM330" s="114"/>
      <c r="AN330" s="106"/>
      <c r="AO330" s="114"/>
      <c r="AP330" s="106"/>
      <c r="AQ330" s="114"/>
      <c r="AR330" s="106" t="s">
        <v>915</v>
      </c>
      <c r="AS330" s="114"/>
      <c r="AT330" s="106"/>
      <c r="AU330" s="114"/>
      <c r="AV330" s="106"/>
      <c r="AW330" s="114"/>
      <c r="AX330" s="157"/>
      <c r="AY330" s="157"/>
      <c r="AZ330" s="157"/>
      <c r="BA330" s="157"/>
      <c r="BB330" s="157"/>
      <c r="BC330" s="157"/>
    </row>
    <row r="331" spans="1:55" ht="26.4" x14ac:dyDescent="0.3">
      <c r="A331" s="114">
        <f t="shared" si="8"/>
        <v>327</v>
      </c>
      <c r="B331" s="179" t="s">
        <v>2425</v>
      </c>
      <c r="C331" s="114">
        <v>0</v>
      </c>
      <c r="D331" s="114" t="s">
        <v>991</v>
      </c>
      <c r="E331" s="114" t="s">
        <v>929</v>
      </c>
      <c r="F331" s="114" t="s">
        <v>909</v>
      </c>
      <c r="G331" s="114"/>
      <c r="H331" s="114"/>
      <c r="I331" s="114"/>
      <c r="J331" s="114"/>
      <c r="K331" s="114"/>
      <c r="L331" s="114"/>
      <c r="M331" s="114"/>
      <c r="N331" s="114">
        <v>9</v>
      </c>
      <c r="O331" s="180">
        <v>1</v>
      </c>
      <c r="P331" s="180">
        <v>1200</v>
      </c>
      <c r="Q331" s="180">
        <v>30</v>
      </c>
      <c r="R331" s="180"/>
      <c r="S331" s="180" t="s">
        <v>1047</v>
      </c>
      <c r="T331" s="181" t="s">
        <v>528</v>
      </c>
      <c r="U331" s="179" t="s">
        <v>2426</v>
      </c>
      <c r="V331" s="179" t="s">
        <v>2427</v>
      </c>
      <c r="W331" s="114" t="s">
        <v>2428</v>
      </c>
      <c r="X331" s="180">
        <v>16</v>
      </c>
      <c r="Y331" s="182" t="s">
        <v>1503</v>
      </c>
      <c r="Z331" s="183" t="s">
        <v>2429</v>
      </c>
      <c r="AA331" s="184"/>
      <c r="AB331" s="182"/>
      <c r="AC331" s="114">
        <v>4</v>
      </c>
      <c r="AD331" s="172" t="s">
        <v>887</v>
      </c>
      <c r="AE331" s="114"/>
      <c r="AF331" s="114"/>
      <c r="AG331" s="114"/>
      <c r="AH331" s="106"/>
      <c r="AI331" s="114"/>
      <c r="AJ331" s="106"/>
      <c r="AK331" s="114"/>
      <c r="AL331" s="106"/>
      <c r="AM331" s="114"/>
      <c r="AN331" s="106"/>
      <c r="AO331" s="114"/>
      <c r="AP331" s="106"/>
      <c r="AQ331" s="114"/>
      <c r="AR331" s="106" t="s">
        <v>915</v>
      </c>
      <c r="AS331" s="114"/>
      <c r="AT331" s="106"/>
      <c r="AU331" s="114"/>
      <c r="AV331" s="106"/>
      <c r="AW331" s="114"/>
      <c r="AX331" s="157"/>
      <c r="AY331" s="157"/>
      <c r="AZ331" s="157"/>
      <c r="BA331" s="157"/>
      <c r="BB331" s="157"/>
      <c r="BC331" s="157"/>
    </row>
    <row r="332" spans="1:55" ht="39.6" x14ac:dyDescent="0.3">
      <c r="A332" s="114">
        <f t="shared" si="8"/>
        <v>328</v>
      </c>
      <c r="B332" s="179" t="s">
        <v>2430</v>
      </c>
      <c r="C332" s="114">
        <v>0</v>
      </c>
      <c r="D332" s="114" t="s">
        <v>991</v>
      </c>
      <c r="E332" s="114" t="s">
        <v>980</v>
      </c>
      <c r="F332" s="114" t="s">
        <v>909</v>
      </c>
      <c r="G332" s="114"/>
      <c r="H332" s="114"/>
      <c r="I332" s="114"/>
      <c r="J332" s="114"/>
      <c r="K332" s="114"/>
      <c r="L332" s="114"/>
      <c r="M332" s="114"/>
      <c r="N332" s="114">
        <v>9</v>
      </c>
      <c r="O332" s="180">
        <v>0</v>
      </c>
      <c r="P332" s="180">
        <v>799</v>
      </c>
      <c r="Q332" s="180">
        <v>0</v>
      </c>
      <c r="R332" s="180"/>
      <c r="S332" s="180"/>
      <c r="T332" s="181" t="s">
        <v>530</v>
      </c>
      <c r="U332" s="179" t="s">
        <v>2431</v>
      </c>
      <c r="V332" s="179" t="s">
        <v>2432</v>
      </c>
      <c r="W332" s="114" t="s">
        <v>2433</v>
      </c>
      <c r="X332" s="180">
        <v>16</v>
      </c>
      <c r="Y332" s="182" t="s">
        <v>913</v>
      </c>
      <c r="Z332" s="183" t="s">
        <v>2434</v>
      </c>
      <c r="AA332" s="184"/>
      <c r="AB332" s="182"/>
      <c r="AC332" s="114">
        <v>3</v>
      </c>
      <c r="AD332" s="172" t="s">
        <v>887</v>
      </c>
      <c r="AE332" s="114"/>
      <c r="AF332" s="114"/>
      <c r="AG332" s="114"/>
      <c r="AH332" s="106"/>
      <c r="AI332" s="114"/>
      <c r="AJ332" s="106"/>
      <c r="AK332" s="114"/>
      <c r="AL332" s="106"/>
      <c r="AM332" s="114"/>
      <c r="AN332" s="106"/>
      <c r="AO332" s="114"/>
      <c r="AP332" s="106"/>
      <c r="AQ332" s="114"/>
      <c r="AR332" s="106"/>
      <c r="AS332" s="114"/>
      <c r="AT332" s="106"/>
      <c r="AU332" s="114"/>
      <c r="AV332" s="106" t="s">
        <v>915</v>
      </c>
      <c r="AW332" s="114"/>
      <c r="AX332" s="157"/>
      <c r="AY332" s="157"/>
      <c r="AZ332" s="157"/>
      <c r="BA332" s="157"/>
      <c r="BB332" s="157"/>
      <c r="BC332" s="157"/>
    </row>
    <row r="333" spans="1:55" ht="26.4" x14ac:dyDescent="0.3">
      <c r="A333" s="114">
        <f t="shared" si="8"/>
        <v>329</v>
      </c>
      <c r="B333" s="179" t="s">
        <v>2435</v>
      </c>
      <c r="C333" s="114">
        <v>0</v>
      </c>
      <c r="D333" s="114" t="s">
        <v>991</v>
      </c>
      <c r="E333" s="114" t="s">
        <v>966</v>
      </c>
      <c r="F333" s="114" t="s">
        <v>909</v>
      </c>
      <c r="G333" s="114"/>
      <c r="H333" s="114"/>
      <c r="I333" s="114"/>
      <c r="J333" s="114" t="s">
        <v>871</v>
      </c>
      <c r="K333" s="114"/>
      <c r="L333" s="114"/>
      <c r="M333" s="114"/>
      <c r="N333" s="114">
        <v>9</v>
      </c>
      <c r="O333" s="180">
        <v>-2147483648</v>
      </c>
      <c r="P333" s="180">
        <v>2147483647</v>
      </c>
      <c r="Q333" s="112">
        <v>0</v>
      </c>
      <c r="R333" s="180"/>
      <c r="S333" s="180"/>
      <c r="T333" s="181" t="s">
        <v>532</v>
      </c>
      <c r="U333" s="179" t="s">
        <v>2436</v>
      </c>
      <c r="V333" s="179" t="s">
        <v>2437</v>
      </c>
      <c r="W333" s="114" t="s">
        <v>2438</v>
      </c>
      <c r="X333" s="180">
        <v>32</v>
      </c>
      <c r="Y333" s="182" t="s">
        <v>913</v>
      </c>
      <c r="Z333" s="183"/>
      <c r="AA333" s="184" t="s">
        <v>2439</v>
      </c>
      <c r="AB333" s="182"/>
      <c r="AC333" s="114">
        <v>3</v>
      </c>
      <c r="AD333" s="172" t="s">
        <v>887</v>
      </c>
      <c r="AE333" s="114"/>
      <c r="AF333" s="114"/>
      <c r="AG333" s="114"/>
      <c r="AH333" s="106"/>
      <c r="AI333" s="114"/>
      <c r="AJ333" s="106"/>
      <c r="AK333" s="114"/>
      <c r="AL333" s="106"/>
      <c r="AM333" s="114"/>
      <c r="AN333" s="106"/>
      <c r="AO333" s="114"/>
      <c r="AP333" s="106"/>
      <c r="AQ333" s="114"/>
      <c r="AR333" s="106"/>
      <c r="AS333" s="114"/>
      <c r="AT333" s="106"/>
      <c r="AU333" s="114"/>
      <c r="AV333" s="106" t="s">
        <v>915</v>
      </c>
      <c r="AW333" s="114"/>
      <c r="AX333" s="157"/>
      <c r="AY333" s="157"/>
      <c r="AZ333" s="157"/>
      <c r="BA333" s="157"/>
      <c r="BB333" s="157"/>
      <c r="BC333" s="157"/>
    </row>
    <row r="334" spans="1:55" ht="92.4" x14ac:dyDescent="0.3">
      <c r="A334" s="114">
        <f t="shared" si="8"/>
        <v>330</v>
      </c>
      <c r="B334" s="179" t="s">
        <v>2440</v>
      </c>
      <c r="C334" s="114">
        <v>0</v>
      </c>
      <c r="D334" s="114" t="s">
        <v>991</v>
      </c>
      <c r="E334" s="114" t="s">
        <v>980</v>
      </c>
      <c r="F334" s="114" t="s">
        <v>909</v>
      </c>
      <c r="G334" s="114"/>
      <c r="H334" s="114"/>
      <c r="I334" s="114"/>
      <c r="J334" s="114" t="s">
        <v>871</v>
      </c>
      <c r="K334" s="114"/>
      <c r="L334" s="114"/>
      <c r="M334" s="114"/>
      <c r="N334" s="114">
        <v>9</v>
      </c>
      <c r="O334" s="180">
        <v>0</v>
      </c>
      <c r="P334" s="180">
        <v>800</v>
      </c>
      <c r="Q334" s="180">
        <v>1</v>
      </c>
      <c r="R334" s="180"/>
      <c r="S334" s="180"/>
      <c r="T334" s="181" t="s">
        <v>534</v>
      </c>
      <c r="U334" s="179" t="s">
        <v>2441</v>
      </c>
      <c r="V334" s="179" t="s">
        <v>2442</v>
      </c>
      <c r="W334" s="114" t="s">
        <v>2443</v>
      </c>
      <c r="X334" s="180">
        <v>16</v>
      </c>
      <c r="Y334" s="182" t="s">
        <v>913</v>
      </c>
      <c r="Z334" s="183" t="s">
        <v>2444</v>
      </c>
      <c r="AA334" s="184"/>
      <c r="AB334" s="182"/>
      <c r="AC334" s="114">
        <v>3</v>
      </c>
      <c r="AD334" s="172" t="s">
        <v>887</v>
      </c>
      <c r="AE334" s="114"/>
      <c r="AF334" s="114"/>
      <c r="AG334" s="114"/>
      <c r="AH334" s="106"/>
      <c r="AI334" s="114"/>
      <c r="AJ334" s="106"/>
      <c r="AK334" s="114"/>
      <c r="AL334" s="106"/>
      <c r="AM334" s="114"/>
      <c r="AN334" s="106"/>
      <c r="AO334" s="114"/>
      <c r="AP334" s="106"/>
      <c r="AQ334" s="114"/>
      <c r="AR334" s="106"/>
      <c r="AS334" s="114"/>
      <c r="AT334" s="106"/>
      <c r="AU334" s="114"/>
      <c r="AV334" s="106" t="s">
        <v>915</v>
      </c>
      <c r="AW334" s="114"/>
      <c r="AX334" s="157"/>
      <c r="AY334" s="157"/>
      <c r="AZ334" s="157"/>
      <c r="BA334" s="157"/>
      <c r="BB334" s="157"/>
      <c r="BC334" s="157"/>
    </row>
    <row r="335" spans="1:55" x14ac:dyDescent="0.3">
      <c r="A335" s="114">
        <f t="shared" si="8"/>
        <v>331</v>
      </c>
      <c r="B335" s="179" t="s">
        <v>2445</v>
      </c>
      <c r="C335" s="114">
        <v>0</v>
      </c>
      <c r="D335" s="114" t="s">
        <v>991</v>
      </c>
      <c r="E335" s="122" t="s">
        <v>944</v>
      </c>
      <c r="F335" s="114" t="s">
        <v>909</v>
      </c>
      <c r="G335" s="114"/>
      <c r="H335" s="114"/>
      <c r="I335" s="114"/>
      <c r="J335" s="114" t="s">
        <v>871</v>
      </c>
      <c r="K335" s="114"/>
      <c r="L335" s="114"/>
      <c r="M335" s="191" t="s">
        <v>874</v>
      </c>
      <c r="N335" s="114">
        <v>9</v>
      </c>
      <c r="O335" s="107" t="s">
        <v>2446</v>
      </c>
      <c r="P335" s="107" t="s">
        <v>2447</v>
      </c>
      <c r="Q335" s="107" t="s">
        <v>2448</v>
      </c>
      <c r="R335" s="180"/>
      <c r="S335" s="180"/>
      <c r="T335" s="181" t="s">
        <v>536</v>
      </c>
      <c r="U335" s="179" t="s">
        <v>2449</v>
      </c>
      <c r="V335" s="179" t="s">
        <v>2450</v>
      </c>
      <c r="W335" s="114" t="s">
        <v>2451</v>
      </c>
      <c r="X335" s="180">
        <v>16</v>
      </c>
      <c r="Y335" s="182" t="s">
        <v>913</v>
      </c>
      <c r="Z335" s="183"/>
      <c r="AA335" s="184"/>
      <c r="AB335" s="182"/>
      <c r="AC335" s="114">
        <v>3</v>
      </c>
      <c r="AD335" s="172" t="s">
        <v>887</v>
      </c>
      <c r="AE335" s="114"/>
      <c r="AF335" s="114"/>
      <c r="AG335" s="114"/>
      <c r="AH335" s="106"/>
      <c r="AI335" s="114"/>
      <c r="AJ335" s="106"/>
      <c r="AK335" s="114"/>
      <c r="AL335" s="106"/>
      <c r="AM335" s="114"/>
      <c r="AN335" s="106"/>
      <c r="AO335" s="114"/>
      <c r="AP335" s="106"/>
      <c r="AQ335" s="114"/>
      <c r="AR335" s="106"/>
      <c r="AS335" s="114"/>
      <c r="AT335" s="106"/>
      <c r="AU335" s="114"/>
      <c r="AV335" s="106" t="s">
        <v>915</v>
      </c>
      <c r="AW335" s="114"/>
      <c r="AX335" s="157"/>
      <c r="AY335" s="157"/>
      <c r="AZ335" s="157"/>
      <c r="BA335" s="157"/>
      <c r="BB335" s="157"/>
      <c r="BC335" s="157"/>
    </row>
    <row r="336" spans="1:55" x14ac:dyDescent="0.3">
      <c r="A336" s="114">
        <f t="shared" si="8"/>
        <v>332</v>
      </c>
      <c r="B336" s="179" t="s">
        <v>2452</v>
      </c>
      <c r="C336" s="114">
        <v>0</v>
      </c>
      <c r="D336" s="114" t="s">
        <v>991</v>
      </c>
      <c r="E336" s="114" t="s">
        <v>929</v>
      </c>
      <c r="F336" s="114" t="s">
        <v>909</v>
      </c>
      <c r="G336" s="114"/>
      <c r="H336" s="114"/>
      <c r="I336" s="114"/>
      <c r="J336" s="114"/>
      <c r="K336" s="114"/>
      <c r="L336" s="114"/>
      <c r="M336" s="114"/>
      <c r="N336" s="114">
        <v>9</v>
      </c>
      <c r="O336" s="180">
        <v>0</v>
      </c>
      <c r="P336" s="180">
        <v>32767</v>
      </c>
      <c r="Q336" s="180">
        <v>0</v>
      </c>
      <c r="R336" s="180"/>
      <c r="S336" s="180" t="s">
        <v>1047</v>
      </c>
      <c r="T336" s="181" t="s">
        <v>538</v>
      </c>
      <c r="U336" s="179" t="s">
        <v>2453</v>
      </c>
      <c r="V336" s="179" t="s">
        <v>2454</v>
      </c>
      <c r="W336" s="114" t="s">
        <v>2455</v>
      </c>
      <c r="X336" s="180">
        <v>16</v>
      </c>
      <c r="Y336" s="182" t="s">
        <v>1503</v>
      </c>
      <c r="Z336" s="183"/>
      <c r="AA336" s="184"/>
      <c r="AB336" s="182"/>
      <c r="AC336" s="114">
        <v>4</v>
      </c>
      <c r="AD336" s="172" t="s">
        <v>887</v>
      </c>
      <c r="AE336" s="114"/>
      <c r="AF336" s="114"/>
      <c r="AG336" s="114"/>
      <c r="AH336" s="106"/>
      <c r="AI336" s="114"/>
      <c r="AJ336" s="106"/>
      <c r="AK336" s="114"/>
      <c r="AL336" s="106"/>
      <c r="AM336" s="114"/>
      <c r="AN336" s="106"/>
      <c r="AO336" s="114"/>
      <c r="AP336" s="106"/>
      <c r="AQ336" s="114"/>
      <c r="AR336" s="106" t="s">
        <v>915</v>
      </c>
      <c r="AS336" s="114"/>
      <c r="AT336" s="106"/>
      <c r="AU336" s="114"/>
      <c r="AV336" s="106"/>
      <c r="AW336" s="114"/>
      <c r="AX336" s="157"/>
      <c r="AY336" s="157"/>
      <c r="AZ336" s="157"/>
      <c r="BA336" s="157"/>
      <c r="BB336" s="157"/>
      <c r="BC336" s="157"/>
    </row>
    <row r="337" spans="1:55" x14ac:dyDescent="0.3">
      <c r="A337" s="114">
        <f t="shared" si="8"/>
        <v>333</v>
      </c>
      <c r="B337" s="179" t="s">
        <v>2456</v>
      </c>
      <c r="C337" s="114">
        <v>0</v>
      </c>
      <c r="D337" s="114" t="s">
        <v>991</v>
      </c>
      <c r="E337" s="114" t="s">
        <v>929</v>
      </c>
      <c r="F337" s="114" t="s">
        <v>909</v>
      </c>
      <c r="G337" s="114"/>
      <c r="H337" s="114"/>
      <c r="I337" s="114"/>
      <c r="J337" s="114"/>
      <c r="K337" s="114"/>
      <c r="L337" s="114"/>
      <c r="M337" s="114"/>
      <c r="N337" s="114">
        <v>9</v>
      </c>
      <c r="O337" s="180">
        <v>0</v>
      </c>
      <c r="P337" s="180">
        <v>32767</v>
      </c>
      <c r="Q337" s="180">
        <v>100</v>
      </c>
      <c r="R337" s="180"/>
      <c r="S337" s="180" t="s">
        <v>1047</v>
      </c>
      <c r="T337" s="181" t="s">
        <v>540</v>
      </c>
      <c r="U337" s="179" t="s">
        <v>2457</v>
      </c>
      <c r="V337" s="179" t="s">
        <v>2458</v>
      </c>
      <c r="W337" s="114" t="s">
        <v>2459</v>
      </c>
      <c r="X337" s="180">
        <v>16</v>
      </c>
      <c r="Y337" s="182" t="s">
        <v>1503</v>
      </c>
      <c r="Z337" s="183"/>
      <c r="AA337" s="184"/>
      <c r="AB337" s="182"/>
      <c r="AC337" s="114">
        <v>4</v>
      </c>
      <c r="AD337" s="172" t="s">
        <v>887</v>
      </c>
      <c r="AE337" s="114"/>
      <c r="AF337" s="114"/>
      <c r="AG337" s="114"/>
      <c r="AH337" s="106"/>
      <c r="AI337" s="114"/>
      <c r="AJ337" s="106"/>
      <c r="AK337" s="114"/>
      <c r="AL337" s="106"/>
      <c r="AM337" s="114"/>
      <c r="AN337" s="106"/>
      <c r="AO337" s="114"/>
      <c r="AP337" s="106"/>
      <c r="AQ337" s="114"/>
      <c r="AR337" s="106" t="s">
        <v>915</v>
      </c>
      <c r="AS337" s="114"/>
      <c r="AT337" s="106"/>
      <c r="AU337" s="114"/>
      <c r="AV337" s="106"/>
      <c r="AW337" s="114"/>
      <c r="AX337" s="157"/>
      <c r="AY337" s="157"/>
      <c r="AZ337" s="157"/>
      <c r="BA337" s="157"/>
      <c r="BB337" s="157"/>
      <c r="BC337" s="157"/>
    </row>
    <row r="338" spans="1:55" x14ac:dyDescent="0.3">
      <c r="A338" s="114">
        <f t="shared" si="8"/>
        <v>334</v>
      </c>
      <c r="B338" s="179" t="s">
        <v>2460</v>
      </c>
      <c r="C338" s="114">
        <v>0</v>
      </c>
      <c r="D338" s="114" t="s">
        <v>991</v>
      </c>
      <c r="E338" s="114" t="s">
        <v>929</v>
      </c>
      <c r="F338" s="114" t="s">
        <v>909</v>
      </c>
      <c r="G338" s="114"/>
      <c r="H338" s="114"/>
      <c r="I338" s="114"/>
      <c r="J338" s="114"/>
      <c r="K338" s="114"/>
      <c r="L338" s="114"/>
      <c r="M338" s="114"/>
      <c r="N338" s="114">
        <v>9</v>
      </c>
      <c r="O338" s="180">
        <v>0</v>
      </c>
      <c r="P338" s="180">
        <v>32767</v>
      </c>
      <c r="Q338" s="180">
        <v>200</v>
      </c>
      <c r="R338" s="180"/>
      <c r="S338" s="180" t="s">
        <v>1047</v>
      </c>
      <c r="T338" s="181" t="s">
        <v>542</v>
      </c>
      <c r="U338" s="179" t="s">
        <v>2461</v>
      </c>
      <c r="V338" s="179" t="s">
        <v>2462</v>
      </c>
      <c r="W338" s="114" t="s">
        <v>2463</v>
      </c>
      <c r="X338" s="180">
        <v>16</v>
      </c>
      <c r="Y338" s="182" t="s">
        <v>1503</v>
      </c>
      <c r="Z338" s="183"/>
      <c r="AA338" s="184"/>
      <c r="AB338" s="182"/>
      <c r="AC338" s="114">
        <v>4</v>
      </c>
      <c r="AD338" s="172" t="s">
        <v>887</v>
      </c>
      <c r="AE338" s="114"/>
      <c r="AF338" s="114"/>
      <c r="AG338" s="114"/>
      <c r="AH338" s="106"/>
      <c r="AI338" s="114"/>
      <c r="AJ338" s="106"/>
      <c r="AK338" s="114"/>
      <c r="AL338" s="106"/>
      <c r="AM338" s="114"/>
      <c r="AN338" s="106"/>
      <c r="AO338" s="114"/>
      <c r="AP338" s="106"/>
      <c r="AQ338" s="114"/>
      <c r="AR338" s="106" t="s">
        <v>915</v>
      </c>
      <c r="AS338" s="114"/>
      <c r="AT338" s="106"/>
      <c r="AU338" s="114"/>
      <c r="AV338" s="106"/>
      <c r="AW338" s="114"/>
      <c r="AX338" s="157"/>
      <c r="AY338" s="157"/>
      <c r="AZ338" s="157"/>
      <c r="BA338" s="157"/>
      <c r="BB338" s="157"/>
      <c r="BC338" s="157"/>
    </row>
    <row r="339" spans="1:55" x14ac:dyDescent="0.3">
      <c r="A339" s="114">
        <f t="shared" si="8"/>
        <v>335</v>
      </c>
      <c r="B339" s="179" t="s">
        <v>2464</v>
      </c>
      <c r="C339" s="114">
        <v>0</v>
      </c>
      <c r="D339" s="114" t="s">
        <v>991</v>
      </c>
      <c r="E339" s="114" t="s">
        <v>929</v>
      </c>
      <c r="F339" s="114" t="s">
        <v>909</v>
      </c>
      <c r="G339" s="114"/>
      <c r="H339" s="114"/>
      <c r="I339" s="114"/>
      <c r="J339" s="114"/>
      <c r="K339" s="114"/>
      <c r="L339" s="114"/>
      <c r="M339" s="114"/>
      <c r="N339" s="114">
        <v>9</v>
      </c>
      <c r="O339" s="180">
        <v>0</v>
      </c>
      <c r="P339" s="180">
        <v>32767</v>
      </c>
      <c r="Q339" s="180">
        <v>400</v>
      </c>
      <c r="R339" s="180"/>
      <c r="S339" s="180" t="s">
        <v>1047</v>
      </c>
      <c r="T339" s="181" t="s">
        <v>544</v>
      </c>
      <c r="U339" s="179" t="s">
        <v>2465</v>
      </c>
      <c r="V339" s="179" t="s">
        <v>2466</v>
      </c>
      <c r="W339" s="114" t="s">
        <v>2467</v>
      </c>
      <c r="X339" s="180">
        <v>16</v>
      </c>
      <c r="Y339" s="182" t="s">
        <v>1503</v>
      </c>
      <c r="Z339" s="183"/>
      <c r="AA339" s="184"/>
      <c r="AB339" s="182"/>
      <c r="AC339" s="114">
        <v>4</v>
      </c>
      <c r="AD339" s="172" t="s">
        <v>887</v>
      </c>
      <c r="AE339" s="114"/>
      <c r="AF339" s="114"/>
      <c r="AG339" s="114"/>
      <c r="AH339" s="106"/>
      <c r="AI339" s="114"/>
      <c r="AJ339" s="106"/>
      <c r="AK339" s="114"/>
      <c r="AL339" s="106"/>
      <c r="AM339" s="114"/>
      <c r="AN339" s="106"/>
      <c r="AO339" s="114"/>
      <c r="AP339" s="106"/>
      <c r="AQ339" s="114"/>
      <c r="AR339" s="106" t="s">
        <v>915</v>
      </c>
      <c r="AS339" s="114"/>
      <c r="AT339" s="106"/>
      <c r="AU339" s="114"/>
      <c r="AV339" s="106"/>
      <c r="AW339" s="114"/>
      <c r="AX339" s="157"/>
      <c r="AY339" s="157"/>
      <c r="AZ339" s="157"/>
      <c r="BA339" s="157"/>
      <c r="BB339" s="157"/>
      <c r="BC339" s="157"/>
    </row>
    <row r="340" spans="1:55" x14ac:dyDescent="0.3">
      <c r="A340" s="114">
        <f t="shared" si="8"/>
        <v>336</v>
      </c>
      <c r="B340" s="179" t="s">
        <v>2468</v>
      </c>
      <c r="C340" s="114">
        <v>0</v>
      </c>
      <c r="D340" s="114" t="s">
        <v>991</v>
      </c>
      <c r="E340" s="114" t="s">
        <v>929</v>
      </c>
      <c r="F340" s="114" t="s">
        <v>909</v>
      </c>
      <c r="G340" s="114"/>
      <c r="H340" s="114"/>
      <c r="I340" s="114"/>
      <c r="J340" s="114"/>
      <c r="K340" s="114"/>
      <c r="L340" s="114"/>
      <c r="M340" s="114"/>
      <c r="N340" s="114">
        <v>9</v>
      </c>
      <c r="O340" s="180">
        <v>0</v>
      </c>
      <c r="P340" s="180">
        <v>32767</v>
      </c>
      <c r="Q340" s="180">
        <v>500</v>
      </c>
      <c r="R340" s="180"/>
      <c r="S340" s="180" t="s">
        <v>1047</v>
      </c>
      <c r="T340" s="181" t="s">
        <v>546</v>
      </c>
      <c r="U340" s="179" t="s">
        <v>2469</v>
      </c>
      <c r="V340" s="179" t="s">
        <v>2470</v>
      </c>
      <c r="W340" s="114" t="s">
        <v>2471</v>
      </c>
      <c r="X340" s="180">
        <v>16</v>
      </c>
      <c r="Y340" s="182" t="s">
        <v>1503</v>
      </c>
      <c r="Z340" s="183"/>
      <c r="AA340" s="184"/>
      <c r="AB340" s="182"/>
      <c r="AC340" s="114">
        <v>4</v>
      </c>
      <c r="AD340" s="172" t="s">
        <v>887</v>
      </c>
      <c r="AE340" s="114"/>
      <c r="AF340" s="114"/>
      <c r="AG340" s="114"/>
      <c r="AH340" s="106"/>
      <c r="AI340" s="114"/>
      <c r="AJ340" s="106"/>
      <c r="AK340" s="114"/>
      <c r="AL340" s="106"/>
      <c r="AM340" s="114"/>
      <c r="AN340" s="106"/>
      <c r="AO340" s="114"/>
      <c r="AP340" s="106"/>
      <c r="AQ340" s="114"/>
      <c r="AR340" s="106" t="s">
        <v>915</v>
      </c>
      <c r="AS340" s="114"/>
      <c r="AT340" s="106"/>
      <c r="AU340" s="114"/>
      <c r="AV340" s="106"/>
      <c r="AW340" s="114"/>
      <c r="AX340" s="157"/>
      <c r="AY340" s="157"/>
      <c r="AZ340" s="157"/>
      <c r="BA340" s="157"/>
      <c r="BB340" s="157"/>
      <c r="BC340" s="157"/>
    </row>
    <row r="341" spans="1:55" x14ac:dyDescent="0.3">
      <c r="A341" s="114">
        <f t="shared" si="8"/>
        <v>337</v>
      </c>
      <c r="B341" s="179" t="s">
        <v>2472</v>
      </c>
      <c r="C341" s="114">
        <v>0</v>
      </c>
      <c r="D341" s="114" t="s">
        <v>991</v>
      </c>
      <c r="E341" s="114" t="s">
        <v>929</v>
      </c>
      <c r="F341" s="114" t="s">
        <v>909</v>
      </c>
      <c r="G341" s="114"/>
      <c r="H341" s="114"/>
      <c r="I341" s="114"/>
      <c r="J341" s="114"/>
      <c r="K341" s="114"/>
      <c r="L341" s="114"/>
      <c r="M341" s="114"/>
      <c r="N341" s="114">
        <v>9</v>
      </c>
      <c r="O341" s="180">
        <v>0</v>
      </c>
      <c r="P341" s="180">
        <v>32767</v>
      </c>
      <c r="Q341" s="180">
        <v>800</v>
      </c>
      <c r="R341" s="180"/>
      <c r="S341" s="180" t="s">
        <v>1047</v>
      </c>
      <c r="T341" s="181" t="s">
        <v>548</v>
      </c>
      <c r="U341" s="179" t="s">
        <v>2473</v>
      </c>
      <c r="V341" s="179" t="s">
        <v>2474</v>
      </c>
      <c r="W341" s="114" t="s">
        <v>2475</v>
      </c>
      <c r="X341" s="180">
        <v>16</v>
      </c>
      <c r="Y341" s="182" t="s">
        <v>1503</v>
      </c>
      <c r="Z341" s="183"/>
      <c r="AA341" s="184"/>
      <c r="AB341" s="182"/>
      <c r="AC341" s="114">
        <v>4</v>
      </c>
      <c r="AD341" s="172" t="s">
        <v>887</v>
      </c>
      <c r="AE341" s="114"/>
      <c r="AF341" s="114"/>
      <c r="AG341" s="114"/>
      <c r="AH341" s="106"/>
      <c r="AI341" s="114"/>
      <c r="AJ341" s="106"/>
      <c r="AK341" s="114"/>
      <c r="AL341" s="106"/>
      <c r="AM341" s="114"/>
      <c r="AN341" s="106"/>
      <c r="AO341" s="114"/>
      <c r="AP341" s="106"/>
      <c r="AQ341" s="114"/>
      <c r="AR341" s="106" t="s">
        <v>915</v>
      </c>
      <c r="AS341" s="114"/>
      <c r="AT341" s="106"/>
      <c r="AU341" s="114"/>
      <c r="AV341" s="106"/>
      <c r="AW341" s="114"/>
      <c r="AX341" s="157"/>
      <c r="AY341" s="157"/>
      <c r="AZ341" s="157"/>
      <c r="BA341" s="157"/>
      <c r="BB341" s="157"/>
      <c r="BC341" s="157"/>
    </row>
    <row r="342" spans="1:55" x14ac:dyDescent="0.3">
      <c r="A342" s="114">
        <f>A341+1</f>
        <v>338</v>
      </c>
      <c r="B342" s="179" t="s">
        <v>2476</v>
      </c>
      <c r="C342" s="114">
        <v>0</v>
      </c>
      <c r="D342" s="114" t="s">
        <v>991</v>
      </c>
      <c r="E342" s="114" t="s">
        <v>929</v>
      </c>
      <c r="F342" s="114" t="s">
        <v>909</v>
      </c>
      <c r="G342" s="114"/>
      <c r="H342" s="114"/>
      <c r="I342" s="114"/>
      <c r="J342" s="114"/>
      <c r="K342" s="114"/>
      <c r="L342" s="114"/>
      <c r="M342" s="114"/>
      <c r="N342" s="114">
        <v>9</v>
      </c>
      <c r="O342" s="180">
        <v>0</v>
      </c>
      <c r="P342" s="180">
        <v>32767</v>
      </c>
      <c r="Q342" s="180">
        <v>1000</v>
      </c>
      <c r="R342" s="180"/>
      <c r="S342" s="180" t="s">
        <v>1047</v>
      </c>
      <c r="T342" s="181" t="s">
        <v>550</v>
      </c>
      <c r="U342" s="179" t="s">
        <v>2477</v>
      </c>
      <c r="V342" s="179" t="s">
        <v>2478</v>
      </c>
      <c r="W342" s="114" t="s">
        <v>2479</v>
      </c>
      <c r="X342" s="180">
        <v>16</v>
      </c>
      <c r="Y342" s="182" t="s">
        <v>1503</v>
      </c>
      <c r="Z342" s="183"/>
      <c r="AA342" s="184"/>
      <c r="AB342" s="182"/>
      <c r="AC342" s="114">
        <v>4</v>
      </c>
      <c r="AD342" s="172" t="s">
        <v>887</v>
      </c>
      <c r="AE342" s="114"/>
      <c r="AF342" s="114"/>
      <c r="AG342" s="114"/>
      <c r="AH342" s="106"/>
      <c r="AI342" s="114"/>
      <c r="AJ342" s="106"/>
      <c r="AK342" s="114"/>
      <c r="AL342" s="106"/>
      <c r="AM342" s="114"/>
      <c r="AN342" s="106"/>
      <c r="AO342" s="114"/>
      <c r="AP342" s="106"/>
      <c r="AQ342" s="114"/>
      <c r="AR342" s="106" t="s">
        <v>915</v>
      </c>
      <c r="AS342" s="114"/>
      <c r="AT342" s="106"/>
      <c r="AU342" s="114"/>
      <c r="AV342" s="106"/>
      <c r="AW342" s="114"/>
      <c r="AX342" s="157"/>
      <c r="AY342" s="157"/>
      <c r="AZ342" s="157"/>
      <c r="BA342" s="157"/>
      <c r="BB342" s="157"/>
      <c r="BC342" s="157"/>
    </row>
    <row r="343" spans="1:55" x14ac:dyDescent="0.3">
      <c r="A343" s="114">
        <f t="shared" si="8"/>
        <v>339</v>
      </c>
      <c r="B343" s="179" t="s">
        <v>2480</v>
      </c>
      <c r="C343" s="114">
        <v>0</v>
      </c>
      <c r="D343" s="114" t="s">
        <v>991</v>
      </c>
      <c r="E343" s="114" t="s">
        <v>929</v>
      </c>
      <c r="F343" s="114" t="s">
        <v>909</v>
      </c>
      <c r="G343" s="114"/>
      <c r="H343" s="114"/>
      <c r="I343" s="114"/>
      <c r="J343" s="114"/>
      <c r="K343" s="114"/>
      <c r="L343" s="114"/>
      <c r="M343" s="114"/>
      <c r="N343" s="114">
        <v>9</v>
      </c>
      <c r="O343" s="180">
        <v>0</v>
      </c>
      <c r="P343" s="180">
        <v>32767</v>
      </c>
      <c r="Q343" s="180">
        <v>1500</v>
      </c>
      <c r="R343" s="180"/>
      <c r="S343" s="180" t="s">
        <v>1047</v>
      </c>
      <c r="T343" s="181" t="s">
        <v>552</v>
      </c>
      <c r="U343" s="179" t="s">
        <v>2481</v>
      </c>
      <c r="V343" s="179" t="s">
        <v>2482</v>
      </c>
      <c r="W343" s="114" t="s">
        <v>2483</v>
      </c>
      <c r="X343" s="180">
        <v>16</v>
      </c>
      <c r="Y343" s="182" t="s">
        <v>1503</v>
      </c>
      <c r="Z343" s="183"/>
      <c r="AA343" s="184"/>
      <c r="AB343" s="182"/>
      <c r="AC343" s="114">
        <v>4</v>
      </c>
      <c r="AD343" s="172" t="s">
        <v>887</v>
      </c>
      <c r="AE343" s="114"/>
      <c r="AF343" s="114"/>
      <c r="AG343" s="114"/>
      <c r="AH343" s="106"/>
      <c r="AI343" s="114"/>
      <c r="AJ343" s="106"/>
      <c r="AK343" s="114"/>
      <c r="AL343" s="106"/>
      <c r="AM343" s="114"/>
      <c r="AN343" s="106"/>
      <c r="AO343" s="114"/>
      <c r="AP343" s="106"/>
      <c r="AQ343" s="114"/>
      <c r="AR343" s="106" t="s">
        <v>915</v>
      </c>
      <c r="AS343" s="114"/>
      <c r="AT343" s="106"/>
      <c r="AU343" s="114"/>
      <c r="AV343" s="106"/>
      <c r="AW343" s="114"/>
      <c r="AX343" s="157"/>
      <c r="AY343" s="157"/>
      <c r="AZ343" s="157"/>
      <c r="BA343" s="157"/>
      <c r="BB343" s="157"/>
      <c r="BC343" s="157"/>
    </row>
    <row r="344" spans="1:55" x14ac:dyDescent="0.3">
      <c r="A344" s="114">
        <f t="shared" si="8"/>
        <v>340</v>
      </c>
      <c r="B344" s="179" t="s">
        <v>2484</v>
      </c>
      <c r="C344" s="114">
        <v>0</v>
      </c>
      <c r="D344" s="114" t="s">
        <v>991</v>
      </c>
      <c r="E344" s="114" t="s">
        <v>929</v>
      </c>
      <c r="F344" s="114" t="s">
        <v>909</v>
      </c>
      <c r="G344" s="114"/>
      <c r="H344" s="114"/>
      <c r="I344" s="114"/>
      <c r="J344" s="114"/>
      <c r="K344" s="114"/>
      <c r="L344" s="114"/>
      <c r="M344" s="114"/>
      <c r="N344" s="114">
        <v>9</v>
      </c>
      <c r="O344" s="180">
        <v>0</v>
      </c>
      <c r="P344" s="180">
        <v>32767</v>
      </c>
      <c r="Q344" s="180">
        <v>2000</v>
      </c>
      <c r="R344" s="180"/>
      <c r="S344" s="180" t="s">
        <v>1047</v>
      </c>
      <c r="T344" s="181" t="s">
        <v>554</v>
      </c>
      <c r="U344" s="179" t="s">
        <v>2485</v>
      </c>
      <c r="V344" s="179" t="s">
        <v>2486</v>
      </c>
      <c r="W344" s="114" t="s">
        <v>2487</v>
      </c>
      <c r="X344" s="180">
        <v>16</v>
      </c>
      <c r="Y344" s="182" t="s">
        <v>1503</v>
      </c>
      <c r="Z344" s="183"/>
      <c r="AA344" s="184"/>
      <c r="AB344" s="182"/>
      <c r="AC344" s="114">
        <v>4</v>
      </c>
      <c r="AD344" s="172" t="s">
        <v>887</v>
      </c>
      <c r="AE344" s="114"/>
      <c r="AF344" s="114"/>
      <c r="AG344" s="114"/>
      <c r="AH344" s="106"/>
      <c r="AI344" s="114"/>
      <c r="AJ344" s="106"/>
      <c r="AK344" s="114"/>
      <c r="AL344" s="106"/>
      <c r="AM344" s="114"/>
      <c r="AN344" s="106"/>
      <c r="AO344" s="114"/>
      <c r="AP344" s="106"/>
      <c r="AQ344" s="114"/>
      <c r="AR344" s="106" t="s">
        <v>915</v>
      </c>
      <c r="AS344" s="114"/>
      <c r="AT344" s="106"/>
      <c r="AU344" s="114"/>
      <c r="AV344" s="106"/>
      <c r="AW344" s="114"/>
      <c r="AX344" s="157"/>
      <c r="AY344" s="157"/>
      <c r="AZ344" s="157"/>
      <c r="BA344" s="157"/>
      <c r="BB344" s="157"/>
      <c r="BC344" s="157"/>
    </row>
    <row r="345" spans="1:55" x14ac:dyDescent="0.3">
      <c r="A345" s="114">
        <f t="shared" si="8"/>
        <v>341</v>
      </c>
      <c r="B345" s="179" t="s">
        <v>2488</v>
      </c>
      <c r="C345" s="114">
        <v>0</v>
      </c>
      <c r="D345" s="114" t="s">
        <v>991</v>
      </c>
      <c r="E345" s="114" t="s">
        <v>929</v>
      </c>
      <c r="F345" s="114" t="s">
        <v>909</v>
      </c>
      <c r="G345" s="114"/>
      <c r="H345" s="114"/>
      <c r="I345" s="114"/>
      <c r="J345" s="114"/>
      <c r="K345" s="114"/>
      <c r="L345" s="114"/>
      <c r="M345" s="114"/>
      <c r="N345" s="114">
        <v>9</v>
      </c>
      <c r="O345" s="180">
        <v>0</v>
      </c>
      <c r="P345" s="180">
        <v>32767</v>
      </c>
      <c r="Q345" s="180">
        <v>2500</v>
      </c>
      <c r="R345" s="180"/>
      <c r="S345" s="180" t="s">
        <v>1047</v>
      </c>
      <c r="T345" s="181" t="s">
        <v>556</v>
      </c>
      <c r="U345" s="179" t="s">
        <v>2489</v>
      </c>
      <c r="V345" s="179" t="s">
        <v>2490</v>
      </c>
      <c r="W345" s="114" t="s">
        <v>2491</v>
      </c>
      <c r="X345" s="180">
        <v>16</v>
      </c>
      <c r="Y345" s="182" t="s">
        <v>1503</v>
      </c>
      <c r="Z345" s="183"/>
      <c r="AA345" s="184"/>
      <c r="AB345" s="182"/>
      <c r="AC345" s="114">
        <v>4</v>
      </c>
      <c r="AD345" s="172" t="s">
        <v>887</v>
      </c>
      <c r="AE345" s="114"/>
      <c r="AF345" s="114"/>
      <c r="AG345" s="114"/>
      <c r="AH345" s="106"/>
      <c r="AI345" s="114"/>
      <c r="AJ345" s="106"/>
      <c r="AK345" s="114"/>
      <c r="AL345" s="106"/>
      <c r="AM345" s="114"/>
      <c r="AN345" s="106"/>
      <c r="AO345" s="114"/>
      <c r="AP345" s="106"/>
      <c r="AQ345" s="114"/>
      <c r="AR345" s="106" t="s">
        <v>915</v>
      </c>
      <c r="AS345" s="114"/>
      <c r="AT345" s="106"/>
      <c r="AU345" s="114"/>
      <c r="AV345" s="106"/>
      <c r="AW345" s="114"/>
      <c r="AX345" s="157"/>
      <c r="AY345" s="157"/>
      <c r="AZ345" s="157"/>
      <c r="BA345" s="157"/>
      <c r="BB345" s="157"/>
      <c r="BC345" s="157"/>
    </row>
    <row r="346" spans="1:55" x14ac:dyDescent="0.3">
      <c r="A346" s="114">
        <f t="shared" si="8"/>
        <v>342</v>
      </c>
      <c r="B346" s="179" t="s">
        <v>2492</v>
      </c>
      <c r="C346" s="114">
        <v>0</v>
      </c>
      <c r="D346" s="114" t="s">
        <v>991</v>
      </c>
      <c r="E346" s="114" t="s">
        <v>929</v>
      </c>
      <c r="F346" s="114" t="s">
        <v>909</v>
      </c>
      <c r="G346" s="114"/>
      <c r="H346" s="114"/>
      <c r="I346" s="114"/>
      <c r="J346" s="114"/>
      <c r="K346" s="114"/>
      <c r="L346" s="114"/>
      <c r="M346" s="114"/>
      <c r="N346" s="114">
        <v>9</v>
      </c>
      <c r="O346" s="180">
        <v>0</v>
      </c>
      <c r="P346" s="180">
        <v>32767</v>
      </c>
      <c r="Q346" s="180">
        <v>3000</v>
      </c>
      <c r="R346" s="180"/>
      <c r="S346" s="180" t="s">
        <v>1047</v>
      </c>
      <c r="T346" s="181" t="s">
        <v>558</v>
      </c>
      <c r="U346" s="179" t="s">
        <v>2493</v>
      </c>
      <c r="V346" s="179" t="s">
        <v>2494</v>
      </c>
      <c r="W346" s="114" t="s">
        <v>2495</v>
      </c>
      <c r="X346" s="180">
        <v>16</v>
      </c>
      <c r="Y346" s="182" t="s">
        <v>1503</v>
      </c>
      <c r="Z346" s="183"/>
      <c r="AA346" s="184"/>
      <c r="AB346" s="182"/>
      <c r="AC346" s="114">
        <v>4</v>
      </c>
      <c r="AD346" s="172" t="s">
        <v>887</v>
      </c>
      <c r="AE346" s="114"/>
      <c r="AF346" s="114"/>
      <c r="AG346" s="114"/>
      <c r="AH346" s="106"/>
      <c r="AI346" s="114"/>
      <c r="AJ346" s="106"/>
      <c r="AK346" s="114"/>
      <c r="AL346" s="106"/>
      <c r="AM346" s="114"/>
      <c r="AN346" s="106"/>
      <c r="AO346" s="114"/>
      <c r="AP346" s="106"/>
      <c r="AQ346" s="114"/>
      <c r="AR346" s="106" t="s">
        <v>915</v>
      </c>
      <c r="AS346" s="114"/>
      <c r="AT346" s="106"/>
      <c r="AU346" s="114"/>
      <c r="AV346" s="106"/>
      <c r="AW346" s="114"/>
      <c r="AX346" s="157"/>
      <c r="AY346" s="157"/>
      <c r="AZ346" s="157"/>
      <c r="BA346" s="157"/>
      <c r="BB346" s="157"/>
      <c r="BC346" s="157"/>
    </row>
    <row r="347" spans="1:55" x14ac:dyDescent="0.3">
      <c r="A347" s="114">
        <f t="shared" si="8"/>
        <v>343</v>
      </c>
      <c r="B347" s="179" t="s">
        <v>2496</v>
      </c>
      <c r="C347" s="114">
        <v>0</v>
      </c>
      <c r="D347" s="114" t="s">
        <v>991</v>
      </c>
      <c r="E347" s="114" t="s">
        <v>929</v>
      </c>
      <c r="F347" s="114" t="s">
        <v>909</v>
      </c>
      <c r="G347" s="114"/>
      <c r="H347" s="114"/>
      <c r="I347" s="114"/>
      <c r="J347" s="114"/>
      <c r="K347" s="114"/>
      <c r="L347" s="114"/>
      <c r="M347" s="114"/>
      <c r="N347" s="114">
        <v>9</v>
      </c>
      <c r="O347" s="180">
        <v>0</v>
      </c>
      <c r="P347" s="180">
        <v>32767</v>
      </c>
      <c r="Q347" s="180">
        <v>3500</v>
      </c>
      <c r="R347" s="180"/>
      <c r="S347" s="180" t="s">
        <v>1047</v>
      </c>
      <c r="T347" s="181" t="s">
        <v>560</v>
      </c>
      <c r="U347" s="179" t="s">
        <v>2497</v>
      </c>
      <c r="V347" s="179" t="s">
        <v>2498</v>
      </c>
      <c r="W347" s="114" t="s">
        <v>2499</v>
      </c>
      <c r="X347" s="180">
        <v>16</v>
      </c>
      <c r="Y347" s="182" t="s">
        <v>1503</v>
      </c>
      <c r="Z347" s="183"/>
      <c r="AA347" s="184"/>
      <c r="AB347" s="182"/>
      <c r="AC347" s="114">
        <v>4</v>
      </c>
      <c r="AD347" s="172" t="s">
        <v>887</v>
      </c>
      <c r="AE347" s="114"/>
      <c r="AF347" s="114"/>
      <c r="AG347" s="114"/>
      <c r="AH347" s="106"/>
      <c r="AI347" s="114"/>
      <c r="AJ347" s="106"/>
      <c r="AK347" s="114"/>
      <c r="AL347" s="106"/>
      <c r="AM347" s="114"/>
      <c r="AN347" s="106"/>
      <c r="AO347" s="114"/>
      <c r="AP347" s="106"/>
      <c r="AQ347" s="114"/>
      <c r="AR347" s="106" t="s">
        <v>915</v>
      </c>
      <c r="AS347" s="114"/>
      <c r="AT347" s="106"/>
      <c r="AU347" s="114"/>
      <c r="AV347" s="106"/>
      <c r="AW347" s="114"/>
      <c r="AX347" s="157"/>
      <c r="AY347" s="157"/>
      <c r="AZ347" s="157"/>
      <c r="BA347" s="157"/>
      <c r="BB347" s="157"/>
      <c r="BC347" s="157"/>
    </row>
    <row r="348" spans="1:55" x14ac:dyDescent="0.3">
      <c r="A348" s="114">
        <f t="shared" si="8"/>
        <v>344</v>
      </c>
      <c r="B348" s="179" t="s">
        <v>2500</v>
      </c>
      <c r="C348" s="114">
        <v>0</v>
      </c>
      <c r="D348" s="114" t="s">
        <v>991</v>
      </c>
      <c r="E348" s="114" t="s">
        <v>929</v>
      </c>
      <c r="F348" s="114" t="s">
        <v>909</v>
      </c>
      <c r="G348" s="114"/>
      <c r="H348" s="114"/>
      <c r="I348" s="114"/>
      <c r="J348" s="114"/>
      <c r="K348" s="114"/>
      <c r="L348" s="114"/>
      <c r="M348" s="114"/>
      <c r="N348" s="114">
        <v>9</v>
      </c>
      <c r="O348" s="180">
        <v>0</v>
      </c>
      <c r="P348" s="180">
        <v>32767</v>
      </c>
      <c r="Q348" s="180">
        <v>4000</v>
      </c>
      <c r="R348" s="180"/>
      <c r="S348" s="180" t="s">
        <v>1047</v>
      </c>
      <c r="T348" s="181" t="s">
        <v>562</v>
      </c>
      <c r="U348" s="179" t="s">
        <v>2501</v>
      </c>
      <c r="V348" s="179" t="s">
        <v>2502</v>
      </c>
      <c r="W348" s="114" t="s">
        <v>2503</v>
      </c>
      <c r="X348" s="180">
        <v>16</v>
      </c>
      <c r="Y348" s="182" t="s">
        <v>1503</v>
      </c>
      <c r="Z348" s="183"/>
      <c r="AA348" s="184"/>
      <c r="AB348" s="182"/>
      <c r="AC348" s="114">
        <v>4</v>
      </c>
      <c r="AD348" s="172" t="s">
        <v>887</v>
      </c>
      <c r="AE348" s="114"/>
      <c r="AF348" s="114"/>
      <c r="AG348" s="114"/>
      <c r="AH348" s="106"/>
      <c r="AI348" s="114"/>
      <c r="AJ348" s="106"/>
      <c r="AK348" s="114"/>
      <c r="AL348" s="106"/>
      <c r="AM348" s="114"/>
      <c r="AN348" s="106"/>
      <c r="AO348" s="114"/>
      <c r="AP348" s="106"/>
      <c r="AQ348" s="114"/>
      <c r="AR348" s="106" t="s">
        <v>915</v>
      </c>
      <c r="AS348" s="114"/>
      <c r="AT348" s="106"/>
      <c r="AU348" s="114"/>
      <c r="AV348" s="106"/>
      <c r="AW348" s="114"/>
      <c r="AX348" s="157"/>
      <c r="AY348" s="157"/>
      <c r="AZ348" s="157"/>
      <c r="BA348" s="157"/>
      <c r="BB348" s="157"/>
      <c r="BC348" s="157"/>
    </row>
    <row r="349" spans="1:55" x14ac:dyDescent="0.3">
      <c r="A349" s="114">
        <f t="shared" si="8"/>
        <v>345</v>
      </c>
      <c r="B349" s="179" t="s">
        <v>2504</v>
      </c>
      <c r="C349" s="114">
        <v>0</v>
      </c>
      <c r="D349" s="114" t="s">
        <v>991</v>
      </c>
      <c r="E349" s="114" t="s">
        <v>929</v>
      </c>
      <c r="F349" s="114" t="s">
        <v>909</v>
      </c>
      <c r="G349" s="114"/>
      <c r="H349" s="114"/>
      <c r="I349" s="114"/>
      <c r="J349" s="114"/>
      <c r="K349" s="114"/>
      <c r="L349" s="114"/>
      <c r="M349" s="114"/>
      <c r="N349" s="114">
        <v>9</v>
      </c>
      <c r="O349" s="180">
        <v>0</v>
      </c>
      <c r="P349" s="180">
        <v>32767</v>
      </c>
      <c r="Q349" s="180">
        <v>4500</v>
      </c>
      <c r="R349" s="180"/>
      <c r="S349" s="180" t="s">
        <v>1047</v>
      </c>
      <c r="T349" s="181" t="s">
        <v>564</v>
      </c>
      <c r="U349" s="179" t="s">
        <v>2505</v>
      </c>
      <c r="V349" s="179" t="s">
        <v>2506</v>
      </c>
      <c r="W349" s="114" t="s">
        <v>2507</v>
      </c>
      <c r="X349" s="180">
        <v>16</v>
      </c>
      <c r="Y349" s="182" t="s">
        <v>1503</v>
      </c>
      <c r="Z349" s="183"/>
      <c r="AA349" s="184"/>
      <c r="AB349" s="182"/>
      <c r="AC349" s="114">
        <v>4</v>
      </c>
      <c r="AD349" s="172" t="s">
        <v>887</v>
      </c>
      <c r="AE349" s="114"/>
      <c r="AF349" s="114"/>
      <c r="AG349" s="114"/>
      <c r="AH349" s="106"/>
      <c r="AI349" s="114"/>
      <c r="AJ349" s="106"/>
      <c r="AK349" s="114"/>
      <c r="AL349" s="106"/>
      <c r="AM349" s="114"/>
      <c r="AN349" s="106"/>
      <c r="AO349" s="114"/>
      <c r="AP349" s="106"/>
      <c r="AQ349" s="114"/>
      <c r="AR349" s="106" t="s">
        <v>915</v>
      </c>
      <c r="AS349" s="114"/>
      <c r="AT349" s="106"/>
      <c r="AU349" s="114"/>
      <c r="AV349" s="106"/>
      <c r="AW349" s="114"/>
      <c r="AX349" s="157"/>
      <c r="AY349" s="157"/>
      <c r="AZ349" s="157"/>
      <c r="BA349" s="157"/>
      <c r="BB349" s="157"/>
      <c r="BC349" s="157"/>
    </row>
    <row r="350" spans="1:55" x14ac:dyDescent="0.3">
      <c r="A350" s="114">
        <f t="shared" si="8"/>
        <v>346</v>
      </c>
      <c r="B350" s="179" t="s">
        <v>2508</v>
      </c>
      <c r="C350" s="114">
        <v>0</v>
      </c>
      <c r="D350" s="114" t="s">
        <v>991</v>
      </c>
      <c r="E350" s="114" t="s">
        <v>929</v>
      </c>
      <c r="F350" s="114" t="s">
        <v>909</v>
      </c>
      <c r="G350" s="114"/>
      <c r="H350" s="114"/>
      <c r="I350" s="114"/>
      <c r="J350" s="114"/>
      <c r="K350" s="114"/>
      <c r="L350" s="114"/>
      <c r="M350" s="114"/>
      <c r="N350" s="114">
        <v>9</v>
      </c>
      <c r="O350" s="180">
        <v>0</v>
      </c>
      <c r="P350" s="180">
        <v>32767</v>
      </c>
      <c r="Q350" s="180">
        <v>5000</v>
      </c>
      <c r="R350" s="180"/>
      <c r="S350" s="180" t="s">
        <v>1047</v>
      </c>
      <c r="T350" s="181" t="s">
        <v>566</v>
      </c>
      <c r="U350" s="179" t="s">
        <v>2509</v>
      </c>
      <c r="V350" s="179" t="s">
        <v>2510</v>
      </c>
      <c r="W350" s="114" t="s">
        <v>2511</v>
      </c>
      <c r="X350" s="180">
        <v>16</v>
      </c>
      <c r="Y350" s="182" t="s">
        <v>1503</v>
      </c>
      <c r="Z350" s="183"/>
      <c r="AA350" s="184"/>
      <c r="AB350" s="182"/>
      <c r="AC350" s="114">
        <v>4</v>
      </c>
      <c r="AD350" s="172" t="s">
        <v>887</v>
      </c>
      <c r="AE350" s="114"/>
      <c r="AF350" s="114"/>
      <c r="AG350" s="114"/>
      <c r="AH350" s="106"/>
      <c r="AI350" s="114"/>
      <c r="AJ350" s="106"/>
      <c r="AK350" s="114"/>
      <c r="AL350" s="106"/>
      <c r="AM350" s="114"/>
      <c r="AN350" s="106"/>
      <c r="AO350" s="114"/>
      <c r="AP350" s="106"/>
      <c r="AQ350" s="114"/>
      <c r="AR350" s="106" t="s">
        <v>915</v>
      </c>
      <c r="AS350" s="114"/>
      <c r="AT350" s="106"/>
      <c r="AU350" s="114"/>
      <c r="AV350" s="106"/>
      <c r="AW350" s="114"/>
      <c r="AX350" s="157"/>
      <c r="AY350" s="157"/>
      <c r="AZ350" s="157"/>
      <c r="BA350" s="157"/>
      <c r="BB350" s="157"/>
      <c r="BC350" s="157"/>
    </row>
    <row r="351" spans="1:55" x14ac:dyDescent="0.3">
      <c r="A351" s="114">
        <f t="shared" si="8"/>
        <v>347</v>
      </c>
      <c r="B351" s="179" t="s">
        <v>2512</v>
      </c>
      <c r="C351" s="114">
        <v>0</v>
      </c>
      <c r="D351" s="114" t="s">
        <v>991</v>
      </c>
      <c r="E351" s="114" t="s">
        <v>929</v>
      </c>
      <c r="F351" s="114" t="s">
        <v>909</v>
      </c>
      <c r="G351" s="114"/>
      <c r="H351" s="114"/>
      <c r="I351" s="114"/>
      <c r="J351" s="114"/>
      <c r="K351" s="114"/>
      <c r="L351" s="114"/>
      <c r="M351" s="114"/>
      <c r="N351" s="114">
        <v>9</v>
      </c>
      <c r="O351" s="180">
        <v>0</v>
      </c>
      <c r="P351" s="180">
        <v>32767</v>
      </c>
      <c r="Q351" s="180">
        <v>5500</v>
      </c>
      <c r="R351" s="180"/>
      <c r="S351" s="180" t="s">
        <v>1047</v>
      </c>
      <c r="T351" s="181" t="s">
        <v>568</v>
      </c>
      <c r="U351" s="179" t="s">
        <v>2513</v>
      </c>
      <c r="V351" s="179" t="s">
        <v>2514</v>
      </c>
      <c r="W351" s="114" t="s">
        <v>2515</v>
      </c>
      <c r="X351" s="180">
        <v>16</v>
      </c>
      <c r="Y351" s="182" t="s">
        <v>1503</v>
      </c>
      <c r="Z351" s="183"/>
      <c r="AA351" s="184"/>
      <c r="AB351" s="182"/>
      <c r="AC351" s="114">
        <v>4</v>
      </c>
      <c r="AD351" s="172" t="s">
        <v>887</v>
      </c>
      <c r="AE351" s="114"/>
      <c r="AF351" s="114"/>
      <c r="AG351" s="114"/>
      <c r="AH351" s="106"/>
      <c r="AI351" s="114"/>
      <c r="AJ351" s="106"/>
      <c r="AK351" s="114"/>
      <c r="AL351" s="106"/>
      <c r="AM351" s="114"/>
      <c r="AN351" s="106"/>
      <c r="AO351" s="114"/>
      <c r="AP351" s="106"/>
      <c r="AQ351" s="114"/>
      <c r="AR351" s="106" t="s">
        <v>915</v>
      </c>
      <c r="AS351" s="114"/>
      <c r="AT351" s="106"/>
      <c r="AU351" s="114"/>
      <c r="AV351" s="106"/>
      <c r="AW351" s="114"/>
      <c r="AX351" s="157"/>
      <c r="AY351" s="157"/>
      <c r="AZ351" s="157"/>
      <c r="BA351" s="157"/>
      <c r="BB351" s="157"/>
      <c r="BC351" s="157"/>
    </row>
    <row r="352" spans="1:55" ht="39.6" x14ac:dyDescent="0.3">
      <c r="A352" s="114">
        <f t="shared" si="8"/>
        <v>348</v>
      </c>
      <c r="B352" s="179" t="s">
        <v>2516</v>
      </c>
      <c r="C352" s="114">
        <v>0</v>
      </c>
      <c r="D352" s="114" t="s">
        <v>991</v>
      </c>
      <c r="E352" s="114" t="s">
        <v>980</v>
      </c>
      <c r="F352" s="114" t="s">
        <v>909</v>
      </c>
      <c r="G352" s="114"/>
      <c r="H352" s="114"/>
      <c r="I352" s="114"/>
      <c r="J352" s="114"/>
      <c r="K352" s="114"/>
      <c r="L352" s="114"/>
      <c r="M352" s="114"/>
      <c r="N352" s="114">
        <v>9</v>
      </c>
      <c r="O352" s="180">
        <v>0</v>
      </c>
      <c r="P352" s="180">
        <v>799</v>
      </c>
      <c r="Q352" s="180">
        <v>50</v>
      </c>
      <c r="R352" s="180"/>
      <c r="S352" s="180"/>
      <c r="T352" s="181" t="s">
        <v>570</v>
      </c>
      <c r="U352" s="179" t="s">
        <v>2517</v>
      </c>
      <c r="V352" s="179" t="s">
        <v>2518</v>
      </c>
      <c r="W352" s="114" t="s">
        <v>2519</v>
      </c>
      <c r="X352" s="180">
        <v>16</v>
      </c>
      <c r="Y352" s="182" t="s">
        <v>913</v>
      </c>
      <c r="Z352" s="183" t="s">
        <v>2434</v>
      </c>
      <c r="AA352" s="184"/>
      <c r="AB352" s="182"/>
      <c r="AC352" s="114">
        <v>3</v>
      </c>
      <c r="AD352" s="172" t="s">
        <v>887</v>
      </c>
      <c r="AE352" s="114"/>
      <c r="AF352" s="114"/>
      <c r="AG352" s="114"/>
      <c r="AH352" s="106"/>
      <c r="AI352" s="114"/>
      <c r="AJ352" s="106"/>
      <c r="AK352" s="114"/>
      <c r="AL352" s="106"/>
      <c r="AM352" s="114"/>
      <c r="AN352" s="106"/>
      <c r="AO352" s="114"/>
      <c r="AP352" s="106"/>
      <c r="AQ352" s="114"/>
      <c r="AR352" s="106"/>
      <c r="AS352" s="114"/>
      <c r="AT352" s="106"/>
      <c r="AU352" s="114"/>
      <c r="AV352" s="106"/>
      <c r="AW352" s="114" t="s">
        <v>915</v>
      </c>
      <c r="AX352" s="157"/>
      <c r="AY352" s="157"/>
      <c r="AZ352" s="157"/>
      <c r="BA352" s="157"/>
      <c r="BB352" s="157"/>
      <c r="BC352" s="157"/>
    </row>
    <row r="353" spans="1:55" ht="26.4" x14ac:dyDescent="0.3">
      <c r="A353" s="114">
        <f t="shared" si="8"/>
        <v>349</v>
      </c>
      <c r="B353" s="179" t="s">
        <v>2520</v>
      </c>
      <c r="C353" s="114">
        <v>0</v>
      </c>
      <c r="D353" s="114" t="s">
        <v>991</v>
      </c>
      <c r="E353" s="114" t="s">
        <v>966</v>
      </c>
      <c r="F353" s="114" t="s">
        <v>909</v>
      </c>
      <c r="G353" s="114"/>
      <c r="H353" s="114"/>
      <c r="I353" s="114"/>
      <c r="J353" s="114" t="s">
        <v>871</v>
      </c>
      <c r="K353" s="114"/>
      <c r="L353" s="114"/>
      <c r="M353" s="114"/>
      <c r="N353" s="114">
        <v>9</v>
      </c>
      <c r="O353" s="180">
        <v>-2147483648</v>
      </c>
      <c r="P353" s="180">
        <v>2147483647</v>
      </c>
      <c r="Q353" s="112">
        <v>0</v>
      </c>
      <c r="R353" s="180"/>
      <c r="S353" s="180"/>
      <c r="T353" s="181" t="s">
        <v>573</v>
      </c>
      <c r="U353" s="179" t="s">
        <v>2521</v>
      </c>
      <c r="V353" s="179" t="s">
        <v>2522</v>
      </c>
      <c r="W353" s="114" t="s">
        <v>2523</v>
      </c>
      <c r="X353" s="180">
        <v>32</v>
      </c>
      <c r="Y353" s="182" t="s">
        <v>913</v>
      </c>
      <c r="Z353" s="183"/>
      <c r="AA353" s="184" t="s">
        <v>2524</v>
      </c>
      <c r="AB353" s="182"/>
      <c r="AC353" s="114">
        <v>3</v>
      </c>
      <c r="AD353" s="172" t="s">
        <v>887</v>
      </c>
      <c r="AE353" s="114"/>
      <c r="AF353" s="114"/>
      <c r="AG353" s="114"/>
      <c r="AH353" s="106"/>
      <c r="AI353" s="114"/>
      <c r="AJ353" s="106"/>
      <c r="AK353" s="114"/>
      <c r="AL353" s="106"/>
      <c r="AM353" s="114"/>
      <c r="AN353" s="106"/>
      <c r="AO353" s="114"/>
      <c r="AP353" s="106"/>
      <c r="AQ353" s="114"/>
      <c r="AR353" s="106"/>
      <c r="AS353" s="114"/>
      <c r="AT353" s="106"/>
      <c r="AU353" s="114"/>
      <c r="AV353" s="106"/>
      <c r="AW353" s="114" t="s">
        <v>915</v>
      </c>
      <c r="AX353" s="157"/>
      <c r="AY353" s="157"/>
      <c r="AZ353" s="157"/>
      <c r="BA353" s="157"/>
      <c r="BB353" s="157"/>
      <c r="BC353" s="157"/>
    </row>
    <row r="354" spans="1:55" ht="92.4" x14ac:dyDescent="0.3">
      <c r="A354" s="114">
        <f t="shared" si="8"/>
        <v>350</v>
      </c>
      <c r="B354" s="179" t="s">
        <v>2525</v>
      </c>
      <c r="C354" s="114">
        <v>0</v>
      </c>
      <c r="D354" s="114" t="s">
        <v>991</v>
      </c>
      <c r="E354" s="114" t="s">
        <v>980</v>
      </c>
      <c r="F354" s="114" t="s">
        <v>909</v>
      </c>
      <c r="G354" s="114"/>
      <c r="H354" s="114"/>
      <c r="I354" s="114"/>
      <c r="J354" s="114" t="s">
        <v>871</v>
      </c>
      <c r="K354" s="114"/>
      <c r="L354" s="114"/>
      <c r="M354" s="114"/>
      <c r="N354" s="114">
        <v>9</v>
      </c>
      <c r="O354" s="180">
        <v>0</v>
      </c>
      <c r="P354" s="180">
        <v>800</v>
      </c>
      <c r="Q354" s="180">
        <v>1</v>
      </c>
      <c r="R354" s="180"/>
      <c r="S354" s="180"/>
      <c r="T354" s="181" t="s">
        <v>575</v>
      </c>
      <c r="U354" s="179" t="s">
        <v>2526</v>
      </c>
      <c r="V354" s="179" t="s">
        <v>2527</v>
      </c>
      <c r="W354" s="114" t="s">
        <v>2528</v>
      </c>
      <c r="X354" s="180">
        <v>16</v>
      </c>
      <c r="Y354" s="182" t="s">
        <v>913</v>
      </c>
      <c r="Z354" s="183" t="s">
        <v>2444</v>
      </c>
      <c r="AA354" s="184"/>
      <c r="AB354" s="182"/>
      <c r="AC354" s="114">
        <v>3</v>
      </c>
      <c r="AD354" s="172" t="s">
        <v>887</v>
      </c>
      <c r="AE354" s="114"/>
      <c r="AF354" s="114"/>
      <c r="AG354" s="114"/>
      <c r="AH354" s="106"/>
      <c r="AI354" s="114"/>
      <c r="AJ354" s="106"/>
      <c r="AK354" s="114"/>
      <c r="AL354" s="106"/>
      <c r="AM354" s="114"/>
      <c r="AN354" s="106"/>
      <c r="AO354" s="114"/>
      <c r="AP354" s="106"/>
      <c r="AQ354" s="114"/>
      <c r="AR354" s="106"/>
      <c r="AS354" s="114"/>
      <c r="AT354" s="106"/>
      <c r="AU354" s="114"/>
      <c r="AV354" s="106"/>
      <c r="AW354" s="114" t="s">
        <v>915</v>
      </c>
      <c r="AX354" s="157"/>
      <c r="AY354" s="157"/>
      <c r="AZ354" s="157"/>
      <c r="BA354" s="157"/>
      <c r="BB354" s="157"/>
      <c r="BC354" s="157"/>
    </row>
    <row r="355" spans="1:55" ht="26.4" x14ac:dyDescent="0.3">
      <c r="A355" s="114">
        <f t="shared" si="8"/>
        <v>351</v>
      </c>
      <c r="B355" s="179" t="s">
        <v>2529</v>
      </c>
      <c r="C355" s="114">
        <v>0</v>
      </c>
      <c r="D355" s="114" t="s">
        <v>991</v>
      </c>
      <c r="E355" s="114" t="s">
        <v>944</v>
      </c>
      <c r="F355" s="114" t="s">
        <v>909</v>
      </c>
      <c r="G355" s="114"/>
      <c r="H355" s="114"/>
      <c r="I355" s="114"/>
      <c r="J355" s="114" t="s">
        <v>871</v>
      </c>
      <c r="K355" s="114"/>
      <c r="L355" s="114"/>
      <c r="M355" s="191" t="s">
        <v>874</v>
      </c>
      <c r="N355" s="114">
        <v>9</v>
      </c>
      <c r="O355" s="180" t="s">
        <v>2530</v>
      </c>
      <c r="P355" s="180" t="s">
        <v>2531</v>
      </c>
      <c r="Q355" s="180" t="s">
        <v>2532</v>
      </c>
      <c r="R355" s="180"/>
      <c r="S355" s="180"/>
      <c r="T355" s="181" t="s">
        <v>577</v>
      </c>
      <c r="U355" s="179" t="s">
        <v>2533</v>
      </c>
      <c r="V355" s="179" t="s">
        <v>2534</v>
      </c>
      <c r="W355" s="114" t="s">
        <v>2535</v>
      </c>
      <c r="X355" s="180">
        <v>32</v>
      </c>
      <c r="Y355" s="182" t="s">
        <v>913</v>
      </c>
      <c r="Z355" s="183" t="s">
        <v>2536</v>
      </c>
      <c r="AA355" s="184"/>
      <c r="AB355" s="182"/>
      <c r="AC355" s="114">
        <v>3</v>
      </c>
      <c r="AD355" s="172" t="s">
        <v>887</v>
      </c>
      <c r="AE355" s="114"/>
      <c r="AF355" s="114"/>
      <c r="AG355" s="114"/>
      <c r="AH355" s="106"/>
      <c r="AI355" s="114"/>
      <c r="AJ355" s="106"/>
      <c r="AK355" s="114"/>
      <c r="AL355" s="106"/>
      <c r="AM355" s="114"/>
      <c r="AN355" s="106"/>
      <c r="AO355" s="114"/>
      <c r="AP355" s="106"/>
      <c r="AQ355" s="114"/>
      <c r="AR355" s="106"/>
      <c r="AS355" s="114"/>
      <c r="AT355" s="106"/>
      <c r="AU355" s="114"/>
      <c r="AV355" s="106"/>
      <c r="AW355" s="114" t="s">
        <v>915</v>
      </c>
      <c r="AX355" s="157"/>
      <c r="AY355" s="157"/>
      <c r="AZ355" s="157"/>
      <c r="BA355" s="157"/>
      <c r="BB355" s="157"/>
      <c r="BC355" s="157"/>
    </row>
    <row r="356" spans="1:55" ht="132" x14ac:dyDescent="0.3">
      <c r="A356" s="114">
        <f>A355+1</f>
        <v>352</v>
      </c>
      <c r="B356" s="179" t="s">
        <v>2537</v>
      </c>
      <c r="C356" s="114">
        <v>0</v>
      </c>
      <c r="D356" s="114" t="s">
        <v>991</v>
      </c>
      <c r="E356" s="114" t="s">
        <v>966</v>
      </c>
      <c r="F356" s="114" t="s">
        <v>909</v>
      </c>
      <c r="G356" s="114"/>
      <c r="H356" s="114"/>
      <c r="I356" s="114"/>
      <c r="J356" s="114"/>
      <c r="K356" s="114"/>
      <c r="L356" s="114"/>
      <c r="M356" s="114"/>
      <c r="N356" s="114">
        <v>9</v>
      </c>
      <c r="O356" s="192" t="s">
        <v>1444</v>
      </c>
      <c r="P356" s="192" t="s">
        <v>2538</v>
      </c>
      <c r="Q356" s="192" t="s">
        <v>2539</v>
      </c>
      <c r="R356" s="192" t="s">
        <v>1323</v>
      </c>
      <c r="S356" s="192" t="s">
        <v>1324</v>
      </c>
      <c r="T356" s="181" t="s">
        <v>2540</v>
      </c>
      <c r="U356" s="179" t="s">
        <v>2541</v>
      </c>
      <c r="V356" s="179" t="s">
        <v>2542</v>
      </c>
      <c r="W356" s="114" t="s">
        <v>2543</v>
      </c>
      <c r="X356" s="180">
        <v>32</v>
      </c>
      <c r="Y356" s="182" t="s">
        <v>1503</v>
      </c>
      <c r="Z356" s="183" t="s">
        <v>2544</v>
      </c>
      <c r="AA356" s="184"/>
      <c r="AB356" s="182"/>
      <c r="AC356" s="114">
        <v>4</v>
      </c>
      <c r="AD356" s="172" t="s">
        <v>887</v>
      </c>
      <c r="AE356" s="114"/>
      <c r="AF356" s="114"/>
      <c r="AG356" s="114"/>
      <c r="AH356" s="106"/>
      <c r="AI356" s="114"/>
      <c r="AJ356" s="106"/>
      <c r="AK356" s="114"/>
      <c r="AL356" s="106"/>
      <c r="AM356" s="114"/>
      <c r="AN356" s="106"/>
      <c r="AO356" s="114"/>
      <c r="AP356" s="106"/>
      <c r="AQ356" s="114"/>
      <c r="AR356" s="106" t="s">
        <v>915</v>
      </c>
      <c r="AS356" s="114"/>
      <c r="AT356" s="106"/>
      <c r="AU356" s="114"/>
      <c r="AV356" s="106"/>
      <c r="AW356" s="114"/>
      <c r="AX356" s="157"/>
      <c r="AY356" s="157"/>
      <c r="AZ356" s="157"/>
      <c r="BA356" s="157"/>
      <c r="BB356" s="157"/>
      <c r="BC356" s="157"/>
    </row>
    <row r="357" spans="1:55" ht="132" x14ac:dyDescent="0.3">
      <c r="A357" s="114">
        <f t="shared" si="8"/>
        <v>353</v>
      </c>
      <c r="B357" s="179" t="s">
        <v>2545</v>
      </c>
      <c r="C357" s="114">
        <v>0</v>
      </c>
      <c r="D357" s="114" t="s">
        <v>991</v>
      </c>
      <c r="E357" s="114" t="s">
        <v>966</v>
      </c>
      <c r="F357" s="114" t="s">
        <v>909</v>
      </c>
      <c r="G357" s="114"/>
      <c r="H357" s="114"/>
      <c r="I357" s="114"/>
      <c r="J357" s="114"/>
      <c r="K357" s="114"/>
      <c r="L357" s="114"/>
      <c r="M357" s="114"/>
      <c r="N357" s="114">
        <v>9</v>
      </c>
      <c r="O357" s="192" t="s">
        <v>1444</v>
      </c>
      <c r="P357" s="192" t="s">
        <v>2538</v>
      </c>
      <c r="Q357" s="192" t="s">
        <v>2546</v>
      </c>
      <c r="R357" s="192" t="s">
        <v>1323</v>
      </c>
      <c r="S357" s="192" t="s">
        <v>1324</v>
      </c>
      <c r="T357" s="181" t="s">
        <v>2547</v>
      </c>
      <c r="U357" s="179" t="s">
        <v>2548</v>
      </c>
      <c r="V357" s="179" t="s">
        <v>2549</v>
      </c>
      <c r="W357" s="114" t="s">
        <v>2550</v>
      </c>
      <c r="X357" s="180">
        <v>32</v>
      </c>
      <c r="Y357" s="182" t="s">
        <v>1503</v>
      </c>
      <c r="Z357" s="183" t="s">
        <v>2544</v>
      </c>
      <c r="AA357" s="184"/>
      <c r="AB357" s="182"/>
      <c r="AC357" s="114">
        <v>4</v>
      </c>
      <c r="AD357" s="172" t="s">
        <v>887</v>
      </c>
      <c r="AE357" s="114"/>
      <c r="AF357" s="114"/>
      <c r="AG357" s="114"/>
      <c r="AH357" s="106"/>
      <c r="AI357" s="114"/>
      <c r="AJ357" s="106"/>
      <c r="AK357" s="114"/>
      <c r="AL357" s="106"/>
      <c r="AM357" s="114"/>
      <c r="AN357" s="106"/>
      <c r="AO357" s="114"/>
      <c r="AP357" s="106"/>
      <c r="AQ357" s="114"/>
      <c r="AR357" s="106" t="s">
        <v>915</v>
      </c>
      <c r="AS357" s="114"/>
      <c r="AT357" s="106"/>
      <c r="AU357" s="114"/>
      <c r="AV357" s="106"/>
      <c r="AW357" s="114"/>
      <c r="AX357" s="157"/>
      <c r="AY357" s="157"/>
      <c r="AZ357" s="157"/>
      <c r="BA357" s="157"/>
      <c r="BB357" s="157"/>
      <c r="BC357" s="157"/>
    </row>
    <row r="358" spans="1:55" ht="118.8" x14ac:dyDescent="0.3">
      <c r="A358" s="114">
        <f t="shared" si="8"/>
        <v>354</v>
      </c>
      <c r="B358" s="179" t="s">
        <v>2551</v>
      </c>
      <c r="C358" s="114">
        <v>0</v>
      </c>
      <c r="D358" s="114" t="s">
        <v>991</v>
      </c>
      <c r="E358" s="114" t="s">
        <v>966</v>
      </c>
      <c r="F358" s="114" t="s">
        <v>909</v>
      </c>
      <c r="G358" s="114"/>
      <c r="H358" s="114"/>
      <c r="I358" s="114"/>
      <c r="J358" s="114"/>
      <c r="K358" s="114"/>
      <c r="L358" s="114"/>
      <c r="M358" s="114"/>
      <c r="N358" s="114">
        <v>9</v>
      </c>
      <c r="O358" s="192" t="s">
        <v>1444</v>
      </c>
      <c r="P358" s="192" t="s">
        <v>2538</v>
      </c>
      <c r="Q358" s="192" t="s">
        <v>1322</v>
      </c>
      <c r="R358" s="192" t="s">
        <v>1323</v>
      </c>
      <c r="S358" s="192" t="s">
        <v>1324</v>
      </c>
      <c r="T358" s="181" t="s">
        <v>2552</v>
      </c>
      <c r="U358" s="179" t="s">
        <v>2553</v>
      </c>
      <c r="V358" s="179" t="s">
        <v>2554</v>
      </c>
      <c r="W358" s="114" t="s">
        <v>2555</v>
      </c>
      <c r="X358" s="180">
        <v>32</v>
      </c>
      <c r="Y358" s="182" t="s">
        <v>1503</v>
      </c>
      <c r="Z358" s="183" t="s">
        <v>2556</v>
      </c>
      <c r="AA358" s="184"/>
      <c r="AB358" s="182"/>
      <c r="AC358" s="114">
        <v>4</v>
      </c>
      <c r="AD358" s="172" t="s">
        <v>887</v>
      </c>
      <c r="AE358" s="114"/>
      <c r="AF358" s="114"/>
      <c r="AG358" s="114"/>
      <c r="AH358" s="106"/>
      <c r="AI358" s="114"/>
      <c r="AJ358" s="106"/>
      <c r="AK358" s="114"/>
      <c r="AL358" s="106"/>
      <c r="AM358" s="114"/>
      <c r="AN358" s="106"/>
      <c r="AO358" s="114"/>
      <c r="AP358" s="106"/>
      <c r="AQ358" s="114"/>
      <c r="AR358" s="106" t="s">
        <v>915</v>
      </c>
      <c r="AS358" s="114"/>
      <c r="AT358" s="106"/>
      <c r="AU358" s="114"/>
      <c r="AV358" s="106"/>
      <c r="AW358" s="114"/>
      <c r="AX358" s="157"/>
      <c r="AY358" s="157"/>
      <c r="AZ358" s="157"/>
      <c r="BA358" s="157"/>
      <c r="BB358" s="157"/>
      <c r="BC358" s="157"/>
    </row>
    <row r="359" spans="1:55" ht="132" x14ac:dyDescent="0.3">
      <c r="A359" s="114">
        <f t="shared" si="8"/>
        <v>355</v>
      </c>
      <c r="B359" s="179" t="s">
        <v>2557</v>
      </c>
      <c r="C359" s="114">
        <v>0</v>
      </c>
      <c r="D359" s="114" t="s">
        <v>991</v>
      </c>
      <c r="E359" s="114" t="s">
        <v>966</v>
      </c>
      <c r="F359" s="114" t="s">
        <v>909</v>
      </c>
      <c r="G359" s="114"/>
      <c r="H359" s="114"/>
      <c r="I359" s="114"/>
      <c r="J359" s="114"/>
      <c r="K359" s="114"/>
      <c r="L359" s="114"/>
      <c r="M359" s="114"/>
      <c r="N359" s="114">
        <v>9</v>
      </c>
      <c r="O359" s="192" t="s">
        <v>1444</v>
      </c>
      <c r="P359" s="192" t="s">
        <v>2538</v>
      </c>
      <c r="Q359" s="192" t="s">
        <v>1332</v>
      </c>
      <c r="R359" s="192" t="s">
        <v>1323</v>
      </c>
      <c r="S359" s="192" t="s">
        <v>1324</v>
      </c>
      <c r="T359" s="181" t="s">
        <v>2558</v>
      </c>
      <c r="U359" s="179" t="s">
        <v>2559</v>
      </c>
      <c r="V359" s="179" t="s">
        <v>2560</v>
      </c>
      <c r="W359" s="114" t="s">
        <v>2561</v>
      </c>
      <c r="X359" s="180">
        <v>32</v>
      </c>
      <c r="Y359" s="182" t="s">
        <v>1503</v>
      </c>
      <c r="Z359" s="183" t="s">
        <v>2544</v>
      </c>
      <c r="AA359" s="184"/>
      <c r="AB359" s="182"/>
      <c r="AC359" s="114">
        <v>4</v>
      </c>
      <c r="AD359" s="172" t="s">
        <v>887</v>
      </c>
      <c r="AE359" s="114"/>
      <c r="AF359" s="114"/>
      <c r="AG359" s="114"/>
      <c r="AH359" s="106"/>
      <c r="AI359" s="114"/>
      <c r="AJ359" s="106"/>
      <c r="AK359" s="114"/>
      <c r="AL359" s="106"/>
      <c r="AM359" s="114"/>
      <c r="AN359" s="106"/>
      <c r="AO359" s="114"/>
      <c r="AP359" s="106"/>
      <c r="AQ359" s="114"/>
      <c r="AR359" s="106" t="s">
        <v>915</v>
      </c>
      <c r="AS359" s="114"/>
      <c r="AT359" s="106"/>
      <c r="AU359" s="114"/>
      <c r="AV359" s="106"/>
      <c r="AW359" s="114"/>
      <c r="AX359" s="157"/>
      <c r="AY359" s="157"/>
      <c r="AZ359" s="157"/>
      <c r="BA359" s="157"/>
      <c r="BB359" s="157"/>
      <c r="BC359" s="157"/>
    </row>
    <row r="360" spans="1:55" ht="132" x14ac:dyDescent="0.3">
      <c r="A360" s="114">
        <f t="shared" si="8"/>
        <v>356</v>
      </c>
      <c r="B360" s="179" t="s">
        <v>2562</v>
      </c>
      <c r="C360" s="114">
        <v>0</v>
      </c>
      <c r="D360" s="114" t="s">
        <v>991</v>
      </c>
      <c r="E360" s="114" t="s">
        <v>966</v>
      </c>
      <c r="F360" s="114" t="s">
        <v>909</v>
      </c>
      <c r="G360" s="114"/>
      <c r="H360" s="114"/>
      <c r="I360" s="114"/>
      <c r="J360" s="114"/>
      <c r="K360" s="114"/>
      <c r="L360" s="114"/>
      <c r="M360" s="114"/>
      <c r="N360" s="114">
        <v>9</v>
      </c>
      <c r="O360" s="192" t="s">
        <v>1444</v>
      </c>
      <c r="P360" s="192" t="s">
        <v>2538</v>
      </c>
      <c r="Q360" s="192" t="s">
        <v>1339</v>
      </c>
      <c r="R360" s="192" t="s">
        <v>1323</v>
      </c>
      <c r="S360" s="192" t="s">
        <v>1324</v>
      </c>
      <c r="T360" s="181" t="s">
        <v>2563</v>
      </c>
      <c r="U360" s="179" t="s">
        <v>2564</v>
      </c>
      <c r="V360" s="179" t="s">
        <v>2565</v>
      </c>
      <c r="W360" s="114" t="s">
        <v>2566</v>
      </c>
      <c r="X360" s="180">
        <v>32</v>
      </c>
      <c r="Y360" s="182" t="s">
        <v>1503</v>
      </c>
      <c r="Z360" s="183" t="s">
        <v>2544</v>
      </c>
      <c r="AA360" s="184"/>
      <c r="AB360" s="182"/>
      <c r="AC360" s="114">
        <v>4</v>
      </c>
      <c r="AD360" s="172" t="s">
        <v>887</v>
      </c>
      <c r="AE360" s="114"/>
      <c r="AF360" s="114"/>
      <c r="AG360" s="114"/>
      <c r="AH360" s="106"/>
      <c r="AI360" s="114"/>
      <c r="AJ360" s="106"/>
      <c r="AK360" s="114"/>
      <c r="AL360" s="106"/>
      <c r="AM360" s="114"/>
      <c r="AN360" s="106"/>
      <c r="AO360" s="114"/>
      <c r="AP360" s="106"/>
      <c r="AQ360" s="114"/>
      <c r="AR360" s="106" t="s">
        <v>915</v>
      </c>
      <c r="AS360" s="114"/>
      <c r="AT360" s="106"/>
      <c r="AU360" s="114"/>
      <c r="AV360" s="106"/>
      <c r="AW360" s="114"/>
      <c r="AX360" s="157"/>
      <c r="AY360" s="157"/>
      <c r="AZ360" s="157"/>
      <c r="BA360" s="157"/>
      <c r="BB360" s="157"/>
      <c r="BC360" s="157"/>
    </row>
    <row r="361" spans="1:55" ht="132" x14ac:dyDescent="0.3">
      <c r="A361" s="114">
        <f t="shared" si="8"/>
        <v>357</v>
      </c>
      <c r="B361" s="179" t="s">
        <v>2567</v>
      </c>
      <c r="C361" s="114">
        <v>0</v>
      </c>
      <c r="D361" s="114" t="s">
        <v>991</v>
      </c>
      <c r="E361" s="114" t="s">
        <v>966</v>
      </c>
      <c r="F361" s="114" t="s">
        <v>909</v>
      </c>
      <c r="G361" s="114"/>
      <c r="H361" s="114"/>
      <c r="I361" s="114"/>
      <c r="J361" s="114"/>
      <c r="K361" s="114"/>
      <c r="L361" s="114"/>
      <c r="M361" s="114"/>
      <c r="N361" s="114">
        <v>9</v>
      </c>
      <c r="O361" s="192" t="s">
        <v>1444</v>
      </c>
      <c r="P361" s="192" t="s">
        <v>2538</v>
      </c>
      <c r="Q361" s="192" t="s">
        <v>2568</v>
      </c>
      <c r="R361" s="192" t="s">
        <v>1323</v>
      </c>
      <c r="S361" s="192" t="s">
        <v>1324</v>
      </c>
      <c r="T361" s="181" t="s">
        <v>2569</v>
      </c>
      <c r="U361" s="179" t="s">
        <v>2570</v>
      </c>
      <c r="V361" s="179" t="s">
        <v>2571</v>
      </c>
      <c r="W361" s="114" t="s">
        <v>2572</v>
      </c>
      <c r="X361" s="180">
        <v>32</v>
      </c>
      <c r="Y361" s="182" t="s">
        <v>1503</v>
      </c>
      <c r="Z361" s="183" t="s">
        <v>2544</v>
      </c>
      <c r="AA361" s="184"/>
      <c r="AB361" s="182"/>
      <c r="AC361" s="114">
        <v>4</v>
      </c>
      <c r="AD361" s="172" t="s">
        <v>887</v>
      </c>
      <c r="AE361" s="114"/>
      <c r="AF361" s="114"/>
      <c r="AG361" s="114"/>
      <c r="AH361" s="106"/>
      <c r="AI361" s="114"/>
      <c r="AJ361" s="106"/>
      <c r="AK361" s="114"/>
      <c r="AL361" s="106"/>
      <c r="AM361" s="114"/>
      <c r="AN361" s="106"/>
      <c r="AO361" s="114"/>
      <c r="AP361" s="106"/>
      <c r="AQ361" s="114"/>
      <c r="AR361" s="106" t="s">
        <v>915</v>
      </c>
      <c r="AS361" s="114"/>
      <c r="AT361" s="106"/>
      <c r="AU361" s="114"/>
      <c r="AV361" s="106"/>
      <c r="AW361" s="114"/>
      <c r="AX361" s="157"/>
      <c r="AY361" s="157"/>
      <c r="AZ361" s="157"/>
      <c r="BA361" s="157"/>
      <c r="BB361" s="157"/>
      <c r="BC361" s="157"/>
    </row>
    <row r="362" spans="1:55" ht="132" x14ac:dyDescent="0.3">
      <c r="A362" s="114">
        <f>A361+1</f>
        <v>358</v>
      </c>
      <c r="B362" s="179" t="s">
        <v>2573</v>
      </c>
      <c r="C362" s="114">
        <v>0</v>
      </c>
      <c r="D362" s="114" t="s">
        <v>991</v>
      </c>
      <c r="E362" s="114" t="s">
        <v>966</v>
      </c>
      <c r="F362" s="114" t="s">
        <v>909</v>
      </c>
      <c r="G362" s="114"/>
      <c r="H362" s="114"/>
      <c r="I362" s="114"/>
      <c r="J362" s="114"/>
      <c r="K362" s="114"/>
      <c r="L362" s="114"/>
      <c r="M362" s="114"/>
      <c r="N362" s="114">
        <v>9</v>
      </c>
      <c r="O362" s="192" t="s">
        <v>1444</v>
      </c>
      <c r="P362" s="192" t="s">
        <v>2538</v>
      </c>
      <c r="Q362" s="192" t="s">
        <v>2574</v>
      </c>
      <c r="R362" s="192" t="s">
        <v>1323</v>
      </c>
      <c r="S362" s="192" t="s">
        <v>1324</v>
      </c>
      <c r="T362" s="181" t="s">
        <v>2575</v>
      </c>
      <c r="U362" s="179" t="s">
        <v>2576</v>
      </c>
      <c r="V362" s="179" t="s">
        <v>2577</v>
      </c>
      <c r="W362" s="114" t="s">
        <v>2578</v>
      </c>
      <c r="X362" s="180">
        <v>32</v>
      </c>
      <c r="Y362" s="182" t="s">
        <v>1503</v>
      </c>
      <c r="Z362" s="183" t="s">
        <v>2544</v>
      </c>
      <c r="AA362" s="184"/>
      <c r="AB362" s="182"/>
      <c r="AC362" s="114">
        <v>4</v>
      </c>
      <c r="AD362" s="172" t="s">
        <v>887</v>
      </c>
      <c r="AE362" s="114"/>
      <c r="AF362" s="114"/>
      <c r="AG362" s="114"/>
      <c r="AH362" s="106"/>
      <c r="AI362" s="114"/>
      <c r="AJ362" s="106"/>
      <c r="AK362" s="114"/>
      <c r="AL362" s="106"/>
      <c r="AM362" s="114"/>
      <c r="AN362" s="106"/>
      <c r="AO362" s="114"/>
      <c r="AP362" s="106"/>
      <c r="AQ362" s="114"/>
      <c r="AR362" s="106" t="s">
        <v>915</v>
      </c>
      <c r="AS362" s="114"/>
      <c r="AT362" s="106"/>
      <c r="AU362" s="114"/>
      <c r="AV362" s="106"/>
      <c r="AW362" s="114"/>
      <c r="AX362" s="157"/>
      <c r="AY362" s="157"/>
      <c r="AZ362" s="157"/>
      <c r="BA362" s="157"/>
      <c r="BB362" s="157"/>
      <c r="BC362" s="157"/>
    </row>
    <row r="363" spans="1:55" ht="132" x14ac:dyDescent="0.3">
      <c r="A363" s="114">
        <f t="shared" si="8"/>
        <v>359</v>
      </c>
      <c r="B363" s="179" t="s">
        <v>2579</v>
      </c>
      <c r="C363" s="114">
        <v>0</v>
      </c>
      <c r="D363" s="114" t="s">
        <v>991</v>
      </c>
      <c r="E363" s="114" t="s">
        <v>966</v>
      </c>
      <c r="F363" s="114" t="s">
        <v>909</v>
      </c>
      <c r="G363" s="114"/>
      <c r="H363" s="114"/>
      <c r="I363" s="114"/>
      <c r="J363" s="114"/>
      <c r="K363" s="114"/>
      <c r="L363" s="114"/>
      <c r="M363" s="114"/>
      <c r="N363" s="114">
        <v>9</v>
      </c>
      <c r="O363" s="192" t="s">
        <v>1444</v>
      </c>
      <c r="P363" s="192" t="s">
        <v>2538</v>
      </c>
      <c r="Q363" s="192" t="s">
        <v>1846</v>
      </c>
      <c r="R363" s="192" t="s">
        <v>1323</v>
      </c>
      <c r="S363" s="192" t="s">
        <v>1324</v>
      </c>
      <c r="T363" s="181" t="s">
        <v>2580</v>
      </c>
      <c r="U363" s="179" t="s">
        <v>2581</v>
      </c>
      <c r="V363" s="179" t="s">
        <v>2582</v>
      </c>
      <c r="W363" s="114" t="s">
        <v>2583</v>
      </c>
      <c r="X363" s="180">
        <v>32</v>
      </c>
      <c r="Y363" s="182" t="s">
        <v>1503</v>
      </c>
      <c r="Z363" s="183" t="s">
        <v>2544</v>
      </c>
      <c r="AA363" s="184"/>
      <c r="AB363" s="182"/>
      <c r="AC363" s="114">
        <v>4</v>
      </c>
      <c r="AD363" s="172" t="s">
        <v>887</v>
      </c>
      <c r="AE363" s="114"/>
      <c r="AF363" s="114"/>
      <c r="AG363" s="114"/>
      <c r="AH363" s="106"/>
      <c r="AI363" s="114"/>
      <c r="AJ363" s="106"/>
      <c r="AK363" s="114"/>
      <c r="AL363" s="106"/>
      <c r="AM363" s="114"/>
      <c r="AN363" s="106"/>
      <c r="AO363" s="114"/>
      <c r="AP363" s="106"/>
      <c r="AQ363" s="114"/>
      <c r="AR363" s="106" t="s">
        <v>915</v>
      </c>
      <c r="AS363" s="114"/>
      <c r="AT363" s="106"/>
      <c r="AU363" s="114"/>
      <c r="AV363" s="106"/>
      <c r="AW363" s="114"/>
      <c r="AX363" s="157"/>
      <c r="AY363" s="157"/>
      <c r="AZ363" s="157"/>
      <c r="BA363" s="157"/>
      <c r="BB363" s="157"/>
      <c r="BC363" s="157"/>
    </row>
    <row r="364" spans="1:55" ht="118.8" x14ac:dyDescent="0.3">
      <c r="A364" s="114">
        <f t="shared" si="8"/>
        <v>360</v>
      </c>
      <c r="B364" s="179" t="s">
        <v>2584</v>
      </c>
      <c r="C364" s="114">
        <v>0</v>
      </c>
      <c r="D364" s="114" t="s">
        <v>991</v>
      </c>
      <c r="E364" s="114" t="s">
        <v>966</v>
      </c>
      <c r="F364" s="114" t="s">
        <v>909</v>
      </c>
      <c r="G364" s="114"/>
      <c r="H364" s="114"/>
      <c r="I364" s="114"/>
      <c r="J364" s="114"/>
      <c r="K364" s="114"/>
      <c r="L364" s="114"/>
      <c r="M364" s="114"/>
      <c r="N364" s="114">
        <v>9</v>
      </c>
      <c r="O364" s="192" t="s">
        <v>1444</v>
      </c>
      <c r="P364" s="192" t="s">
        <v>2538</v>
      </c>
      <c r="Q364" s="192" t="s">
        <v>2585</v>
      </c>
      <c r="R364" s="192" t="s">
        <v>1323</v>
      </c>
      <c r="S364" s="192" t="s">
        <v>1324</v>
      </c>
      <c r="T364" s="181" t="s">
        <v>2586</v>
      </c>
      <c r="U364" s="179" t="s">
        <v>2587</v>
      </c>
      <c r="V364" s="179" t="s">
        <v>2588</v>
      </c>
      <c r="W364" s="114" t="s">
        <v>2589</v>
      </c>
      <c r="X364" s="180">
        <v>32</v>
      </c>
      <c r="Y364" s="182" t="s">
        <v>1503</v>
      </c>
      <c r="Z364" s="183" t="s">
        <v>2556</v>
      </c>
      <c r="AA364" s="184"/>
      <c r="AB364" s="182"/>
      <c r="AC364" s="114">
        <v>4</v>
      </c>
      <c r="AD364" s="172" t="s">
        <v>887</v>
      </c>
      <c r="AE364" s="114"/>
      <c r="AF364" s="114"/>
      <c r="AG364" s="114"/>
      <c r="AH364" s="106"/>
      <c r="AI364" s="114"/>
      <c r="AJ364" s="106"/>
      <c r="AK364" s="114"/>
      <c r="AL364" s="106"/>
      <c r="AM364" s="114"/>
      <c r="AN364" s="106"/>
      <c r="AO364" s="114"/>
      <c r="AP364" s="106"/>
      <c r="AQ364" s="114"/>
      <c r="AR364" s="106" t="s">
        <v>915</v>
      </c>
      <c r="AS364" s="114"/>
      <c r="AT364" s="106"/>
      <c r="AU364" s="114"/>
      <c r="AV364" s="106"/>
      <c r="AW364" s="114"/>
      <c r="AX364" s="157"/>
      <c r="AY364" s="157"/>
      <c r="AZ364" s="157"/>
      <c r="BA364" s="157"/>
      <c r="BB364" s="157"/>
      <c r="BC364" s="157"/>
    </row>
    <row r="365" spans="1:55" ht="132" x14ac:dyDescent="0.3">
      <c r="A365" s="114">
        <f t="shared" si="8"/>
        <v>361</v>
      </c>
      <c r="B365" s="179" t="s">
        <v>2590</v>
      </c>
      <c r="C365" s="114">
        <v>0</v>
      </c>
      <c r="D365" s="114" t="s">
        <v>991</v>
      </c>
      <c r="E365" s="114" t="s">
        <v>966</v>
      </c>
      <c r="F365" s="114" t="s">
        <v>909</v>
      </c>
      <c r="G365" s="114"/>
      <c r="H365" s="114"/>
      <c r="I365" s="114"/>
      <c r="J365" s="114"/>
      <c r="K365" s="114"/>
      <c r="L365" s="114"/>
      <c r="M365" s="114"/>
      <c r="N365" s="114">
        <v>9</v>
      </c>
      <c r="O365" s="192" t="s">
        <v>1444</v>
      </c>
      <c r="P365" s="192" t="s">
        <v>2538</v>
      </c>
      <c r="Q365" s="192" t="s">
        <v>2591</v>
      </c>
      <c r="R365" s="192" t="s">
        <v>1323</v>
      </c>
      <c r="S365" s="192" t="s">
        <v>1324</v>
      </c>
      <c r="T365" s="181" t="s">
        <v>2592</v>
      </c>
      <c r="U365" s="179" t="s">
        <v>2593</v>
      </c>
      <c r="V365" s="179" t="s">
        <v>2594</v>
      </c>
      <c r="W365" s="114" t="s">
        <v>2595</v>
      </c>
      <c r="X365" s="180">
        <v>32</v>
      </c>
      <c r="Y365" s="182" t="s">
        <v>1503</v>
      </c>
      <c r="Z365" s="183" t="s">
        <v>2544</v>
      </c>
      <c r="AA365" s="184"/>
      <c r="AB365" s="182"/>
      <c r="AC365" s="114">
        <v>4</v>
      </c>
      <c r="AD365" s="172" t="s">
        <v>887</v>
      </c>
      <c r="AE365" s="114"/>
      <c r="AF365" s="114"/>
      <c r="AG365" s="114"/>
      <c r="AH365" s="106"/>
      <c r="AI365" s="114"/>
      <c r="AJ365" s="106"/>
      <c r="AK365" s="114"/>
      <c r="AL365" s="106"/>
      <c r="AM365" s="114"/>
      <c r="AN365" s="106"/>
      <c r="AO365" s="114"/>
      <c r="AP365" s="106"/>
      <c r="AQ365" s="114"/>
      <c r="AR365" s="106" t="s">
        <v>915</v>
      </c>
      <c r="AS365" s="114"/>
      <c r="AT365" s="106"/>
      <c r="AU365" s="114"/>
      <c r="AV365" s="106"/>
      <c r="AW365" s="114"/>
      <c r="AX365" s="157"/>
      <c r="AY365" s="157"/>
      <c r="AZ365" s="157"/>
      <c r="BA365" s="157"/>
      <c r="BB365" s="157"/>
      <c r="BC365" s="157"/>
    </row>
    <row r="366" spans="1:55" ht="132" x14ac:dyDescent="0.3">
      <c r="A366" s="114">
        <f t="shared" si="8"/>
        <v>362</v>
      </c>
      <c r="B366" s="179" t="s">
        <v>2596</v>
      </c>
      <c r="C366" s="114">
        <v>0</v>
      </c>
      <c r="D366" s="114" t="s">
        <v>991</v>
      </c>
      <c r="E366" s="114" t="s">
        <v>966</v>
      </c>
      <c r="F366" s="114" t="s">
        <v>909</v>
      </c>
      <c r="G366" s="114"/>
      <c r="H366" s="114"/>
      <c r="I366" s="114"/>
      <c r="J366" s="114"/>
      <c r="K366" s="114"/>
      <c r="L366" s="114"/>
      <c r="M366" s="114"/>
      <c r="N366" s="114">
        <v>9</v>
      </c>
      <c r="O366" s="192" t="s">
        <v>1444</v>
      </c>
      <c r="P366" s="192" t="s">
        <v>2538</v>
      </c>
      <c r="Q366" s="192" t="s">
        <v>2597</v>
      </c>
      <c r="R366" s="192" t="s">
        <v>1323</v>
      </c>
      <c r="S366" s="192" t="s">
        <v>1324</v>
      </c>
      <c r="T366" s="181" t="s">
        <v>2598</v>
      </c>
      <c r="U366" s="179" t="s">
        <v>2599</v>
      </c>
      <c r="V366" s="179" t="s">
        <v>2600</v>
      </c>
      <c r="W366" s="114" t="s">
        <v>2601</v>
      </c>
      <c r="X366" s="180">
        <v>32</v>
      </c>
      <c r="Y366" s="182" t="s">
        <v>1503</v>
      </c>
      <c r="Z366" s="183" t="s">
        <v>2544</v>
      </c>
      <c r="AA366" s="184"/>
      <c r="AB366" s="182"/>
      <c r="AC366" s="114">
        <v>4</v>
      </c>
      <c r="AD366" s="172" t="s">
        <v>887</v>
      </c>
      <c r="AE366" s="114"/>
      <c r="AF366" s="114"/>
      <c r="AG366" s="114"/>
      <c r="AH366" s="106"/>
      <c r="AI366" s="114"/>
      <c r="AJ366" s="106"/>
      <c r="AK366" s="114"/>
      <c r="AL366" s="106"/>
      <c r="AM366" s="114"/>
      <c r="AN366" s="106"/>
      <c r="AO366" s="114"/>
      <c r="AP366" s="106"/>
      <c r="AQ366" s="114"/>
      <c r="AR366" s="106" t="s">
        <v>915</v>
      </c>
      <c r="AS366" s="114"/>
      <c r="AT366" s="106"/>
      <c r="AU366" s="114"/>
      <c r="AV366" s="106"/>
      <c r="AW366" s="114"/>
      <c r="AX366" s="157"/>
      <c r="AY366" s="157"/>
      <c r="AZ366" s="157"/>
      <c r="BA366" s="157"/>
      <c r="BB366" s="157"/>
      <c r="BC366" s="157"/>
    </row>
    <row r="367" spans="1:55" ht="132" x14ac:dyDescent="0.3">
      <c r="A367" s="114">
        <f t="shared" si="8"/>
        <v>363</v>
      </c>
      <c r="B367" s="179" t="s">
        <v>2602</v>
      </c>
      <c r="C367" s="114">
        <v>0</v>
      </c>
      <c r="D367" s="114" t="s">
        <v>991</v>
      </c>
      <c r="E367" s="114" t="s">
        <v>966</v>
      </c>
      <c r="F367" s="114" t="s">
        <v>909</v>
      </c>
      <c r="G367" s="114"/>
      <c r="H367" s="114"/>
      <c r="I367" s="114"/>
      <c r="J367" s="114"/>
      <c r="K367" s="114"/>
      <c r="L367" s="114"/>
      <c r="M367" s="114"/>
      <c r="N367" s="114">
        <v>9</v>
      </c>
      <c r="O367" s="192" t="s">
        <v>1444</v>
      </c>
      <c r="P367" s="192" t="s">
        <v>2538</v>
      </c>
      <c r="Q367" s="192" t="s">
        <v>2603</v>
      </c>
      <c r="R367" s="192" t="s">
        <v>1323</v>
      </c>
      <c r="S367" s="192" t="s">
        <v>1324</v>
      </c>
      <c r="T367" s="181" t="s">
        <v>2604</v>
      </c>
      <c r="U367" s="179" t="s">
        <v>2605</v>
      </c>
      <c r="V367" s="179" t="s">
        <v>2606</v>
      </c>
      <c r="W367" s="114" t="s">
        <v>2607</v>
      </c>
      <c r="X367" s="180">
        <v>32</v>
      </c>
      <c r="Y367" s="182" t="s">
        <v>1503</v>
      </c>
      <c r="Z367" s="183" t="s">
        <v>2544</v>
      </c>
      <c r="AA367" s="184"/>
      <c r="AB367" s="182"/>
      <c r="AC367" s="114">
        <v>4</v>
      </c>
      <c r="AD367" s="172" t="s">
        <v>887</v>
      </c>
      <c r="AE367" s="114"/>
      <c r="AF367" s="114"/>
      <c r="AG367" s="114"/>
      <c r="AH367" s="106"/>
      <c r="AI367" s="114"/>
      <c r="AJ367" s="106"/>
      <c r="AK367" s="114"/>
      <c r="AL367" s="106"/>
      <c r="AM367" s="114"/>
      <c r="AN367" s="106"/>
      <c r="AO367" s="114"/>
      <c r="AP367" s="106"/>
      <c r="AQ367" s="114"/>
      <c r="AR367" s="106" t="s">
        <v>915</v>
      </c>
      <c r="AS367" s="114"/>
      <c r="AT367" s="106"/>
      <c r="AU367" s="114"/>
      <c r="AV367" s="106"/>
      <c r="AW367" s="114"/>
      <c r="AX367" s="157"/>
      <c r="AY367" s="157"/>
      <c r="AZ367" s="157"/>
      <c r="BA367" s="157"/>
      <c r="BB367" s="157"/>
      <c r="BC367" s="157"/>
    </row>
    <row r="368" spans="1:55" ht="132" x14ac:dyDescent="0.3">
      <c r="A368" s="114">
        <f t="shared" si="8"/>
        <v>364</v>
      </c>
      <c r="B368" s="179" t="s">
        <v>2608</v>
      </c>
      <c r="C368" s="114">
        <v>0</v>
      </c>
      <c r="D368" s="114" t="s">
        <v>991</v>
      </c>
      <c r="E368" s="114" t="s">
        <v>966</v>
      </c>
      <c r="F368" s="114" t="s">
        <v>909</v>
      </c>
      <c r="G368" s="114"/>
      <c r="H368" s="114"/>
      <c r="I368" s="114"/>
      <c r="J368" s="114"/>
      <c r="K368" s="114"/>
      <c r="L368" s="114"/>
      <c r="M368" s="114"/>
      <c r="N368" s="114">
        <v>9</v>
      </c>
      <c r="O368" s="192" t="s">
        <v>1444</v>
      </c>
      <c r="P368" s="192" t="s">
        <v>2538</v>
      </c>
      <c r="Q368" s="192" t="s">
        <v>2609</v>
      </c>
      <c r="R368" s="192" t="s">
        <v>1323</v>
      </c>
      <c r="S368" s="192" t="s">
        <v>1324</v>
      </c>
      <c r="T368" s="181" t="s">
        <v>2610</v>
      </c>
      <c r="U368" s="179" t="s">
        <v>2611</v>
      </c>
      <c r="V368" s="179" t="s">
        <v>2612</v>
      </c>
      <c r="W368" s="114" t="s">
        <v>2613</v>
      </c>
      <c r="X368" s="180">
        <v>32</v>
      </c>
      <c r="Y368" s="182" t="s">
        <v>1503</v>
      </c>
      <c r="Z368" s="183" t="s">
        <v>2544</v>
      </c>
      <c r="AA368" s="184"/>
      <c r="AB368" s="182"/>
      <c r="AC368" s="114">
        <v>4</v>
      </c>
      <c r="AD368" s="172" t="s">
        <v>887</v>
      </c>
      <c r="AE368" s="114"/>
      <c r="AF368" s="114"/>
      <c r="AG368" s="114"/>
      <c r="AH368" s="106"/>
      <c r="AI368" s="114"/>
      <c r="AJ368" s="106"/>
      <c r="AK368" s="114"/>
      <c r="AL368" s="106"/>
      <c r="AM368" s="114"/>
      <c r="AN368" s="106"/>
      <c r="AO368" s="114"/>
      <c r="AP368" s="106"/>
      <c r="AQ368" s="114"/>
      <c r="AR368" s="106" t="s">
        <v>915</v>
      </c>
      <c r="AS368" s="114"/>
      <c r="AT368" s="106"/>
      <c r="AU368" s="114"/>
      <c r="AV368" s="106"/>
      <c r="AW368" s="114"/>
      <c r="AX368" s="157"/>
      <c r="AY368" s="157"/>
      <c r="AZ368" s="157"/>
      <c r="BA368" s="157"/>
      <c r="BB368" s="157"/>
      <c r="BC368" s="157"/>
    </row>
    <row r="369" spans="1:55" ht="132" x14ac:dyDescent="0.3">
      <c r="A369" s="114">
        <f t="shared" si="8"/>
        <v>365</v>
      </c>
      <c r="B369" s="179" t="s">
        <v>2614</v>
      </c>
      <c r="C369" s="114">
        <v>0</v>
      </c>
      <c r="D369" s="114" t="s">
        <v>991</v>
      </c>
      <c r="E369" s="114" t="s">
        <v>966</v>
      </c>
      <c r="F369" s="114" t="s">
        <v>909</v>
      </c>
      <c r="G369" s="114"/>
      <c r="H369" s="114"/>
      <c r="I369" s="114"/>
      <c r="J369" s="114"/>
      <c r="K369" s="114"/>
      <c r="L369" s="114"/>
      <c r="M369" s="114"/>
      <c r="N369" s="114">
        <v>9</v>
      </c>
      <c r="O369" s="192" t="s">
        <v>1444</v>
      </c>
      <c r="P369" s="192" t="s">
        <v>2538</v>
      </c>
      <c r="Q369" s="192" t="s">
        <v>2615</v>
      </c>
      <c r="R369" s="192" t="s">
        <v>1323</v>
      </c>
      <c r="S369" s="192" t="s">
        <v>1324</v>
      </c>
      <c r="T369" s="181" t="s">
        <v>2616</v>
      </c>
      <c r="U369" s="179" t="s">
        <v>2617</v>
      </c>
      <c r="V369" s="179" t="s">
        <v>2618</v>
      </c>
      <c r="W369" s="114" t="s">
        <v>2619</v>
      </c>
      <c r="X369" s="180">
        <v>32</v>
      </c>
      <c r="Y369" s="182" t="s">
        <v>1503</v>
      </c>
      <c r="Z369" s="183" t="s">
        <v>2544</v>
      </c>
      <c r="AA369" s="184"/>
      <c r="AB369" s="182"/>
      <c r="AC369" s="114">
        <v>4</v>
      </c>
      <c r="AD369" s="172" t="s">
        <v>887</v>
      </c>
      <c r="AE369" s="114"/>
      <c r="AF369" s="114"/>
      <c r="AG369" s="114"/>
      <c r="AH369" s="106"/>
      <c r="AI369" s="114"/>
      <c r="AJ369" s="106"/>
      <c r="AK369" s="114"/>
      <c r="AL369" s="106"/>
      <c r="AM369" s="114"/>
      <c r="AN369" s="106"/>
      <c r="AO369" s="114"/>
      <c r="AP369" s="106"/>
      <c r="AQ369" s="114"/>
      <c r="AR369" s="106" t="s">
        <v>915</v>
      </c>
      <c r="AS369" s="114"/>
      <c r="AT369" s="106"/>
      <c r="AU369" s="114"/>
      <c r="AV369" s="106"/>
      <c r="AW369" s="114"/>
      <c r="AX369" s="157"/>
      <c r="AY369" s="157"/>
      <c r="AZ369" s="157"/>
      <c r="BA369" s="157"/>
      <c r="BB369" s="157"/>
      <c r="BC369" s="157"/>
    </row>
    <row r="370" spans="1:55" ht="132" x14ac:dyDescent="0.3">
      <c r="A370" s="114">
        <f t="shared" si="8"/>
        <v>366</v>
      </c>
      <c r="B370" s="179" t="s">
        <v>2620</v>
      </c>
      <c r="C370" s="114">
        <v>0</v>
      </c>
      <c r="D370" s="114" t="s">
        <v>991</v>
      </c>
      <c r="E370" s="114" t="s">
        <v>966</v>
      </c>
      <c r="F370" s="114" t="s">
        <v>909</v>
      </c>
      <c r="G370" s="114"/>
      <c r="H370" s="114"/>
      <c r="I370" s="114"/>
      <c r="J370" s="114"/>
      <c r="K370" s="114"/>
      <c r="L370" s="114"/>
      <c r="M370" s="114"/>
      <c r="N370" s="114">
        <v>9</v>
      </c>
      <c r="O370" s="192" t="s">
        <v>1444</v>
      </c>
      <c r="P370" s="192" t="s">
        <v>2538</v>
      </c>
      <c r="Q370" s="192" t="s">
        <v>2621</v>
      </c>
      <c r="R370" s="192" t="s">
        <v>1323</v>
      </c>
      <c r="S370" s="192" t="s">
        <v>1324</v>
      </c>
      <c r="T370" s="181" t="s">
        <v>2622</v>
      </c>
      <c r="U370" s="179" t="s">
        <v>2623</v>
      </c>
      <c r="V370" s="179" t="s">
        <v>2624</v>
      </c>
      <c r="W370" s="114" t="s">
        <v>2625</v>
      </c>
      <c r="X370" s="180">
        <v>32</v>
      </c>
      <c r="Y370" s="182" t="s">
        <v>1503</v>
      </c>
      <c r="Z370" s="183" t="s">
        <v>2544</v>
      </c>
      <c r="AA370" s="184"/>
      <c r="AB370" s="182"/>
      <c r="AC370" s="114">
        <v>4</v>
      </c>
      <c r="AD370" s="172" t="s">
        <v>887</v>
      </c>
      <c r="AE370" s="114"/>
      <c r="AF370" s="114"/>
      <c r="AG370" s="114"/>
      <c r="AH370" s="106"/>
      <c r="AI370" s="114"/>
      <c r="AJ370" s="106"/>
      <c r="AK370" s="114"/>
      <c r="AL370" s="106"/>
      <c r="AM370" s="114"/>
      <c r="AN370" s="106"/>
      <c r="AO370" s="114"/>
      <c r="AP370" s="106"/>
      <c r="AQ370" s="114"/>
      <c r="AR370" s="106" t="s">
        <v>915</v>
      </c>
      <c r="AS370" s="114"/>
      <c r="AT370" s="106"/>
      <c r="AU370" s="114"/>
      <c r="AV370" s="106"/>
      <c r="AW370" s="114"/>
      <c r="AX370" s="157"/>
      <c r="AY370" s="157"/>
      <c r="AZ370" s="157"/>
      <c r="BA370" s="157"/>
      <c r="BB370" s="157"/>
      <c r="BC370" s="157"/>
    </row>
    <row r="371" spans="1:55" ht="132" x14ac:dyDescent="0.3">
      <c r="A371" s="114">
        <f>A370+1</f>
        <v>367</v>
      </c>
      <c r="B371" s="179" t="s">
        <v>2626</v>
      </c>
      <c r="C371" s="114">
        <v>0</v>
      </c>
      <c r="D371" s="114" t="s">
        <v>991</v>
      </c>
      <c r="E371" s="114" t="s">
        <v>966</v>
      </c>
      <c r="F371" s="114" t="s">
        <v>909</v>
      </c>
      <c r="G371" s="114"/>
      <c r="H371" s="114"/>
      <c r="I371" s="114"/>
      <c r="J371" s="114"/>
      <c r="K371" s="114"/>
      <c r="L371" s="114"/>
      <c r="M371" s="114"/>
      <c r="N371" s="114">
        <v>9</v>
      </c>
      <c r="O371" s="192" t="s">
        <v>1444</v>
      </c>
      <c r="P371" s="192" t="s">
        <v>2538</v>
      </c>
      <c r="Q371" s="192" t="s">
        <v>2627</v>
      </c>
      <c r="R371" s="192" t="s">
        <v>1323</v>
      </c>
      <c r="S371" s="192" t="s">
        <v>1324</v>
      </c>
      <c r="T371" s="181" t="s">
        <v>2628</v>
      </c>
      <c r="U371" s="179" t="s">
        <v>2629</v>
      </c>
      <c r="V371" s="179" t="s">
        <v>2630</v>
      </c>
      <c r="W371" s="114" t="s">
        <v>2631</v>
      </c>
      <c r="X371" s="180">
        <v>32</v>
      </c>
      <c r="Y371" s="182" t="s">
        <v>1503</v>
      </c>
      <c r="Z371" s="183" t="s">
        <v>2544</v>
      </c>
      <c r="AA371" s="184"/>
      <c r="AB371" s="182"/>
      <c r="AC371" s="114">
        <v>4</v>
      </c>
      <c r="AD371" s="172" t="s">
        <v>887</v>
      </c>
      <c r="AE371" s="114"/>
      <c r="AF371" s="114"/>
      <c r="AG371" s="114"/>
      <c r="AH371" s="106"/>
      <c r="AI371" s="114"/>
      <c r="AJ371" s="106"/>
      <c r="AK371" s="114"/>
      <c r="AL371" s="106"/>
      <c r="AM371" s="114"/>
      <c r="AN371" s="106"/>
      <c r="AO371" s="114"/>
      <c r="AP371" s="106"/>
      <c r="AQ371" s="114"/>
      <c r="AR371" s="106" t="s">
        <v>915</v>
      </c>
      <c r="AS371" s="114"/>
      <c r="AT371" s="106"/>
      <c r="AU371" s="114"/>
      <c r="AV371" s="106"/>
      <c r="AW371" s="114"/>
      <c r="AX371" s="157"/>
      <c r="AY371" s="157"/>
      <c r="AZ371" s="157"/>
      <c r="BA371" s="157"/>
      <c r="BB371" s="157"/>
      <c r="BC371" s="157"/>
    </row>
    <row r="372" spans="1:55" x14ac:dyDescent="0.3">
      <c r="A372" s="114">
        <f t="shared" si="8"/>
        <v>368</v>
      </c>
      <c r="B372" s="179" t="s">
        <v>2632</v>
      </c>
      <c r="C372" s="114">
        <v>0</v>
      </c>
      <c r="D372" s="114" t="s">
        <v>991</v>
      </c>
      <c r="E372" s="114" t="s">
        <v>966</v>
      </c>
      <c r="F372" s="114" t="s">
        <v>909</v>
      </c>
      <c r="G372" s="114"/>
      <c r="H372" s="114"/>
      <c r="I372" s="114"/>
      <c r="J372" s="114"/>
      <c r="K372" s="114"/>
      <c r="L372" s="114"/>
      <c r="M372" s="114"/>
      <c r="N372" s="114">
        <v>9</v>
      </c>
      <c r="O372" s="180">
        <v>-1073741824</v>
      </c>
      <c r="P372" s="180">
        <v>1073741823</v>
      </c>
      <c r="Q372" s="180">
        <v>0</v>
      </c>
      <c r="R372" s="180"/>
      <c r="S372" s="180"/>
      <c r="T372" s="181" t="s">
        <v>595</v>
      </c>
      <c r="U372" s="179" t="s">
        <v>2633</v>
      </c>
      <c r="V372" s="179" t="s">
        <v>2634</v>
      </c>
      <c r="W372" s="114" t="s">
        <v>2635</v>
      </c>
      <c r="X372" s="180">
        <v>32</v>
      </c>
      <c r="Y372" s="182" t="s">
        <v>913</v>
      </c>
      <c r="Z372" s="183"/>
      <c r="AA372" s="184"/>
      <c r="AB372" s="182"/>
      <c r="AC372" s="114">
        <v>3</v>
      </c>
      <c r="AD372" s="172" t="s">
        <v>887</v>
      </c>
      <c r="AE372" s="114"/>
      <c r="AF372" s="114"/>
      <c r="AG372" s="114"/>
      <c r="AH372" s="106"/>
      <c r="AI372" s="114"/>
      <c r="AJ372" s="106"/>
      <c r="AK372" s="114"/>
      <c r="AL372" s="106"/>
      <c r="AM372" s="114"/>
      <c r="AN372" s="106"/>
      <c r="AO372" s="114"/>
      <c r="AP372" s="106"/>
      <c r="AQ372" s="114"/>
      <c r="AR372" s="106"/>
      <c r="AS372" s="114"/>
      <c r="AT372" s="106"/>
      <c r="AU372" s="114"/>
      <c r="AV372" s="106" t="s">
        <v>915</v>
      </c>
      <c r="AW372" s="114"/>
      <c r="AX372" s="157"/>
      <c r="AY372" s="157"/>
      <c r="AZ372" s="157"/>
      <c r="BA372" s="157"/>
      <c r="BB372" s="157"/>
      <c r="BC372" s="157"/>
    </row>
    <row r="373" spans="1:55" ht="26.4" x14ac:dyDescent="0.3">
      <c r="A373" s="114">
        <f>A372+1</f>
        <v>369</v>
      </c>
      <c r="B373" s="179" t="s">
        <v>2636</v>
      </c>
      <c r="C373" s="114">
        <v>0</v>
      </c>
      <c r="D373" s="114" t="s">
        <v>991</v>
      </c>
      <c r="E373" s="114" t="s">
        <v>980</v>
      </c>
      <c r="F373" s="114" t="s">
        <v>909</v>
      </c>
      <c r="G373" s="114"/>
      <c r="H373" s="114"/>
      <c r="I373" s="114"/>
      <c r="J373" s="114"/>
      <c r="K373" s="114"/>
      <c r="L373" s="114"/>
      <c r="M373" s="114"/>
      <c r="N373" s="114">
        <v>9</v>
      </c>
      <c r="O373" s="180">
        <v>0</v>
      </c>
      <c r="P373" s="180">
        <v>795</v>
      </c>
      <c r="Q373" s="180">
        <v>100</v>
      </c>
      <c r="R373" s="180"/>
      <c r="S373" s="180"/>
      <c r="T373" s="181" t="s">
        <v>597</v>
      </c>
      <c r="U373" s="179" t="s">
        <v>2637</v>
      </c>
      <c r="V373" s="179" t="s">
        <v>2638</v>
      </c>
      <c r="W373" s="114" t="s">
        <v>2639</v>
      </c>
      <c r="X373" s="180">
        <v>16</v>
      </c>
      <c r="Y373" s="182" t="s">
        <v>1503</v>
      </c>
      <c r="Z373" s="183" t="s">
        <v>2640</v>
      </c>
      <c r="AA373" s="188"/>
      <c r="AB373" s="182"/>
      <c r="AC373" s="114">
        <v>3</v>
      </c>
      <c r="AD373" s="172" t="s">
        <v>887</v>
      </c>
      <c r="AE373" s="114"/>
      <c r="AF373" s="114"/>
      <c r="AG373" s="114"/>
      <c r="AH373" s="106"/>
      <c r="AI373" s="114"/>
      <c r="AJ373" s="106"/>
      <c r="AK373" s="114"/>
      <c r="AL373" s="106"/>
      <c r="AM373" s="114"/>
      <c r="AN373" s="106"/>
      <c r="AO373" s="114"/>
      <c r="AP373" s="106"/>
      <c r="AQ373" s="114"/>
      <c r="AR373" s="106"/>
      <c r="AS373" s="114"/>
      <c r="AT373" s="106"/>
      <c r="AU373" s="114" t="s">
        <v>915</v>
      </c>
      <c r="AV373" s="106"/>
      <c r="AW373" s="114"/>
      <c r="AX373" s="157"/>
      <c r="AY373" s="157"/>
      <c r="AZ373" s="157"/>
      <c r="BA373" s="157"/>
      <c r="BB373" s="157"/>
      <c r="BC373" s="157"/>
    </row>
    <row r="374" spans="1:55" x14ac:dyDescent="0.3">
      <c r="A374" s="114">
        <f>A373+1</f>
        <v>370</v>
      </c>
      <c r="B374" s="179" t="s">
        <v>2641</v>
      </c>
      <c r="C374" s="114">
        <v>0</v>
      </c>
      <c r="D374" s="114" t="s">
        <v>991</v>
      </c>
      <c r="E374" s="114" t="s">
        <v>980</v>
      </c>
      <c r="F374" s="114" t="s">
        <v>909</v>
      </c>
      <c r="G374" s="114"/>
      <c r="H374" s="114"/>
      <c r="I374" s="114"/>
      <c r="J374" s="114"/>
      <c r="K374" s="114"/>
      <c r="L374" s="114"/>
      <c r="M374" s="114"/>
      <c r="N374" s="114">
        <v>9</v>
      </c>
      <c r="O374" s="180">
        <v>5</v>
      </c>
      <c r="P374" s="180">
        <v>720</v>
      </c>
      <c r="Q374" s="180">
        <v>5</v>
      </c>
      <c r="R374" s="180"/>
      <c r="S374" s="180"/>
      <c r="T374" s="181" t="s">
        <v>599</v>
      </c>
      <c r="U374" s="179" t="s">
        <v>2642</v>
      </c>
      <c r="V374" s="179" t="s">
        <v>2643</v>
      </c>
      <c r="W374" s="114" t="s">
        <v>2644</v>
      </c>
      <c r="X374" s="180">
        <v>16</v>
      </c>
      <c r="Y374" s="182" t="s">
        <v>1503</v>
      </c>
      <c r="Z374" s="183" t="s">
        <v>2645</v>
      </c>
      <c r="AA374" s="184"/>
      <c r="AB374" s="182"/>
      <c r="AC374" s="114">
        <v>3</v>
      </c>
      <c r="AD374" s="172" t="s">
        <v>887</v>
      </c>
      <c r="AE374" s="114"/>
      <c r="AF374" s="114"/>
      <c r="AG374" s="114"/>
      <c r="AH374" s="106"/>
      <c r="AI374" s="114"/>
      <c r="AJ374" s="106"/>
      <c r="AK374" s="114"/>
      <c r="AL374" s="106"/>
      <c r="AM374" s="114"/>
      <c r="AN374" s="106"/>
      <c r="AO374" s="114"/>
      <c r="AP374" s="106"/>
      <c r="AQ374" s="114"/>
      <c r="AR374" s="106"/>
      <c r="AS374" s="114"/>
      <c r="AT374" s="106"/>
      <c r="AU374" s="114" t="s">
        <v>915</v>
      </c>
      <c r="AV374" s="106"/>
      <c r="AW374" s="114"/>
      <c r="AX374" s="157"/>
      <c r="AY374" s="157"/>
      <c r="AZ374" s="157"/>
      <c r="BA374" s="157"/>
      <c r="BB374" s="157"/>
      <c r="BC374" s="157"/>
    </row>
    <row r="375" spans="1:55" ht="39.6" x14ac:dyDescent="0.3">
      <c r="A375" s="114">
        <f t="shared" ref="A375:A434" si="9">A374+1</f>
        <v>371</v>
      </c>
      <c r="B375" s="179" t="s">
        <v>2646</v>
      </c>
      <c r="C375" s="114">
        <v>0</v>
      </c>
      <c r="D375" s="114" t="s">
        <v>991</v>
      </c>
      <c r="E375" s="114" t="s">
        <v>980</v>
      </c>
      <c r="F375" s="114" t="s">
        <v>909</v>
      </c>
      <c r="G375" s="114"/>
      <c r="H375" s="114"/>
      <c r="I375" s="114"/>
      <c r="J375" s="114"/>
      <c r="K375" s="114"/>
      <c r="L375" s="114"/>
      <c r="M375" s="114"/>
      <c r="N375" s="114">
        <v>9</v>
      </c>
      <c r="O375" s="180">
        <v>1</v>
      </c>
      <c r="P375" s="180">
        <v>32767</v>
      </c>
      <c r="Q375" s="180">
        <v>1</v>
      </c>
      <c r="R375" s="180"/>
      <c r="S375" s="180"/>
      <c r="T375" s="181" t="s">
        <v>601</v>
      </c>
      <c r="U375" s="179" t="s">
        <v>2647</v>
      </c>
      <c r="V375" s="179" t="s">
        <v>2648</v>
      </c>
      <c r="W375" s="114" t="s">
        <v>2649</v>
      </c>
      <c r="X375" s="180">
        <v>16</v>
      </c>
      <c r="Y375" s="182" t="s">
        <v>1503</v>
      </c>
      <c r="Z375" s="183" t="s">
        <v>2650</v>
      </c>
      <c r="AA375" s="184"/>
      <c r="AB375" s="182"/>
      <c r="AC375" s="114">
        <v>3</v>
      </c>
      <c r="AD375" s="172" t="s">
        <v>887</v>
      </c>
      <c r="AE375" s="114"/>
      <c r="AF375" s="114"/>
      <c r="AG375" s="114"/>
      <c r="AH375" s="106"/>
      <c r="AI375" s="114"/>
      <c r="AJ375" s="106"/>
      <c r="AK375" s="114"/>
      <c r="AL375" s="106"/>
      <c r="AM375" s="114"/>
      <c r="AN375" s="106"/>
      <c r="AO375" s="114"/>
      <c r="AP375" s="106"/>
      <c r="AQ375" s="114"/>
      <c r="AR375" s="106"/>
      <c r="AS375" s="114"/>
      <c r="AT375" s="106"/>
      <c r="AU375" s="114" t="s">
        <v>915</v>
      </c>
      <c r="AV375" s="106"/>
      <c r="AW375" s="114"/>
      <c r="AX375" s="157"/>
      <c r="AY375" s="157"/>
      <c r="AZ375" s="157"/>
      <c r="BA375" s="157"/>
      <c r="BB375" s="157"/>
      <c r="BC375" s="157"/>
    </row>
    <row r="376" spans="1:55" ht="26.4" x14ac:dyDescent="0.3">
      <c r="A376" s="114">
        <f t="shared" si="9"/>
        <v>372</v>
      </c>
      <c r="B376" s="179" t="s">
        <v>2651</v>
      </c>
      <c r="C376" s="114">
        <v>0</v>
      </c>
      <c r="D376" s="114" t="s">
        <v>991</v>
      </c>
      <c r="E376" s="114" t="s">
        <v>966</v>
      </c>
      <c r="F376" s="114" t="s">
        <v>909</v>
      </c>
      <c r="G376" s="114"/>
      <c r="H376" s="114"/>
      <c r="I376" s="114"/>
      <c r="J376" s="114"/>
      <c r="K376" s="114"/>
      <c r="L376" s="114"/>
      <c r="M376" s="114"/>
      <c r="N376" s="114">
        <v>9</v>
      </c>
      <c r="O376" s="180">
        <v>10</v>
      </c>
      <c r="P376" s="180">
        <v>1073741823</v>
      </c>
      <c r="Q376" s="180">
        <v>3600</v>
      </c>
      <c r="R376" s="180"/>
      <c r="S376" s="180"/>
      <c r="T376" s="111" t="s">
        <v>603</v>
      </c>
      <c r="U376" s="179" t="s">
        <v>2652</v>
      </c>
      <c r="V376" s="179" t="s">
        <v>2653</v>
      </c>
      <c r="W376" s="114" t="s">
        <v>2654</v>
      </c>
      <c r="X376" s="180">
        <v>32</v>
      </c>
      <c r="Y376" s="182" t="s">
        <v>1503</v>
      </c>
      <c r="Z376" s="183" t="s">
        <v>2655</v>
      </c>
      <c r="AA376" s="184"/>
      <c r="AB376" s="179"/>
      <c r="AC376" s="114">
        <v>3</v>
      </c>
      <c r="AD376" s="172" t="s">
        <v>887</v>
      </c>
      <c r="AE376" s="114"/>
      <c r="AF376" s="114"/>
      <c r="AG376" s="114"/>
      <c r="AH376" s="106"/>
      <c r="AI376" s="114"/>
      <c r="AJ376" s="106"/>
      <c r="AK376" s="114"/>
      <c r="AL376" s="106"/>
      <c r="AM376" s="114"/>
      <c r="AN376" s="106"/>
      <c r="AO376" s="114"/>
      <c r="AP376" s="106"/>
      <c r="AQ376" s="114"/>
      <c r="AR376" s="106"/>
      <c r="AS376" s="114"/>
      <c r="AT376" s="106"/>
      <c r="AU376" s="114" t="s">
        <v>915</v>
      </c>
      <c r="AV376" s="106"/>
      <c r="AW376" s="114"/>
      <c r="AX376" s="157"/>
      <c r="AY376" s="157"/>
      <c r="AZ376" s="157"/>
      <c r="BA376" s="157"/>
      <c r="BB376" s="157"/>
      <c r="BC376" s="157"/>
    </row>
    <row r="377" spans="1:55" x14ac:dyDescent="0.3">
      <c r="A377" s="114">
        <f t="shared" si="9"/>
        <v>373</v>
      </c>
      <c r="B377" s="179" t="s">
        <v>2656</v>
      </c>
      <c r="C377" s="114">
        <v>0</v>
      </c>
      <c r="D377" s="114" t="s">
        <v>991</v>
      </c>
      <c r="E377" s="114" t="s">
        <v>980</v>
      </c>
      <c r="F377" s="114" t="s">
        <v>909</v>
      </c>
      <c r="G377" s="114"/>
      <c r="H377" s="114"/>
      <c r="I377" s="114"/>
      <c r="J377" s="114"/>
      <c r="K377" s="114"/>
      <c r="L377" s="114"/>
      <c r="M377" s="191"/>
      <c r="N377" s="114">
        <v>9</v>
      </c>
      <c r="O377" s="180">
        <v>0</v>
      </c>
      <c r="P377" s="180">
        <v>719</v>
      </c>
      <c r="Q377" s="180">
        <v>0</v>
      </c>
      <c r="R377" s="180"/>
      <c r="S377" s="180"/>
      <c r="T377" s="181" t="s">
        <v>605</v>
      </c>
      <c r="U377" s="179" t="s">
        <v>2657</v>
      </c>
      <c r="V377" s="179" t="s">
        <v>2658</v>
      </c>
      <c r="W377" s="114" t="s">
        <v>2659</v>
      </c>
      <c r="X377" s="180">
        <v>16</v>
      </c>
      <c r="Y377" s="182" t="s">
        <v>1503</v>
      </c>
      <c r="Z377" s="183"/>
      <c r="AA377" s="184"/>
      <c r="AB377" s="182"/>
      <c r="AC377" s="114">
        <v>3</v>
      </c>
      <c r="AD377" s="172" t="s">
        <v>887</v>
      </c>
      <c r="AE377" s="114"/>
      <c r="AF377" s="114"/>
      <c r="AG377" s="114"/>
      <c r="AH377" s="106"/>
      <c r="AI377" s="114"/>
      <c r="AJ377" s="106"/>
      <c r="AK377" s="114"/>
      <c r="AL377" s="106"/>
      <c r="AM377" s="114"/>
      <c r="AN377" s="106"/>
      <c r="AO377" s="114"/>
      <c r="AP377" s="106"/>
      <c r="AQ377" s="114"/>
      <c r="AR377" s="106"/>
      <c r="AS377" s="114"/>
      <c r="AT377" s="106"/>
      <c r="AU377" s="114" t="s">
        <v>915</v>
      </c>
      <c r="AV377" s="106"/>
      <c r="AW377" s="114"/>
      <c r="AX377" s="157"/>
      <c r="AY377" s="157"/>
      <c r="AZ377" s="157"/>
      <c r="BA377" s="157"/>
      <c r="BB377" s="157"/>
      <c r="BC377" s="157"/>
    </row>
    <row r="378" spans="1:55" x14ac:dyDescent="0.3">
      <c r="A378" s="114">
        <f t="shared" si="9"/>
        <v>374</v>
      </c>
      <c r="B378" s="179" t="s">
        <v>2660</v>
      </c>
      <c r="C378" s="114">
        <v>0</v>
      </c>
      <c r="D378" s="114" t="s">
        <v>991</v>
      </c>
      <c r="E378" s="114" t="s">
        <v>966</v>
      </c>
      <c r="F378" s="114" t="s">
        <v>909</v>
      </c>
      <c r="G378" s="114"/>
      <c r="H378" s="114"/>
      <c r="I378" s="114"/>
      <c r="J378" s="114" t="s">
        <v>871</v>
      </c>
      <c r="K378" s="114"/>
      <c r="L378" s="114"/>
      <c r="M378" s="114"/>
      <c r="N378" s="114">
        <v>9</v>
      </c>
      <c r="O378" s="180">
        <v>-2147483648</v>
      </c>
      <c r="P378" s="180">
        <v>2147483647</v>
      </c>
      <c r="Q378" s="112">
        <v>0</v>
      </c>
      <c r="R378" s="180"/>
      <c r="S378" s="180"/>
      <c r="T378" s="181" t="s">
        <v>607</v>
      </c>
      <c r="U378" s="179" t="s">
        <v>2661</v>
      </c>
      <c r="V378" s="179" t="s">
        <v>2662</v>
      </c>
      <c r="W378" s="114" t="s">
        <v>2663</v>
      </c>
      <c r="X378" s="180">
        <v>32</v>
      </c>
      <c r="Y378" s="182" t="s">
        <v>1503</v>
      </c>
      <c r="Z378" s="183"/>
      <c r="AA378" s="184" t="s">
        <v>2664</v>
      </c>
      <c r="AB378" s="182"/>
      <c r="AC378" s="114">
        <v>3</v>
      </c>
      <c r="AD378" s="172" t="s">
        <v>887</v>
      </c>
      <c r="AE378" s="114"/>
      <c r="AF378" s="114"/>
      <c r="AG378" s="114"/>
      <c r="AH378" s="106"/>
      <c r="AI378" s="114"/>
      <c r="AJ378" s="106"/>
      <c r="AK378" s="114"/>
      <c r="AL378" s="106"/>
      <c r="AM378" s="114"/>
      <c r="AN378" s="106"/>
      <c r="AO378" s="114"/>
      <c r="AP378" s="106"/>
      <c r="AQ378" s="114"/>
      <c r="AR378" s="106"/>
      <c r="AS378" s="114"/>
      <c r="AT378" s="106"/>
      <c r="AU378" s="114" t="s">
        <v>915</v>
      </c>
      <c r="AV378" s="106"/>
      <c r="AW378" s="114"/>
      <c r="AX378" s="157"/>
      <c r="AY378" s="157"/>
      <c r="AZ378" s="157"/>
      <c r="BA378" s="157"/>
      <c r="BB378" s="157"/>
      <c r="BC378" s="157"/>
    </row>
    <row r="379" spans="1:55" x14ac:dyDescent="0.3">
      <c r="A379" s="114">
        <f t="shared" si="9"/>
        <v>375</v>
      </c>
      <c r="B379" s="179" t="s">
        <v>2665</v>
      </c>
      <c r="C379" s="114">
        <v>0</v>
      </c>
      <c r="D379" s="114" t="s">
        <v>991</v>
      </c>
      <c r="E379" s="114" t="s">
        <v>966</v>
      </c>
      <c r="F379" s="114" t="s">
        <v>909</v>
      </c>
      <c r="G379" s="114"/>
      <c r="H379" s="114"/>
      <c r="I379" s="114"/>
      <c r="J379" s="114"/>
      <c r="K379" s="114"/>
      <c r="L379" s="114"/>
      <c r="M379" s="114"/>
      <c r="N379" s="114">
        <v>9</v>
      </c>
      <c r="O379" s="180">
        <v>-1073741824</v>
      </c>
      <c r="P379" s="180">
        <v>1073741823</v>
      </c>
      <c r="Q379" s="180">
        <v>0</v>
      </c>
      <c r="R379" s="180"/>
      <c r="S379" s="180"/>
      <c r="T379" s="181" t="s">
        <v>609</v>
      </c>
      <c r="U379" s="179" t="s">
        <v>2666</v>
      </c>
      <c r="V379" s="179" t="s">
        <v>2667</v>
      </c>
      <c r="W379" s="114" t="s">
        <v>2668</v>
      </c>
      <c r="X379" s="180">
        <v>32</v>
      </c>
      <c r="Y379" s="182" t="s">
        <v>1503</v>
      </c>
      <c r="Z379" s="183"/>
      <c r="AA379" s="184"/>
      <c r="AB379" s="182"/>
      <c r="AC379" s="114">
        <v>3</v>
      </c>
      <c r="AD379" s="172" t="s">
        <v>887</v>
      </c>
      <c r="AE379" s="114"/>
      <c r="AF379" s="114"/>
      <c r="AG379" s="114"/>
      <c r="AH379" s="106"/>
      <c r="AI379" s="114"/>
      <c r="AJ379" s="106"/>
      <c r="AK379" s="114"/>
      <c r="AL379" s="106"/>
      <c r="AM379" s="114"/>
      <c r="AN379" s="106"/>
      <c r="AO379" s="114"/>
      <c r="AP379" s="106"/>
      <c r="AQ379" s="114"/>
      <c r="AR379" s="106"/>
      <c r="AS379" s="114"/>
      <c r="AT379" s="106"/>
      <c r="AU379" s="114" t="s">
        <v>915</v>
      </c>
      <c r="AV379" s="106"/>
      <c r="AW379" s="114"/>
      <c r="AX379" s="157"/>
      <c r="AY379" s="157"/>
      <c r="AZ379" s="157"/>
      <c r="BA379" s="157"/>
      <c r="BB379" s="157"/>
      <c r="BC379" s="157"/>
    </row>
    <row r="380" spans="1:55" ht="184.8" x14ac:dyDescent="0.3">
      <c r="A380" s="114">
        <f t="shared" si="9"/>
        <v>376</v>
      </c>
      <c r="B380" s="179" t="s">
        <v>2669</v>
      </c>
      <c r="C380" s="114">
        <v>0</v>
      </c>
      <c r="D380" s="114" t="s">
        <v>991</v>
      </c>
      <c r="E380" s="114" t="s">
        <v>944</v>
      </c>
      <c r="F380" s="114" t="s">
        <v>909</v>
      </c>
      <c r="G380" s="114"/>
      <c r="H380" s="114"/>
      <c r="I380" s="114"/>
      <c r="J380" s="122"/>
      <c r="K380" s="114"/>
      <c r="L380" s="114"/>
      <c r="M380" s="191" t="s">
        <v>874</v>
      </c>
      <c r="N380" s="114">
        <v>9</v>
      </c>
      <c r="O380" s="180" t="s">
        <v>2670</v>
      </c>
      <c r="P380" s="107" t="s">
        <v>2671</v>
      </c>
      <c r="Q380" s="180" t="s">
        <v>2670</v>
      </c>
      <c r="R380" s="180"/>
      <c r="S380" s="180"/>
      <c r="T380" s="181" t="s">
        <v>611</v>
      </c>
      <c r="U380" s="179" t="s">
        <v>2672</v>
      </c>
      <c r="V380" s="179" t="s">
        <v>2673</v>
      </c>
      <c r="W380" s="114" t="s">
        <v>2674</v>
      </c>
      <c r="X380" s="180">
        <v>32</v>
      </c>
      <c r="Y380" s="182" t="s">
        <v>1503</v>
      </c>
      <c r="Z380" s="183" t="s">
        <v>2675</v>
      </c>
      <c r="AA380" s="184"/>
      <c r="AB380" s="182"/>
      <c r="AC380" s="114">
        <v>3</v>
      </c>
      <c r="AD380" s="172" t="s">
        <v>887</v>
      </c>
      <c r="AE380" s="114"/>
      <c r="AF380" s="114"/>
      <c r="AG380" s="114"/>
      <c r="AH380" s="106"/>
      <c r="AI380" s="114"/>
      <c r="AJ380" s="106"/>
      <c r="AK380" s="114"/>
      <c r="AL380" s="106"/>
      <c r="AM380" s="114"/>
      <c r="AN380" s="106"/>
      <c r="AO380" s="114"/>
      <c r="AP380" s="106"/>
      <c r="AQ380" s="114"/>
      <c r="AR380" s="106"/>
      <c r="AS380" s="114"/>
      <c r="AT380" s="106"/>
      <c r="AU380" s="114" t="s">
        <v>915</v>
      </c>
      <c r="AV380" s="106"/>
      <c r="AW380" s="114"/>
      <c r="AX380" s="157"/>
      <c r="AY380" s="157"/>
      <c r="AZ380" s="157"/>
      <c r="BA380" s="157"/>
      <c r="BB380" s="157"/>
      <c r="BC380" s="157"/>
    </row>
    <row r="381" spans="1:55" x14ac:dyDescent="0.3">
      <c r="A381" s="114">
        <f t="shared" si="9"/>
        <v>377</v>
      </c>
      <c r="B381" s="179" t="s">
        <v>2676</v>
      </c>
      <c r="C381" s="114">
        <v>0</v>
      </c>
      <c r="D381" s="114" t="s">
        <v>991</v>
      </c>
      <c r="E381" s="114" t="s">
        <v>966</v>
      </c>
      <c r="F381" s="114" t="s">
        <v>909</v>
      </c>
      <c r="G381" s="114"/>
      <c r="H381" s="114"/>
      <c r="I381" s="114"/>
      <c r="J381" s="114"/>
      <c r="K381" s="114"/>
      <c r="L381" s="114"/>
      <c r="M381" s="114"/>
      <c r="N381" s="114">
        <v>9</v>
      </c>
      <c r="O381" s="180">
        <v>-1073741824</v>
      </c>
      <c r="P381" s="180">
        <v>1073741823</v>
      </c>
      <c r="Q381" s="180">
        <v>0</v>
      </c>
      <c r="R381" s="180"/>
      <c r="S381" s="180"/>
      <c r="T381" s="179" t="s">
        <v>613</v>
      </c>
      <c r="U381" s="179" t="s">
        <v>2677</v>
      </c>
      <c r="V381" s="179" t="s">
        <v>2678</v>
      </c>
      <c r="W381" s="114" t="s">
        <v>2679</v>
      </c>
      <c r="X381" s="180">
        <v>32</v>
      </c>
      <c r="Y381" s="182" t="s">
        <v>1503</v>
      </c>
      <c r="Z381" s="183"/>
      <c r="AA381" s="184"/>
      <c r="AB381" s="182"/>
      <c r="AC381" s="114">
        <v>3</v>
      </c>
      <c r="AD381" s="172" t="s">
        <v>887</v>
      </c>
      <c r="AE381" s="114"/>
      <c r="AF381" s="114"/>
      <c r="AG381" s="114"/>
      <c r="AH381" s="106"/>
      <c r="AI381" s="114"/>
      <c r="AJ381" s="106"/>
      <c r="AK381" s="114"/>
      <c r="AL381" s="106"/>
      <c r="AM381" s="114"/>
      <c r="AN381" s="106"/>
      <c r="AO381" s="114"/>
      <c r="AP381" s="106"/>
      <c r="AQ381" s="114"/>
      <c r="AR381" s="106"/>
      <c r="AS381" s="114"/>
      <c r="AT381" s="106"/>
      <c r="AU381" s="114" t="s">
        <v>915</v>
      </c>
      <c r="AV381" s="106"/>
      <c r="AW381" s="114"/>
      <c r="AX381" s="157"/>
      <c r="AY381" s="157"/>
      <c r="AZ381" s="157"/>
      <c r="BA381" s="157"/>
      <c r="BB381" s="157"/>
      <c r="BC381" s="157"/>
    </row>
    <row r="382" spans="1:55" x14ac:dyDescent="0.3">
      <c r="A382" s="114">
        <f t="shared" si="9"/>
        <v>378</v>
      </c>
      <c r="B382" s="179" t="s">
        <v>2680</v>
      </c>
      <c r="C382" s="114">
        <v>0</v>
      </c>
      <c r="D382" s="114" t="s">
        <v>991</v>
      </c>
      <c r="E382" s="114" t="s">
        <v>980</v>
      </c>
      <c r="F382" s="114" t="s">
        <v>909</v>
      </c>
      <c r="G382" s="114"/>
      <c r="H382" s="114"/>
      <c r="I382" s="114"/>
      <c r="J382" s="114"/>
      <c r="K382" s="114"/>
      <c r="L382" s="114"/>
      <c r="M382" s="114"/>
      <c r="N382" s="114">
        <v>9</v>
      </c>
      <c r="O382" s="180">
        <v>0</v>
      </c>
      <c r="P382" s="180">
        <v>360</v>
      </c>
      <c r="Q382" s="180">
        <v>270</v>
      </c>
      <c r="R382" s="180"/>
      <c r="S382" s="180" t="s">
        <v>2015</v>
      </c>
      <c r="T382" s="113" t="s">
        <v>615</v>
      </c>
      <c r="U382" s="113" t="s">
        <v>2681</v>
      </c>
      <c r="V382" s="179" t="s">
        <v>2682</v>
      </c>
      <c r="W382" s="114" t="s">
        <v>2683</v>
      </c>
      <c r="X382" s="180">
        <v>16</v>
      </c>
      <c r="Y382" s="182" t="s">
        <v>1503</v>
      </c>
      <c r="Z382" s="183"/>
      <c r="AA382" s="184"/>
      <c r="AB382" s="182"/>
      <c r="AC382" s="114">
        <v>3</v>
      </c>
      <c r="AD382" s="172" t="s">
        <v>887</v>
      </c>
      <c r="AE382" s="114"/>
      <c r="AF382" s="114"/>
      <c r="AG382" s="114"/>
      <c r="AH382" s="106"/>
      <c r="AI382" s="114"/>
      <c r="AJ382" s="106"/>
      <c r="AK382" s="114"/>
      <c r="AL382" s="106"/>
      <c r="AM382" s="114"/>
      <c r="AN382" s="106"/>
      <c r="AO382" s="114"/>
      <c r="AP382" s="106"/>
      <c r="AQ382" s="114"/>
      <c r="AR382" s="106"/>
      <c r="AS382" s="114"/>
      <c r="AT382" s="106"/>
      <c r="AU382" s="114" t="s">
        <v>915</v>
      </c>
      <c r="AV382" s="106"/>
      <c r="AW382" s="114"/>
      <c r="AX382" s="157"/>
      <c r="AY382" s="157"/>
      <c r="AZ382" s="157"/>
      <c r="BA382" s="157"/>
      <c r="BB382" s="157"/>
      <c r="BC382" s="157"/>
    </row>
    <row r="383" spans="1:55" x14ac:dyDescent="0.3">
      <c r="A383" s="114">
        <f t="shared" si="9"/>
        <v>379</v>
      </c>
      <c r="B383" s="179" t="s">
        <v>2684</v>
      </c>
      <c r="C383" s="114">
        <v>0</v>
      </c>
      <c r="D383" s="114" t="s">
        <v>991</v>
      </c>
      <c r="E383" s="114" t="s">
        <v>980</v>
      </c>
      <c r="F383" s="114" t="s">
        <v>909</v>
      </c>
      <c r="G383" s="114"/>
      <c r="H383" s="114"/>
      <c r="I383" s="114"/>
      <c r="J383" s="114"/>
      <c r="K383" s="114"/>
      <c r="L383" s="114"/>
      <c r="M383" s="114"/>
      <c r="N383" s="114">
        <v>9</v>
      </c>
      <c r="O383" s="180">
        <v>0</v>
      </c>
      <c r="P383" s="180">
        <v>360</v>
      </c>
      <c r="Q383" s="180">
        <v>360</v>
      </c>
      <c r="R383" s="180"/>
      <c r="S383" s="180" t="s">
        <v>2015</v>
      </c>
      <c r="T383" s="113" t="s">
        <v>617</v>
      </c>
      <c r="U383" s="113" t="s">
        <v>2685</v>
      </c>
      <c r="V383" s="179" t="s">
        <v>2686</v>
      </c>
      <c r="W383" s="114" t="s">
        <v>2687</v>
      </c>
      <c r="X383" s="180">
        <v>16</v>
      </c>
      <c r="Y383" s="182" t="s">
        <v>1503</v>
      </c>
      <c r="Z383" s="183"/>
      <c r="AA383" s="184"/>
      <c r="AB383" s="182"/>
      <c r="AC383" s="114">
        <v>3</v>
      </c>
      <c r="AD383" s="172" t="s">
        <v>887</v>
      </c>
      <c r="AE383" s="114"/>
      <c r="AF383" s="114"/>
      <c r="AG383" s="114"/>
      <c r="AH383" s="106"/>
      <c r="AI383" s="114"/>
      <c r="AJ383" s="106"/>
      <c r="AK383" s="114"/>
      <c r="AL383" s="106"/>
      <c r="AM383" s="114"/>
      <c r="AN383" s="106"/>
      <c r="AO383" s="114"/>
      <c r="AP383" s="106"/>
      <c r="AQ383" s="114"/>
      <c r="AR383" s="106"/>
      <c r="AS383" s="114"/>
      <c r="AT383" s="106"/>
      <c r="AU383" s="114" t="s">
        <v>915</v>
      </c>
      <c r="AV383" s="106"/>
      <c r="AW383" s="114"/>
      <c r="AX383" s="157"/>
      <c r="AY383" s="157"/>
      <c r="AZ383" s="157"/>
      <c r="BA383" s="157"/>
      <c r="BB383" s="157"/>
      <c r="BC383" s="157"/>
    </row>
    <row r="384" spans="1:55" x14ac:dyDescent="0.3">
      <c r="A384" s="114">
        <f t="shared" si="9"/>
        <v>380</v>
      </c>
      <c r="B384" s="179" t="s">
        <v>2688</v>
      </c>
      <c r="C384" s="114">
        <v>0</v>
      </c>
      <c r="D384" s="114" t="s">
        <v>991</v>
      </c>
      <c r="E384" s="114" t="s">
        <v>966</v>
      </c>
      <c r="F384" s="114" t="s">
        <v>909</v>
      </c>
      <c r="G384" s="114"/>
      <c r="H384" s="114"/>
      <c r="I384" s="114"/>
      <c r="J384" s="114"/>
      <c r="K384" s="114"/>
      <c r="L384" s="114"/>
      <c r="M384" s="114"/>
      <c r="N384" s="114">
        <v>9</v>
      </c>
      <c r="O384" s="180">
        <v>-2147483648</v>
      </c>
      <c r="P384" s="180">
        <v>2147483647</v>
      </c>
      <c r="Q384" s="180">
        <v>0</v>
      </c>
      <c r="R384" s="180"/>
      <c r="S384" s="180"/>
      <c r="T384" s="179" t="s">
        <v>619</v>
      </c>
      <c r="U384" s="179" t="s">
        <v>2689</v>
      </c>
      <c r="V384" s="179" t="s">
        <v>2690</v>
      </c>
      <c r="W384" s="114" t="s">
        <v>2691</v>
      </c>
      <c r="X384" s="180">
        <v>32</v>
      </c>
      <c r="Y384" s="182" t="s">
        <v>1503</v>
      </c>
      <c r="Z384" s="183"/>
      <c r="AA384" s="184"/>
      <c r="AB384" s="182"/>
      <c r="AC384" s="114">
        <v>3</v>
      </c>
      <c r="AD384" s="172" t="s">
        <v>887</v>
      </c>
      <c r="AE384" s="114"/>
      <c r="AF384" s="114"/>
      <c r="AG384" s="114"/>
      <c r="AH384" s="106"/>
      <c r="AI384" s="114"/>
      <c r="AJ384" s="106"/>
      <c r="AK384" s="114"/>
      <c r="AL384" s="106"/>
      <c r="AM384" s="114"/>
      <c r="AN384" s="106"/>
      <c r="AO384" s="114"/>
      <c r="AP384" s="106"/>
      <c r="AQ384" s="114"/>
      <c r="AR384" s="106"/>
      <c r="AS384" s="114"/>
      <c r="AT384" s="106"/>
      <c r="AU384" s="114"/>
      <c r="AV384" s="106"/>
      <c r="AW384" s="114"/>
      <c r="AX384" s="157"/>
      <c r="AY384" s="157"/>
      <c r="AZ384" s="157"/>
      <c r="BA384" s="157"/>
      <c r="BB384" s="157"/>
      <c r="BC384" s="157"/>
    </row>
    <row r="385" spans="1:55" x14ac:dyDescent="0.3">
      <c r="A385" s="114">
        <f t="shared" si="9"/>
        <v>381</v>
      </c>
      <c r="B385" s="179" t="s">
        <v>2692</v>
      </c>
      <c r="C385" s="114">
        <v>0</v>
      </c>
      <c r="D385" s="114" t="s">
        <v>991</v>
      </c>
      <c r="E385" s="114" t="s">
        <v>944</v>
      </c>
      <c r="F385" s="114" t="s">
        <v>909</v>
      </c>
      <c r="G385" s="114"/>
      <c r="H385" s="114"/>
      <c r="I385" s="114"/>
      <c r="J385" s="114"/>
      <c r="K385" s="114"/>
      <c r="L385" s="114"/>
      <c r="M385" s="114"/>
      <c r="N385" s="114">
        <v>9</v>
      </c>
      <c r="O385" s="180" t="s">
        <v>1181</v>
      </c>
      <c r="P385" s="180" t="s">
        <v>1182</v>
      </c>
      <c r="Q385" s="180" t="s">
        <v>1181</v>
      </c>
      <c r="R385" s="180"/>
      <c r="S385" s="180"/>
      <c r="T385" s="181" t="s">
        <v>621</v>
      </c>
      <c r="U385" s="179" t="s">
        <v>2693</v>
      </c>
      <c r="V385" s="179" t="s">
        <v>2694</v>
      </c>
      <c r="W385" s="114" t="s">
        <v>2695</v>
      </c>
      <c r="X385" s="180">
        <v>32</v>
      </c>
      <c r="Y385" s="182" t="s">
        <v>913</v>
      </c>
      <c r="Z385" s="183"/>
      <c r="AA385" s="184"/>
      <c r="AB385" s="182"/>
      <c r="AC385" s="114">
        <v>3</v>
      </c>
      <c r="AD385" s="172" t="s">
        <v>887</v>
      </c>
      <c r="AE385" s="114"/>
      <c r="AF385" s="114"/>
      <c r="AG385" s="114"/>
      <c r="AH385" s="106"/>
      <c r="AI385" s="114"/>
      <c r="AJ385" s="106"/>
      <c r="AK385" s="114"/>
      <c r="AL385" s="106"/>
      <c r="AM385" s="114"/>
      <c r="AN385" s="106"/>
      <c r="AO385" s="114"/>
      <c r="AP385" s="106"/>
      <c r="AQ385" s="114"/>
      <c r="AR385" s="106"/>
      <c r="AS385" s="114"/>
      <c r="AT385" s="106"/>
      <c r="AU385" s="114"/>
      <c r="AV385" s="106"/>
      <c r="AW385" s="114"/>
      <c r="AX385" s="157"/>
      <c r="AY385" s="157"/>
      <c r="AZ385" s="157"/>
      <c r="BA385" s="157"/>
      <c r="BB385" s="157"/>
      <c r="BC385" s="157"/>
    </row>
    <row r="386" spans="1:55" x14ac:dyDescent="0.3">
      <c r="A386" s="114">
        <f t="shared" si="9"/>
        <v>382</v>
      </c>
      <c r="B386" s="179" t="s">
        <v>2696</v>
      </c>
      <c r="C386" s="114">
        <v>0</v>
      </c>
      <c r="D386" s="114" t="s">
        <v>991</v>
      </c>
      <c r="E386" s="114" t="s">
        <v>966</v>
      </c>
      <c r="F386" s="114" t="s">
        <v>909</v>
      </c>
      <c r="G386" s="114"/>
      <c r="H386" s="114"/>
      <c r="I386" s="114"/>
      <c r="J386" s="114"/>
      <c r="K386" s="114"/>
      <c r="L386" s="114"/>
      <c r="M386" s="114"/>
      <c r="N386" s="114">
        <v>9</v>
      </c>
      <c r="O386" s="180">
        <v>-2147483648</v>
      </c>
      <c r="P386" s="180">
        <v>2147483647</v>
      </c>
      <c r="Q386" s="180">
        <v>0</v>
      </c>
      <c r="R386" s="180"/>
      <c r="S386" s="180"/>
      <c r="T386" s="181" t="s">
        <v>623</v>
      </c>
      <c r="U386" s="179" t="s">
        <v>2697</v>
      </c>
      <c r="V386" s="179" t="s">
        <v>2698</v>
      </c>
      <c r="W386" s="114" t="s">
        <v>2699</v>
      </c>
      <c r="X386" s="180">
        <v>32</v>
      </c>
      <c r="Y386" s="182" t="s">
        <v>913</v>
      </c>
      <c r="Z386" s="183"/>
      <c r="AA386" s="184"/>
      <c r="AB386" s="182"/>
      <c r="AC386" s="114">
        <v>3</v>
      </c>
      <c r="AD386" s="172" t="s">
        <v>887</v>
      </c>
      <c r="AE386" s="114"/>
      <c r="AF386" s="114"/>
      <c r="AG386" s="114"/>
      <c r="AH386" s="106"/>
      <c r="AI386" s="114"/>
      <c r="AJ386" s="106"/>
      <c r="AK386" s="114"/>
      <c r="AL386" s="106"/>
      <c r="AM386" s="114"/>
      <c r="AN386" s="106"/>
      <c r="AO386" s="114"/>
      <c r="AP386" s="106"/>
      <c r="AQ386" s="114"/>
      <c r="AR386" s="106"/>
      <c r="AS386" s="114"/>
      <c r="AT386" s="106"/>
      <c r="AU386" s="114"/>
      <c r="AV386" s="106"/>
      <c r="AW386" s="114"/>
      <c r="AX386" s="157"/>
      <c r="AY386" s="157"/>
      <c r="AZ386" s="157"/>
      <c r="BA386" s="157"/>
      <c r="BB386" s="157"/>
      <c r="BC386" s="157"/>
    </row>
    <row r="387" spans="1:55" x14ac:dyDescent="0.3">
      <c r="A387" s="114">
        <f t="shared" si="9"/>
        <v>383</v>
      </c>
      <c r="B387" s="179" t="s">
        <v>2700</v>
      </c>
      <c r="C387" s="114">
        <v>0</v>
      </c>
      <c r="D387" s="114" t="s">
        <v>991</v>
      </c>
      <c r="E387" s="114" t="s">
        <v>966</v>
      </c>
      <c r="F387" s="114" t="s">
        <v>909</v>
      </c>
      <c r="G387" s="114"/>
      <c r="H387" s="114"/>
      <c r="I387" s="114"/>
      <c r="J387" s="114"/>
      <c r="K387" s="114"/>
      <c r="L387" s="114"/>
      <c r="M387" s="114"/>
      <c r="N387" s="114">
        <v>9</v>
      </c>
      <c r="O387" s="180">
        <v>-2147483648</v>
      </c>
      <c r="P387" s="180">
        <v>2147483647</v>
      </c>
      <c r="Q387" s="180">
        <v>0</v>
      </c>
      <c r="R387" s="180"/>
      <c r="S387" s="180"/>
      <c r="T387" s="181" t="s">
        <v>625</v>
      </c>
      <c r="U387" s="179" t="s">
        <v>2701</v>
      </c>
      <c r="V387" s="179" t="s">
        <v>2702</v>
      </c>
      <c r="W387" s="114" t="s">
        <v>2703</v>
      </c>
      <c r="X387" s="180">
        <v>32</v>
      </c>
      <c r="Y387" s="182" t="s">
        <v>913</v>
      </c>
      <c r="Z387" s="183"/>
      <c r="AA387" s="184"/>
      <c r="AB387" s="182"/>
      <c r="AC387" s="114">
        <v>3</v>
      </c>
      <c r="AD387" s="172" t="s">
        <v>887</v>
      </c>
      <c r="AE387" s="114"/>
      <c r="AF387" s="114"/>
      <c r="AG387" s="114"/>
      <c r="AH387" s="106"/>
      <c r="AI387" s="114"/>
      <c r="AJ387" s="106"/>
      <c r="AK387" s="114"/>
      <c r="AL387" s="106"/>
      <c r="AM387" s="114"/>
      <c r="AN387" s="106"/>
      <c r="AO387" s="114"/>
      <c r="AP387" s="106"/>
      <c r="AQ387" s="114"/>
      <c r="AR387" s="106"/>
      <c r="AS387" s="114"/>
      <c r="AT387" s="106"/>
      <c r="AU387" s="114"/>
      <c r="AV387" s="106"/>
      <c r="AW387" s="114"/>
      <c r="AX387" s="157"/>
      <c r="AY387" s="157"/>
      <c r="AZ387" s="157"/>
      <c r="BA387" s="157"/>
      <c r="BB387" s="157"/>
      <c r="BC387" s="157"/>
    </row>
    <row r="388" spans="1:55" x14ac:dyDescent="0.3">
      <c r="A388" s="114">
        <f t="shared" si="9"/>
        <v>384</v>
      </c>
      <c r="B388" s="179" t="s">
        <v>2704</v>
      </c>
      <c r="C388" s="114">
        <v>0</v>
      </c>
      <c r="D388" s="114" t="s">
        <v>991</v>
      </c>
      <c r="E388" s="114" t="s">
        <v>966</v>
      </c>
      <c r="F388" s="114" t="s">
        <v>909</v>
      </c>
      <c r="G388" s="114"/>
      <c r="H388" s="114"/>
      <c r="I388" s="114"/>
      <c r="J388" s="114"/>
      <c r="K388" s="114"/>
      <c r="L388" s="114"/>
      <c r="M388" s="114"/>
      <c r="N388" s="114">
        <v>9</v>
      </c>
      <c r="O388" s="180">
        <v>-2147483648</v>
      </c>
      <c r="P388" s="180">
        <v>2147483647</v>
      </c>
      <c r="Q388" s="180">
        <v>0</v>
      </c>
      <c r="R388" s="180"/>
      <c r="S388" s="180"/>
      <c r="T388" s="181" t="s">
        <v>627</v>
      </c>
      <c r="U388" s="179" t="s">
        <v>2705</v>
      </c>
      <c r="V388" s="179" t="s">
        <v>2706</v>
      </c>
      <c r="W388" s="114" t="s">
        <v>2707</v>
      </c>
      <c r="X388" s="180">
        <v>32</v>
      </c>
      <c r="Y388" s="182" t="s">
        <v>913</v>
      </c>
      <c r="Z388" s="183"/>
      <c r="AA388" s="184"/>
      <c r="AB388" s="182"/>
      <c r="AC388" s="114">
        <v>3</v>
      </c>
      <c r="AD388" s="172" t="s">
        <v>887</v>
      </c>
      <c r="AE388" s="114"/>
      <c r="AF388" s="114"/>
      <c r="AG388" s="114"/>
      <c r="AH388" s="106"/>
      <c r="AI388" s="114"/>
      <c r="AJ388" s="106"/>
      <c r="AK388" s="114"/>
      <c r="AL388" s="106"/>
      <c r="AM388" s="114"/>
      <c r="AN388" s="106"/>
      <c r="AO388" s="114"/>
      <c r="AP388" s="106"/>
      <c r="AQ388" s="114"/>
      <c r="AR388" s="106"/>
      <c r="AS388" s="114"/>
      <c r="AT388" s="106"/>
      <c r="AU388" s="114"/>
      <c r="AV388" s="106"/>
      <c r="AW388" s="114"/>
      <c r="AX388" s="157"/>
      <c r="AY388" s="157"/>
      <c r="AZ388" s="157"/>
      <c r="BA388" s="157"/>
      <c r="BB388" s="157"/>
      <c r="BC388" s="157"/>
    </row>
    <row r="389" spans="1:55" ht="132" x14ac:dyDescent="0.3">
      <c r="A389" s="114">
        <f t="shared" si="9"/>
        <v>385</v>
      </c>
      <c r="B389" s="179" t="s">
        <v>2708</v>
      </c>
      <c r="C389" s="114">
        <v>0</v>
      </c>
      <c r="D389" s="114" t="s">
        <v>991</v>
      </c>
      <c r="E389" s="114" t="s">
        <v>929</v>
      </c>
      <c r="F389" s="114" t="s">
        <v>909</v>
      </c>
      <c r="G389" s="114"/>
      <c r="H389" s="114"/>
      <c r="I389" s="114"/>
      <c r="J389" s="114" t="s">
        <v>871</v>
      </c>
      <c r="K389" s="114"/>
      <c r="L389" s="114"/>
      <c r="M389" s="191" t="s">
        <v>874</v>
      </c>
      <c r="N389" s="114">
        <v>9</v>
      </c>
      <c r="O389" s="180" t="s">
        <v>909</v>
      </c>
      <c r="P389" s="180" t="s">
        <v>2709</v>
      </c>
      <c r="Q389" s="180" t="s">
        <v>909</v>
      </c>
      <c r="R389" s="180"/>
      <c r="S389" s="180"/>
      <c r="T389" s="181" t="s">
        <v>629</v>
      </c>
      <c r="U389" s="179" t="s">
        <v>2710</v>
      </c>
      <c r="V389" s="179" t="s">
        <v>2711</v>
      </c>
      <c r="W389" s="114" t="s">
        <v>2712</v>
      </c>
      <c r="X389" s="180">
        <v>16</v>
      </c>
      <c r="Y389" s="182" t="s">
        <v>913</v>
      </c>
      <c r="Z389" s="183" t="s">
        <v>2713</v>
      </c>
      <c r="AA389" s="184"/>
      <c r="AB389" s="182"/>
      <c r="AC389" s="114"/>
      <c r="AD389" s="172" t="s">
        <v>887</v>
      </c>
      <c r="AE389" s="114"/>
      <c r="AF389" s="114"/>
      <c r="AG389" s="114"/>
      <c r="AH389" s="106"/>
      <c r="AI389" s="114"/>
      <c r="AJ389" s="106"/>
      <c r="AK389" s="114"/>
      <c r="AL389" s="106"/>
      <c r="AM389" s="114"/>
      <c r="AN389" s="106"/>
      <c r="AO389" s="114"/>
      <c r="AP389" s="106"/>
      <c r="AQ389" s="114"/>
      <c r="AR389" s="106"/>
      <c r="AS389" s="114"/>
      <c r="AT389" s="106"/>
      <c r="AU389" s="114"/>
      <c r="AV389" s="106"/>
      <c r="AW389" s="114"/>
      <c r="AX389" s="157"/>
      <c r="AY389" s="157"/>
      <c r="AZ389" s="157"/>
      <c r="BA389" s="157"/>
      <c r="BB389" s="157"/>
      <c r="BC389" s="157"/>
    </row>
    <row r="390" spans="1:55" x14ac:dyDescent="0.3">
      <c r="A390" s="114">
        <f t="shared" si="9"/>
        <v>386</v>
      </c>
      <c r="B390" s="179" t="s">
        <v>2714</v>
      </c>
      <c r="C390" s="114">
        <v>0</v>
      </c>
      <c r="D390" s="114" t="s">
        <v>991</v>
      </c>
      <c r="E390" s="114" t="s">
        <v>929</v>
      </c>
      <c r="F390" s="114" t="s">
        <v>909</v>
      </c>
      <c r="G390" s="114"/>
      <c r="H390" s="114"/>
      <c r="I390" s="114"/>
      <c r="J390" s="114"/>
      <c r="K390" s="114"/>
      <c r="L390" s="114"/>
      <c r="M390" s="191" t="s">
        <v>874</v>
      </c>
      <c r="N390" s="114">
        <v>9</v>
      </c>
      <c r="O390" s="180" t="s">
        <v>909</v>
      </c>
      <c r="P390" s="180" t="s">
        <v>2715</v>
      </c>
      <c r="Q390" s="180" t="s">
        <v>909</v>
      </c>
      <c r="R390" s="180"/>
      <c r="S390" s="180"/>
      <c r="T390" s="181" t="s">
        <v>631</v>
      </c>
      <c r="U390" s="179" t="s">
        <v>2716</v>
      </c>
      <c r="V390" s="179" t="s">
        <v>2717</v>
      </c>
      <c r="W390" s="114" t="s">
        <v>2718</v>
      </c>
      <c r="X390" s="180">
        <v>16</v>
      </c>
      <c r="Y390" s="182" t="s">
        <v>1503</v>
      </c>
      <c r="Z390" s="183"/>
      <c r="AA390" s="184"/>
      <c r="AB390" s="182"/>
      <c r="AC390" s="114">
        <v>4</v>
      </c>
      <c r="AD390" s="172" t="s">
        <v>887</v>
      </c>
      <c r="AE390" s="114"/>
      <c r="AF390" s="114"/>
      <c r="AG390" s="114"/>
      <c r="AH390" s="106"/>
      <c r="AI390" s="114"/>
      <c r="AJ390" s="106"/>
      <c r="AK390" s="114"/>
      <c r="AL390" s="106"/>
      <c r="AM390" s="114"/>
      <c r="AN390" s="106"/>
      <c r="AO390" s="114"/>
      <c r="AP390" s="106"/>
      <c r="AQ390" s="114"/>
      <c r="AR390" s="106"/>
      <c r="AS390" s="114" t="s">
        <v>915</v>
      </c>
      <c r="AT390" s="106"/>
      <c r="AU390" s="114"/>
      <c r="AV390" s="106"/>
      <c r="AW390" s="114"/>
      <c r="AX390" s="157"/>
      <c r="AY390" s="157"/>
      <c r="AZ390" s="157"/>
      <c r="BA390" s="157"/>
      <c r="BB390" s="157"/>
      <c r="BC390" s="157"/>
    </row>
    <row r="391" spans="1:55" x14ac:dyDescent="0.3">
      <c r="A391" s="114">
        <f t="shared" si="9"/>
        <v>387</v>
      </c>
      <c r="B391" s="179" t="s">
        <v>2719</v>
      </c>
      <c r="C391" s="114">
        <v>0</v>
      </c>
      <c r="D391" s="114" t="s">
        <v>991</v>
      </c>
      <c r="E391" s="114" t="s">
        <v>929</v>
      </c>
      <c r="F391" s="114" t="s">
        <v>909</v>
      </c>
      <c r="G391" s="114"/>
      <c r="H391" s="114"/>
      <c r="I391" s="114"/>
      <c r="J391" s="114"/>
      <c r="K391" s="114"/>
      <c r="L391" s="114"/>
      <c r="M391" s="191" t="s">
        <v>874</v>
      </c>
      <c r="N391" s="114">
        <v>9</v>
      </c>
      <c r="O391" s="180" t="s">
        <v>909</v>
      </c>
      <c r="P391" s="180" t="s">
        <v>2715</v>
      </c>
      <c r="Q391" s="180" t="s">
        <v>909</v>
      </c>
      <c r="R391" s="180"/>
      <c r="S391" s="180"/>
      <c r="T391" s="181" t="s">
        <v>634</v>
      </c>
      <c r="U391" s="179" t="s">
        <v>2720</v>
      </c>
      <c r="V391" s="179" t="s">
        <v>2721</v>
      </c>
      <c r="W391" s="114" t="s">
        <v>2722</v>
      </c>
      <c r="X391" s="180">
        <v>16</v>
      </c>
      <c r="Y391" s="182" t="s">
        <v>1503</v>
      </c>
      <c r="Z391" s="183"/>
      <c r="AA391" s="184"/>
      <c r="AB391" s="182"/>
      <c r="AC391" s="114">
        <v>4</v>
      </c>
      <c r="AD391" s="172" t="s">
        <v>887</v>
      </c>
      <c r="AE391" s="114"/>
      <c r="AF391" s="114"/>
      <c r="AG391" s="114"/>
      <c r="AH391" s="106"/>
      <c r="AI391" s="114"/>
      <c r="AJ391" s="106"/>
      <c r="AK391" s="114"/>
      <c r="AL391" s="106"/>
      <c r="AM391" s="114"/>
      <c r="AN391" s="106"/>
      <c r="AO391" s="114"/>
      <c r="AP391" s="106"/>
      <c r="AQ391" s="114"/>
      <c r="AR391" s="106"/>
      <c r="AS391" s="114" t="s">
        <v>915</v>
      </c>
      <c r="AT391" s="106"/>
      <c r="AU391" s="114"/>
      <c r="AV391" s="106"/>
      <c r="AW391" s="114"/>
      <c r="AX391" s="157"/>
      <c r="AY391" s="157"/>
      <c r="AZ391" s="157"/>
      <c r="BA391" s="157"/>
      <c r="BB391" s="157"/>
      <c r="BC391" s="157"/>
    </row>
    <row r="392" spans="1:55" x14ac:dyDescent="0.3">
      <c r="A392" s="114">
        <f t="shared" si="9"/>
        <v>388</v>
      </c>
      <c r="B392" s="179" t="s">
        <v>2723</v>
      </c>
      <c r="C392" s="114">
        <v>0</v>
      </c>
      <c r="D392" s="114" t="s">
        <v>991</v>
      </c>
      <c r="E392" s="114" t="s">
        <v>966</v>
      </c>
      <c r="F392" s="114" t="s">
        <v>909</v>
      </c>
      <c r="G392" s="114"/>
      <c r="H392" s="114"/>
      <c r="I392" s="114"/>
      <c r="J392" s="114" t="s">
        <v>871</v>
      </c>
      <c r="K392" s="114"/>
      <c r="L392" s="114"/>
      <c r="M392" s="114"/>
      <c r="N392" s="114">
        <v>9</v>
      </c>
      <c r="O392" s="180">
        <v>-2147483648</v>
      </c>
      <c r="P392" s="180">
        <v>2147483647</v>
      </c>
      <c r="Q392" s="180">
        <v>0</v>
      </c>
      <c r="R392" s="180"/>
      <c r="S392" s="180"/>
      <c r="T392" s="181" t="s">
        <v>636</v>
      </c>
      <c r="U392" s="179" t="s">
        <v>2724</v>
      </c>
      <c r="V392" s="179" t="s">
        <v>2725</v>
      </c>
      <c r="W392" s="114" t="s">
        <v>2726</v>
      </c>
      <c r="X392" s="180">
        <v>32</v>
      </c>
      <c r="Y392" s="182" t="s">
        <v>913</v>
      </c>
      <c r="Z392" s="183"/>
      <c r="AA392" s="184"/>
      <c r="AB392" s="182"/>
      <c r="AC392" s="109"/>
      <c r="AD392" s="172"/>
      <c r="AE392" s="114"/>
      <c r="AF392" s="114"/>
      <c r="AG392" s="114"/>
      <c r="AH392" s="106"/>
      <c r="AI392" s="114"/>
      <c r="AJ392" s="106"/>
      <c r="AK392" s="114"/>
      <c r="AL392" s="106"/>
      <c r="AM392" s="114"/>
      <c r="AN392" s="106"/>
      <c r="AO392" s="114"/>
      <c r="AP392" s="106"/>
      <c r="AQ392" s="114"/>
      <c r="AR392" s="106"/>
      <c r="AS392" s="114"/>
      <c r="AT392" s="106"/>
      <c r="AU392" s="114"/>
      <c r="AV392" s="106"/>
      <c r="AW392" s="114"/>
      <c r="AX392" s="157"/>
      <c r="AY392" s="157"/>
      <c r="AZ392" s="157"/>
      <c r="BA392" s="157"/>
      <c r="BB392" s="157"/>
      <c r="BC392" s="157"/>
    </row>
    <row r="393" spans="1:55" x14ac:dyDescent="0.3">
      <c r="A393" s="114">
        <f t="shared" si="9"/>
        <v>389</v>
      </c>
      <c r="B393" s="179" t="s">
        <v>2727</v>
      </c>
      <c r="C393" s="114">
        <v>0</v>
      </c>
      <c r="D393" s="114" t="s">
        <v>991</v>
      </c>
      <c r="E393" s="114" t="s">
        <v>966</v>
      </c>
      <c r="F393" s="114" t="s">
        <v>909</v>
      </c>
      <c r="G393" s="114"/>
      <c r="H393" s="114"/>
      <c r="I393" s="114"/>
      <c r="J393" s="114" t="s">
        <v>871</v>
      </c>
      <c r="K393" s="114"/>
      <c r="L393" s="114"/>
      <c r="M393" s="114"/>
      <c r="N393" s="114">
        <v>9</v>
      </c>
      <c r="O393" s="180">
        <v>-2147483648</v>
      </c>
      <c r="P393" s="180">
        <v>2147483647</v>
      </c>
      <c r="Q393" s="180">
        <v>0</v>
      </c>
      <c r="R393" s="180"/>
      <c r="S393" s="180"/>
      <c r="T393" s="181" t="s">
        <v>638</v>
      </c>
      <c r="U393" s="179" t="s">
        <v>2728</v>
      </c>
      <c r="V393" s="179" t="s">
        <v>2729</v>
      </c>
      <c r="W393" s="114" t="s">
        <v>2730</v>
      </c>
      <c r="X393" s="180">
        <v>32</v>
      </c>
      <c r="Y393" s="182" t="s">
        <v>913</v>
      </c>
      <c r="Z393" s="183"/>
      <c r="AA393" s="184"/>
      <c r="AB393" s="182"/>
      <c r="AC393" s="109"/>
      <c r="AD393" s="172"/>
      <c r="AE393" s="114"/>
      <c r="AF393" s="114"/>
      <c r="AG393" s="114"/>
      <c r="AH393" s="106"/>
      <c r="AI393" s="114"/>
      <c r="AJ393" s="106"/>
      <c r="AK393" s="114"/>
      <c r="AL393" s="106"/>
      <c r="AM393" s="114"/>
      <c r="AN393" s="106"/>
      <c r="AO393" s="114"/>
      <c r="AP393" s="106"/>
      <c r="AQ393" s="114"/>
      <c r="AR393" s="106"/>
      <c r="AS393" s="114"/>
      <c r="AT393" s="106"/>
      <c r="AU393" s="114"/>
      <c r="AV393" s="106"/>
      <c r="AW393" s="114"/>
      <c r="AX393" s="157"/>
      <c r="AY393" s="157"/>
      <c r="AZ393" s="157"/>
      <c r="BA393" s="157"/>
      <c r="BB393" s="157"/>
      <c r="BC393" s="157"/>
    </row>
    <row r="394" spans="1:55" x14ac:dyDescent="0.3">
      <c r="A394" s="114">
        <f t="shared" si="9"/>
        <v>390</v>
      </c>
      <c r="B394" s="179" t="s">
        <v>2731</v>
      </c>
      <c r="C394" s="114">
        <v>0</v>
      </c>
      <c r="D394" s="114" t="s">
        <v>991</v>
      </c>
      <c r="E394" s="114" t="s">
        <v>966</v>
      </c>
      <c r="F394" s="114" t="s">
        <v>909</v>
      </c>
      <c r="G394" s="114"/>
      <c r="H394" s="114"/>
      <c r="I394" s="114"/>
      <c r="J394" s="114" t="s">
        <v>871</v>
      </c>
      <c r="K394" s="114"/>
      <c r="L394" s="114"/>
      <c r="M394" s="114"/>
      <c r="N394" s="114">
        <v>9</v>
      </c>
      <c r="O394" s="180">
        <v>-2147483648</v>
      </c>
      <c r="P394" s="180">
        <v>2147483647</v>
      </c>
      <c r="Q394" s="180">
        <v>0</v>
      </c>
      <c r="R394" s="180"/>
      <c r="S394" s="180"/>
      <c r="T394" s="181" t="s">
        <v>640</v>
      </c>
      <c r="U394" s="179" t="s">
        <v>2732</v>
      </c>
      <c r="V394" s="179" t="s">
        <v>2733</v>
      </c>
      <c r="W394" s="114" t="s">
        <v>2734</v>
      </c>
      <c r="X394" s="180">
        <v>32</v>
      </c>
      <c r="Y394" s="182" t="s">
        <v>913</v>
      </c>
      <c r="Z394" s="183"/>
      <c r="AA394" s="184"/>
      <c r="AB394" s="182"/>
      <c r="AC394" s="109"/>
      <c r="AD394" s="172"/>
      <c r="AE394" s="114"/>
      <c r="AF394" s="114"/>
      <c r="AG394" s="114"/>
      <c r="AH394" s="106"/>
      <c r="AI394" s="114"/>
      <c r="AJ394" s="106"/>
      <c r="AK394" s="114"/>
      <c r="AL394" s="106"/>
      <c r="AM394" s="114"/>
      <c r="AN394" s="106"/>
      <c r="AO394" s="114"/>
      <c r="AP394" s="106"/>
      <c r="AQ394" s="114"/>
      <c r="AR394" s="106"/>
      <c r="AS394" s="114"/>
      <c r="AT394" s="106"/>
      <c r="AU394" s="114"/>
      <c r="AV394" s="106"/>
      <c r="AW394" s="114"/>
      <c r="AX394" s="157"/>
      <c r="AY394" s="157"/>
      <c r="AZ394" s="157"/>
      <c r="BA394" s="157"/>
      <c r="BB394" s="157"/>
      <c r="BC394" s="157"/>
    </row>
    <row r="395" spans="1:55" x14ac:dyDescent="0.3">
      <c r="A395" s="114">
        <f t="shared" si="9"/>
        <v>391</v>
      </c>
      <c r="B395" s="179" t="s">
        <v>2735</v>
      </c>
      <c r="C395" s="114">
        <v>0</v>
      </c>
      <c r="D395" s="114" t="s">
        <v>991</v>
      </c>
      <c r="E395" s="114" t="s">
        <v>966</v>
      </c>
      <c r="F395" s="114" t="s">
        <v>909</v>
      </c>
      <c r="G395" s="114"/>
      <c r="H395" s="114"/>
      <c r="I395" s="114"/>
      <c r="J395" s="114" t="s">
        <v>871</v>
      </c>
      <c r="K395" s="114"/>
      <c r="L395" s="114"/>
      <c r="M395" s="114"/>
      <c r="N395" s="114">
        <v>9</v>
      </c>
      <c r="O395" s="180">
        <v>-2147483648</v>
      </c>
      <c r="P395" s="180">
        <v>2147483647</v>
      </c>
      <c r="Q395" s="180">
        <v>0</v>
      </c>
      <c r="R395" s="180"/>
      <c r="S395" s="180"/>
      <c r="T395" s="181" t="s">
        <v>642</v>
      </c>
      <c r="U395" s="179" t="s">
        <v>2736</v>
      </c>
      <c r="V395" s="179" t="s">
        <v>2737</v>
      </c>
      <c r="W395" s="114" t="s">
        <v>2738</v>
      </c>
      <c r="X395" s="180">
        <v>32</v>
      </c>
      <c r="Y395" s="182" t="s">
        <v>913</v>
      </c>
      <c r="Z395" s="183"/>
      <c r="AA395" s="184"/>
      <c r="AB395" s="182"/>
      <c r="AC395" s="109"/>
      <c r="AD395" s="172"/>
      <c r="AE395" s="114"/>
      <c r="AF395" s="114"/>
      <c r="AG395" s="114"/>
      <c r="AH395" s="106"/>
      <c r="AI395" s="114"/>
      <c r="AJ395" s="106"/>
      <c r="AK395" s="114"/>
      <c r="AL395" s="106"/>
      <c r="AM395" s="114"/>
      <c r="AN395" s="106"/>
      <c r="AO395" s="114"/>
      <c r="AP395" s="106"/>
      <c r="AQ395" s="114"/>
      <c r="AR395" s="106"/>
      <c r="AS395" s="114"/>
      <c r="AT395" s="106"/>
      <c r="AU395" s="114"/>
      <c r="AV395" s="106"/>
      <c r="AW395" s="114"/>
      <c r="AX395" s="157"/>
      <c r="AY395" s="157"/>
      <c r="AZ395" s="157"/>
      <c r="BA395" s="157"/>
      <c r="BB395" s="157"/>
      <c r="BC395" s="157"/>
    </row>
    <row r="396" spans="1:55" ht="79.2" x14ac:dyDescent="0.3">
      <c r="A396" s="114">
        <f>A395+1</f>
        <v>392</v>
      </c>
      <c r="B396" s="179" t="s">
        <v>2739</v>
      </c>
      <c r="C396" s="114">
        <v>0</v>
      </c>
      <c r="D396" s="114" t="s">
        <v>991</v>
      </c>
      <c r="E396" s="114" t="s">
        <v>980</v>
      </c>
      <c r="F396" s="114" t="s">
        <v>909</v>
      </c>
      <c r="G396" s="114"/>
      <c r="H396" s="114"/>
      <c r="I396" s="114"/>
      <c r="J396" s="114"/>
      <c r="K396" s="114"/>
      <c r="L396" s="114"/>
      <c r="M396" s="114"/>
      <c r="N396" s="114">
        <v>9</v>
      </c>
      <c r="O396" s="180">
        <v>0</v>
      </c>
      <c r="P396" s="180">
        <v>799</v>
      </c>
      <c r="Q396" s="180">
        <v>10</v>
      </c>
      <c r="R396" s="180"/>
      <c r="S396" s="180"/>
      <c r="T396" s="181" t="s">
        <v>644</v>
      </c>
      <c r="U396" s="179" t="s">
        <v>2740</v>
      </c>
      <c r="V396" s="179" t="s">
        <v>2432</v>
      </c>
      <c r="W396" s="114" t="s">
        <v>2741</v>
      </c>
      <c r="X396" s="180">
        <v>16</v>
      </c>
      <c r="Y396" s="182" t="s">
        <v>913</v>
      </c>
      <c r="Z396" s="183" t="s">
        <v>2742</v>
      </c>
      <c r="AA396" s="184"/>
      <c r="AB396" s="182"/>
      <c r="AC396" s="114">
        <v>3</v>
      </c>
      <c r="AD396" s="172" t="s">
        <v>887</v>
      </c>
      <c r="AE396" s="114"/>
      <c r="AF396" s="114"/>
      <c r="AG396" s="114"/>
      <c r="AH396" s="106"/>
      <c r="AI396" s="114"/>
      <c r="AJ396" s="106"/>
      <c r="AK396" s="114"/>
      <c r="AL396" s="106"/>
      <c r="AM396" s="114"/>
      <c r="AN396" s="106"/>
      <c r="AO396" s="114"/>
      <c r="AP396" s="106"/>
      <c r="AQ396" s="114"/>
      <c r="AR396" s="106"/>
      <c r="AS396" s="114"/>
      <c r="AT396" s="106"/>
      <c r="AU396" s="114"/>
      <c r="AV396" s="106" t="s">
        <v>915</v>
      </c>
      <c r="AW396" s="114"/>
      <c r="AX396" s="157"/>
      <c r="AY396" s="157"/>
      <c r="AZ396" s="157"/>
      <c r="BA396" s="157"/>
      <c r="BB396" s="157"/>
      <c r="BC396" s="157"/>
    </row>
    <row r="397" spans="1:55" ht="26.4" x14ac:dyDescent="0.3">
      <c r="A397" s="114">
        <f t="shared" si="9"/>
        <v>393</v>
      </c>
      <c r="B397" s="179" t="s">
        <v>2743</v>
      </c>
      <c r="C397" s="114">
        <v>0</v>
      </c>
      <c r="D397" s="114" t="s">
        <v>991</v>
      </c>
      <c r="E397" s="114" t="s">
        <v>966</v>
      </c>
      <c r="F397" s="114" t="s">
        <v>909</v>
      </c>
      <c r="G397" s="114"/>
      <c r="H397" s="114"/>
      <c r="I397" s="114"/>
      <c r="J397" s="114" t="s">
        <v>871</v>
      </c>
      <c r="K397" s="114"/>
      <c r="L397" s="114"/>
      <c r="M397" s="114"/>
      <c r="N397" s="114">
        <v>9</v>
      </c>
      <c r="O397" s="180">
        <v>-2147483648</v>
      </c>
      <c r="P397" s="180">
        <v>2147483647</v>
      </c>
      <c r="Q397" s="112">
        <v>0</v>
      </c>
      <c r="R397" s="180"/>
      <c r="S397" s="180"/>
      <c r="T397" s="181" t="s">
        <v>646</v>
      </c>
      <c r="U397" s="179" t="s">
        <v>2744</v>
      </c>
      <c r="V397" s="179" t="s">
        <v>2437</v>
      </c>
      <c r="W397" s="114" t="s">
        <v>2745</v>
      </c>
      <c r="X397" s="180">
        <v>32</v>
      </c>
      <c r="Y397" s="182" t="s">
        <v>913</v>
      </c>
      <c r="Z397" s="183" t="s">
        <v>2746</v>
      </c>
      <c r="AA397" s="184" t="s">
        <v>2747</v>
      </c>
      <c r="AB397" s="182"/>
      <c r="AC397" s="114">
        <v>3</v>
      </c>
      <c r="AD397" s="172" t="s">
        <v>887</v>
      </c>
      <c r="AE397" s="114"/>
      <c r="AF397" s="114"/>
      <c r="AG397" s="114"/>
      <c r="AH397" s="106"/>
      <c r="AI397" s="114"/>
      <c r="AJ397" s="106"/>
      <c r="AK397" s="114"/>
      <c r="AL397" s="106"/>
      <c r="AM397" s="114"/>
      <c r="AN397" s="106"/>
      <c r="AO397" s="114"/>
      <c r="AP397" s="106"/>
      <c r="AQ397" s="114"/>
      <c r="AR397" s="106"/>
      <c r="AS397" s="114"/>
      <c r="AT397" s="106"/>
      <c r="AU397" s="114"/>
      <c r="AV397" s="106" t="s">
        <v>915</v>
      </c>
      <c r="AW397" s="114"/>
      <c r="AX397" s="157"/>
      <c r="AY397" s="157"/>
      <c r="AZ397" s="157"/>
      <c r="BA397" s="157"/>
      <c r="BB397" s="157"/>
      <c r="BC397" s="157"/>
    </row>
    <row r="398" spans="1:55" ht="132" x14ac:dyDescent="0.3">
      <c r="A398" s="114">
        <f t="shared" si="9"/>
        <v>394</v>
      </c>
      <c r="B398" s="179" t="s">
        <v>2748</v>
      </c>
      <c r="C398" s="114">
        <v>0</v>
      </c>
      <c r="D398" s="114" t="s">
        <v>991</v>
      </c>
      <c r="E398" s="114" t="s">
        <v>980</v>
      </c>
      <c r="F398" s="114" t="s">
        <v>909</v>
      </c>
      <c r="G398" s="114"/>
      <c r="H398" s="114"/>
      <c r="I398" s="114"/>
      <c r="J398" s="114" t="s">
        <v>871</v>
      </c>
      <c r="K398" s="114"/>
      <c r="L398" s="114"/>
      <c r="M398" s="114"/>
      <c r="N398" s="114">
        <v>9</v>
      </c>
      <c r="O398" s="180">
        <v>0</v>
      </c>
      <c r="P398" s="180">
        <v>800</v>
      </c>
      <c r="Q398" s="180">
        <v>1</v>
      </c>
      <c r="R398" s="180"/>
      <c r="S398" s="180"/>
      <c r="T398" s="181" t="s">
        <v>648</v>
      </c>
      <c r="U398" s="179" t="s">
        <v>2749</v>
      </c>
      <c r="V398" s="179" t="s">
        <v>2442</v>
      </c>
      <c r="W398" s="114" t="s">
        <v>2750</v>
      </c>
      <c r="X398" s="180">
        <v>16</v>
      </c>
      <c r="Y398" s="182" t="s">
        <v>913</v>
      </c>
      <c r="Z398" s="183" t="s">
        <v>2751</v>
      </c>
      <c r="AA398" s="184"/>
      <c r="AB398" s="182"/>
      <c r="AC398" s="114">
        <v>3</v>
      </c>
      <c r="AD398" s="172" t="s">
        <v>887</v>
      </c>
      <c r="AE398" s="114"/>
      <c r="AF398" s="114"/>
      <c r="AG398" s="114"/>
      <c r="AH398" s="106"/>
      <c r="AI398" s="114"/>
      <c r="AJ398" s="106"/>
      <c r="AK398" s="114"/>
      <c r="AL398" s="106"/>
      <c r="AM398" s="114"/>
      <c r="AN398" s="106"/>
      <c r="AO398" s="114"/>
      <c r="AP398" s="106"/>
      <c r="AQ398" s="114"/>
      <c r="AR398" s="106"/>
      <c r="AS398" s="114"/>
      <c r="AT398" s="106"/>
      <c r="AU398" s="114"/>
      <c r="AV398" s="106" t="s">
        <v>915</v>
      </c>
      <c r="AW398" s="114"/>
      <c r="AX398" s="157"/>
      <c r="AY398" s="157"/>
      <c r="AZ398" s="157"/>
      <c r="BA398" s="157"/>
      <c r="BB398" s="157"/>
      <c r="BC398" s="157"/>
    </row>
    <row r="399" spans="1:55" ht="26.4" x14ac:dyDescent="0.3">
      <c r="A399" s="114">
        <f t="shared" si="9"/>
        <v>395</v>
      </c>
      <c r="B399" s="179" t="s">
        <v>2752</v>
      </c>
      <c r="C399" s="114">
        <v>0</v>
      </c>
      <c r="D399" s="114" t="s">
        <v>991</v>
      </c>
      <c r="E399" s="122" t="s">
        <v>944</v>
      </c>
      <c r="F399" s="114" t="s">
        <v>909</v>
      </c>
      <c r="G399" s="114"/>
      <c r="H399" s="114"/>
      <c r="I399" s="114"/>
      <c r="J399" s="114" t="s">
        <v>871</v>
      </c>
      <c r="K399" s="114"/>
      <c r="L399" s="114"/>
      <c r="M399" s="114"/>
      <c r="N399" s="114">
        <v>9</v>
      </c>
      <c r="O399" s="107" t="s">
        <v>1181</v>
      </c>
      <c r="P399" s="107" t="s">
        <v>2753</v>
      </c>
      <c r="Q399" s="107" t="s">
        <v>2754</v>
      </c>
      <c r="R399" s="180"/>
      <c r="S399" s="180"/>
      <c r="T399" s="181" t="s">
        <v>650</v>
      </c>
      <c r="U399" s="179" t="s">
        <v>2755</v>
      </c>
      <c r="V399" s="179" t="s">
        <v>2450</v>
      </c>
      <c r="W399" s="114" t="s">
        <v>2756</v>
      </c>
      <c r="X399" s="180">
        <v>16</v>
      </c>
      <c r="Y399" s="182" t="s">
        <v>913</v>
      </c>
      <c r="Z399" s="183" t="s">
        <v>2757</v>
      </c>
      <c r="AA399" s="184"/>
      <c r="AB399" s="182"/>
      <c r="AC399" s="114">
        <v>3</v>
      </c>
      <c r="AD399" s="172" t="s">
        <v>887</v>
      </c>
      <c r="AE399" s="114"/>
      <c r="AF399" s="114"/>
      <c r="AG399" s="114"/>
      <c r="AH399" s="106"/>
      <c r="AI399" s="114"/>
      <c r="AJ399" s="106"/>
      <c r="AK399" s="114"/>
      <c r="AL399" s="106"/>
      <c r="AM399" s="114"/>
      <c r="AN399" s="106"/>
      <c r="AO399" s="114"/>
      <c r="AP399" s="106"/>
      <c r="AQ399" s="114"/>
      <c r="AR399" s="106"/>
      <c r="AS399" s="114"/>
      <c r="AT399" s="106"/>
      <c r="AU399" s="114"/>
      <c r="AV399" s="106" t="s">
        <v>915</v>
      </c>
      <c r="AW399" s="114"/>
      <c r="AX399" s="157"/>
      <c r="AY399" s="157"/>
      <c r="AZ399" s="157"/>
      <c r="BA399" s="157"/>
      <c r="BB399" s="157"/>
      <c r="BC399" s="157"/>
    </row>
    <row r="400" spans="1:55" ht="26.4" x14ac:dyDescent="0.3">
      <c r="A400" s="114">
        <f t="shared" si="9"/>
        <v>396</v>
      </c>
      <c r="B400" s="179" t="s">
        <v>2758</v>
      </c>
      <c r="C400" s="114">
        <v>0</v>
      </c>
      <c r="D400" s="114" t="s">
        <v>991</v>
      </c>
      <c r="E400" s="114" t="s">
        <v>966</v>
      </c>
      <c r="F400" s="114" t="s">
        <v>909</v>
      </c>
      <c r="G400" s="114"/>
      <c r="H400" s="114"/>
      <c r="I400" s="114"/>
      <c r="J400" s="114"/>
      <c r="K400" s="114"/>
      <c r="L400" s="114"/>
      <c r="M400" s="114"/>
      <c r="N400" s="114">
        <v>9</v>
      </c>
      <c r="O400" s="180">
        <v>-1073741824</v>
      </c>
      <c r="P400" s="180">
        <v>1073741823</v>
      </c>
      <c r="Q400" s="180">
        <v>0</v>
      </c>
      <c r="R400" s="180"/>
      <c r="S400" s="180"/>
      <c r="T400" s="181" t="s">
        <v>652</v>
      </c>
      <c r="U400" s="179" t="s">
        <v>2759</v>
      </c>
      <c r="V400" s="179" t="s">
        <v>2634</v>
      </c>
      <c r="W400" s="114" t="s">
        <v>2760</v>
      </c>
      <c r="X400" s="180">
        <v>32</v>
      </c>
      <c r="Y400" s="182" t="s">
        <v>913</v>
      </c>
      <c r="Z400" s="183" t="s">
        <v>2761</v>
      </c>
      <c r="AA400" s="184"/>
      <c r="AB400" s="182"/>
      <c r="AC400" s="114">
        <v>3</v>
      </c>
      <c r="AD400" s="172" t="s">
        <v>887</v>
      </c>
      <c r="AE400" s="114"/>
      <c r="AF400" s="114"/>
      <c r="AG400" s="114"/>
      <c r="AH400" s="106"/>
      <c r="AI400" s="114"/>
      <c r="AJ400" s="106"/>
      <c r="AK400" s="114"/>
      <c r="AL400" s="106"/>
      <c r="AM400" s="114"/>
      <c r="AN400" s="106"/>
      <c r="AO400" s="114"/>
      <c r="AP400" s="106"/>
      <c r="AQ400" s="114"/>
      <c r="AR400" s="106"/>
      <c r="AS400" s="114"/>
      <c r="AT400" s="106"/>
      <c r="AU400" s="114"/>
      <c r="AV400" s="106" t="s">
        <v>915</v>
      </c>
      <c r="AW400" s="114"/>
      <c r="AX400" s="157"/>
      <c r="AY400" s="157"/>
      <c r="AZ400" s="157"/>
      <c r="BA400" s="157"/>
      <c r="BB400" s="157"/>
      <c r="BC400" s="157"/>
    </row>
    <row r="401" spans="1:55" ht="52.8" x14ac:dyDescent="0.3">
      <c r="A401" s="114">
        <f t="shared" si="9"/>
        <v>397</v>
      </c>
      <c r="B401" s="179" t="s">
        <v>2762</v>
      </c>
      <c r="C401" s="114">
        <v>0</v>
      </c>
      <c r="D401" s="114" t="s">
        <v>991</v>
      </c>
      <c r="E401" s="114" t="s">
        <v>944</v>
      </c>
      <c r="F401" s="114" t="s">
        <v>909</v>
      </c>
      <c r="G401" s="114"/>
      <c r="H401" s="114"/>
      <c r="I401" s="114"/>
      <c r="J401" s="114"/>
      <c r="K401" s="114"/>
      <c r="L401" s="114"/>
      <c r="M401" s="191" t="s">
        <v>874</v>
      </c>
      <c r="N401" s="114">
        <v>10</v>
      </c>
      <c r="O401" s="180" t="s">
        <v>1181</v>
      </c>
      <c r="P401" s="180" t="s">
        <v>2763</v>
      </c>
      <c r="Q401" s="180" t="s">
        <v>1181</v>
      </c>
      <c r="R401" s="180"/>
      <c r="S401" s="180"/>
      <c r="T401" s="181" t="s">
        <v>2764</v>
      </c>
      <c r="U401" s="179" t="s">
        <v>2765</v>
      </c>
      <c r="V401" s="179" t="s">
        <v>2766</v>
      </c>
      <c r="W401" s="114" t="s">
        <v>2767</v>
      </c>
      <c r="X401" s="180">
        <v>32</v>
      </c>
      <c r="Y401" s="182" t="s">
        <v>1503</v>
      </c>
      <c r="Z401" s="183" t="s">
        <v>2768</v>
      </c>
      <c r="AA401" s="184"/>
      <c r="AB401" s="182"/>
      <c r="AC401" s="114">
        <v>4</v>
      </c>
      <c r="AD401" s="172" t="s">
        <v>887</v>
      </c>
      <c r="AE401" s="114"/>
      <c r="AF401" s="114"/>
      <c r="AG401" s="114"/>
      <c r="AH401" s="106"/>
      <c r="AI401" s="114"/>
      <c r="AJ401" s="106"/>
      <c r="AK401" s="114"/>
      <c r="AL401" s="106"/>
      <c r="AM401" s="114"/>
      <c r="AN401" s="106"/>
      <c r="AO401" s="114"/>
      <c r="AP401" s="106"/>
      <c r="AQ401" s="114"/>
      <c r="AR401" s="106"/>
      <c r="AS401" s="114"/>
      <c r="AT401" s="106" t="s">
        <v>915</v>
      </c>
      <c r="AU401" s="114"/>
      <c r="AV401" s="106"/>
      <c r="AW401" s="114"/>
      <c r="AX401" s="157"/>
      <c r="AY401" s="157"/>
      <c r="AZ401" s="157"/>
      <c r="BA401" s="157"/>
      <c r="BB401" s="157"/>
      <c r="BC401" s="157"/>
    </row>
    <row r="402" spans="1:55" x14ac:dyDescent="0.3">
      <c r="A402" s="114">
        <f t="shared" si="9"/>
        <v>398</v>
      </c>
      <c r="B402" s="179" t="s">
        <v>2769</v>
      </c>
      <c r="C402" s="114">
        <v>0</v>
      </c>
      <c r="D402" s="114" t="s">
        <v>991</v>
      </c>
      <c r="E402" s="114" t="s">
        <v>966</v>
      </c>
      <c r="F402" s="114" t="s">
        <v>909</v>
      </c>
      <c r="G402" s="114"/>
      <c r="H402" s="114"/>
      <c r="I402" s="114"/>
      <c r="J402" s="114"/>
      <c r="K402" s="114"/>
      <c r="L402" s="114"/>
      <c r="M402" s="114"/>
      <c r="N402" s="114">
        <v>10</v>
      </c>
      <c r="O402" s="180">
        <v>-2147483648</v>
      </c>
      <c r="P402" s="180">
        <v>2147483647</v>
      </c>
      <c r="Q402" s="180">
        <v>0</v>
      </c>
      <c r="R402" s="180"/>
      <c r="S402" s="180"/>
      <c r="T402" s="181" t="s">
        <v>2770</v>
      </c>
      <c r="U402" s="179" t="s">
        <v>2771</v>
      </c>
      <c r="V402" s="179" t="s">
        <v>2772</v>
      </c>
      <c r="W402" s="114" t="s">
        <v>2773</v>
      </c>
      <c r="X402" s="180">
        <v>32</v>
      </c>
      <c r="Y402" s="182" t="s">
        <v>1503</v>
      </c>
      <c r="Z402" s="183" t="s">
        <v>2774</v>
      </c>
      <c r="AA402" s="184"/>
      <c r="AB402" s="182"/>
      <c r="AC402" s="114">
        <v>4</v>
      </c>
      <c r="AD402" s="172" t="s">
        <v>887</v>
      </c>
      <c r="AE402" s="114"/>
      <c r="AF402" s="114"/>
      <c r="AG402" s="114"/>
      <c r="AH402" s="106"/>
      <c r="AI402" s="114"/>
      <c r="AJ402" s="106"/>
      <c r="AK402" s="114"/>
      <c r="AL402" s="106"/>
      <c r="AM402" s="114"/>
      <c r="AN402" s="106"/>
      <c r="AO402" s="114"/>
      <c r="AP402" s="106"/>
      <c r="AQ402" s="114"/>
      <c r="AR402" s="106"/>
      <c r="AS402" s="114"/>
      <c r="AT402" s="106" t="s">
        <v>915</v>
      </c>
      <c r="AU402" s="114"/>
      <c r="AV402" s="106"/>
      <c r="AW402" s="114"/>
      <c r="AX402" s="157"/>
      <c r="AY402" s="157"/>
      <c r="AZ402" s="157"/>
      <c r="BA402" s="157"/>
      <c r="BB402" s="157"/>
      <c r="BC402" s="157"/>
    </row>
    <row r="403" spans="1:55" x14ac:dyDescent="0.3">
      <c r="A403" s="114">
        <f t="shared" si="9"/>
        <v>399</v>
      </c>
      <c r="B403" s="179" t="s">
        <v>2775</v>
      </c>
      <c r="C403" s="114">
        <v>0</v>
      </c>
      <c r="D403" s="114" t="s">
        <v>991</v>
      </c>
      <c r="E403" s="114" t="s">
        <v>944</v>
      </c>
      <c r="F403" s="114" t="s">
        <v>909</v>
      </c>
      <c r="G403" s="114"/>
      <c r="H403" s="114"/>
      <c r="I403" s="114"/>
      <c r="J403" s="114"/>
      <c r="K403" s="114"/>
      <c r="L403" s="114"/>
      <c r="M403" s="191" t="s">
        <v>874</v>
      </c>
      <c r="N403" s="114">
        <v>10</v>
      </c>
      <c r="O403" s="180" t="s">
        <v>1181</v>
      </c>
      <c r="P403" s="180" t="s">
        <v>1089</v>
      </c>
      <c r="Q403" s="180" t="s">
        <v>1181</v>
      </c>
      <c r="R403" s="180"/>
      <c r="S403" s="180"/>
      <c r="T403" s="181" t="s">
        <v>2776</v>
      </c>
      <c r="U403" s="179" t="s">
        <v>2777</v>
      </c>
      <c r="V403" s="179" t="s">
        <v>2778</v>
      </c>
      <c r="W403" s="114" t="s">
        <v>2779</v>
      </c>
      <c r="X403" s="180">
        <v>32</v>
      </c>
      <c r="Y403" s="182" t="s">
        <v>1503</v>
      </c>
      <c r="Z403" s="183" t="s">
        <v>2774</v>
      </c>
      <c r="AA403" s="184"/>
      <c r="AB403" s="182"/>
      <c r="AC403" s="114">
        <v>4</v>
      </c>
      <c r="AD403" s="172" t="s">
        <v>887</v>
      </c>
      <c r="AE403" s="114"/>
      <c r="AF403" s="114"/>
      <c r="AG403" s="114"/>
      <c r="AH403" s="106"/>
      <c r="AI403" s="114"/>
      <c r="AJ403" s="106"/>
      <c r="AK403" s="114"/>
      <c r="AL403" s="106"/>
      <c r="AM403" s="114"/>
      <c r="AN403" s="106"/>
      <c r="AO403" s="114"/>
      <c r="AP403" s="106"/>
      <c r="AQ403" s="114"/>
      <c r="AR403" s="106"/>
      <c r="AS403" s="114"/>
      <c r="AT403" s="106"/>
      <c r="AU403" s="114"/>
      <c r="AV403" s="106"/>
      <c r="AW403" s="114"/>
      <c r="AX403" s="157"/>
      <c r="AY403" s="157"/>
      <c r="AZ403" s="157"/>
      <c r="BA403" s="157"/>
      <c r="BB403" s="157"/>
      <c r="BC403" s="157"/>
    </row>
    <row r="404" spans="1:55" x14ac:dyDescent="0.3">
      <c r="A404" s="114">
        <f t="shared" si="9"/>
        <v>400</v>
      </c>
      <c r="B404" s="179" t="s">
        <v>2780</v>
      </c>
      <c r="C404" s="114">
        <v>0</v>
      </c>
      <c r="D404" s="114" t="s">
        <v>991</v>
      </c>
      <c r="E404" s="114" t="s">
        <v>966</v>
      </c>
      <c r="F404" s="114" t="s">
        <v>909</v>
      </c>
      <c r="G404" s="114"/>
      <c r="H404" s="114"/>
      <c r="I404" s="114"/>
      <c r="J404" s="114"/>
      <c r="K404" s="114"/>
      <c r="L404" s="114"/>
      <c r="M404" s="114"/>
      <c r="N404" s="114">
        <v>10</v>
      </c>
      <c r="O404" s="180">
        <v>-2147483648</v>
      </c>
      <c r="P404" s="180">
        <v>2147483647</v>
      </c>
      <c r="Q404" s="180">
        <v>0</v>
      </c>
      <c r="R404" s="180"/>
      <c r="S404" s="180"/>
      <c r="T404" s="181" t="s">
        <v>2781</v>
      </c>
      <c r="U404" s="179" t="s">
        <v>2782</v>
      </c>
      <c r="V404" s="179" t="s">
        <v>2783</v>
      </c>
      <c r="W404" s="114" t="s">
        <v>2784</v>
      </c>
      <c r="X404" s="180">
        <v>32</v>
      </c>
      <c r="Y404" s="182" t="s">
        <v>1503</v>
      </c>
      <c r="Z404" s="183" t="s">
        <v>2774</v>
      </c>
      <c r="AA404" s="184"/>
      <c r="AB404" s="182"/>
      <c r="AC404" s="114">
        <v>4</v>
      </c>
      <c r="AD404" s="172" t="s">
        <v>887</v>
      </c>
      <c r="AE404" s="114"/>
      <c r="AF404" s="114"/>
      <c r="AG404" s="114"/>
      <c r="AH404" s="106"/>
      <c r="AI404" s="114"/>
      <c r="AJ404" s="106"/>
      <c r="AK404" s="114"/>
      <c r="AL404" s="106"/>
      <c r="AM404" s="114"/>
      <c r="AN404" s="106"/>
      <c r="AO404" s="114"/>
      <c r="AP404" s="106"/>
      <c r="AQ404" s="114"/>
      <c r="AR404" s="106"/>
      <c r="AS404" s="114"/>
      <c r="AT404" s="106"/>
      <c r="AU404" s="114"/>
      <c r="AV404" s="106"/>
      <c r="AW404" s="114"/>
      <c r="AX404" s="157"/>
      <c r="AY404" s="157"/>
      <c r="AZ404" s="157"/>
      <c r="BA404" s="157"/>
      <c r="BB404" s="157"/>
      <c r="BC404" s="157"/>
    </row>
    <row r="405" spans="1:55" x14ac:dyDescent="0.3">
      <c r="A405" s="114">
        <f>A404+1</f>
        <v>401</v>
      </c>
      <c r="B405" s="179" t="s">
        <v>2785</v>
      </c>
      <c r="C405" s="114">
        <v>0</v>
      </c>
      <c r="D405" s="114" t="s">
        <v>991</v>
      </c>
      <c r="E405" s="114" t="s">
        <v>944</v>
      </c>
      <c r="F405" s="114" t="s">
        <v>909</v>
      </c>
      <c r="G405" s="114"/>
      <c r="H405" s="114"/>
      <c r="I405" s="114"/>
      <c r="J405" s="114"/>
      <c r="K405" s="114"/>
      <c r="L405" s="114"/>
      <c r="M405" s="191" t="s">
        <v>874</v>
      </c>
      <c r="N405" s="114">
        <v>10</v>
      </c>
      <c r="O405" s="180" t="s">
        <v>1181</v>
      </c>
      <c r="P405" s="180" t="s">
        <v>1089</v>
      </c>
      <c r="Q405" s="180" t="s">
        <v>1181</v>
      </c>
      <c r="R405" s="180"/>
      <c r="S405" s="180"/>
      <c r="T405" s="181" t="s">
        <v>2786</v>
      </c>
      <c r="U405" s="179" t="s">
        <v>2787</v>
      </c>
      <c r="V405" s="179" t="s">
        <v>2788</v>
      </c>
      <c r="W405" s="114" t="s">
        <v>2789</v>
      </c>
      <c r="X405" s="180">
        <v>32</v>
      </c>
      <c r="Y405" s="182" t="s">
        <v>1503</v>
      </c>
      <c r="Z405" s="183" t="s">
        <v>2774</v>
      </c>
      <c r="AA405" s="184"/>
      <c r="AB405" s="182"/>
      <c r="AC405" s="114">
        <v>4</v>
      </c>
      <c r="AD405" s="172" t="s">
        <v>887</v>
      </c>
      <c r="AE405" s="114"/>
      <c r="AF405" s="114"/>
      <c r="AG405" s="114"/>
      <c r="AH405" s="106"/>
      <c r="AI405" s="114"/>
      <c r="AJ405" s="106"/>
      <c r="AK405" s="114"/>
      <c r="AL405" s="106"/>
      <c r="AM405" s="114"/>
      <c r="AN405" s="106"/>
      <c r="AO405" s="114"/>
      <c r="AP405" s="106"/>
      <c r="AQ405" s="114"/>
      <c r="AR405" s="106"/>
      <c r="AS405" s="114"/>
      <c r="AT405" s="106"/>
      <c r="AU405" s="114"/>
      <c r="AV405" s="106"/>
      <c r="AW405" s="114"/>
      <c r="AX405" s="157"/>
      <c r="AY405" s="157"/>
      <c r="AZ405" s="157"/>
      <c r="BA405" s="157"/>
      <c r="BB405" s="157"/>
      <c r="BC405" s="157"/>
    </row>
    <row r="406" spans="1:55" x14ac:dyDescent="0.3">
      <c r="A406" s="114">
        <f t="shared" si="9"/>
        <v>402</v>
      </c>
      <c r="B406" s="179" t="s">
        <v>2790</v>
      </c>
      <c r="C406" s="114">
        <v>0</v>
      </c>
      <c r="D406" s="114" t="s">
        <v>991</v>
      </c>
      <c r="E406" s="114" t="s">
        <v>966</v>
      </c>
      <c r="F406" s="114" t="s">
        <v>909</v>
      </c>
      <c r="G406" s="114"/>
      <c r="H406" s="114"/>
      <c r="I406" s="114"/>
      <c r="J406" s="114"/>
      <c r="K406" s="114"/>
      <c r="L406" s="114"/>
      <c r="M406" s="114"/>
      <c r="N406" s="114">
        <v>10</v>
      </c>
      <c r="O406" s="180">
        <v>-2147483648</v>
      </c>
      <c r="P406" s="180">
        <v>2147483647</v>
      </c>
      <c r="Q406" s="180">
        <v>0</v>
      </c>
      <c r="R406" s="180"/>
      <c r="S406" s="180"/>
      <c r="T406" s="181" t="s">
        <v>2791</v>
      </c>
      <c r="U406" s="179" t="s">
        <v>2792</v>
      </c>
      <c r="V406" s="179" t="s">
        <v>2793</v>
      </c>
      <c r="W406" s="114" t="s">
        <v>2794</v>
      </c>
      <c r="X406" s="180">
        <v>32</v>
      </c>
      <c r="Y406" s="182" t="s">
        <v>1503</v>
      </c>
      <c r="Z406" s="183" t="s">
        <v>2774</v>
      </c>
      <c r="AA406" s="184"/>
      <c r="AB406" s="182"/>
      <c r="AC406" s="114">
        <v>4</v>
      </c>
      <c r="AD406" s="172" t="s">
        <v>887</v>
      </c>
      <c r="AE406" s="114"/>
      <c r="AF406" s="114"/>
      <c r="AG406" s="114"/>
      <c r="AH406" s="106"/>
      <c r="AI406" s="114"/>
      <c r="AJ406" s="106"/>
      <c r="AK406" s="114"/>
      <c r="AL406" s="106"/>
      <c r="AM406" s="114"/>
      <c r="AN406" s="106"/>
      <c r="AO406" s="114"/>
      <c r="AP406" s="106"/>
      <c r="AQ406" s="114"/>
      <c r="AR406" s="106"/>
      <c r="AS406" s="114"/>
      <c r="AT406" s="106"/>
      <c r="AU406" s="114"/>
      <c r="AV406" s="106"/>
      <c r="AW406" s="114"/>
      <c r="AX406" s="157"/>
      <c r="AY406" s="157"/>
      <c r="AZ406" s="157"/>
      <c r="BA406" s="157"/>
      <c r="BB406" s="157"/>
      <c r="BC406" s="157"/>
    </row>
    <row r="407" spans="1:55" x14ac:dyDescent="0.3">
      <c r="A407" s="114">
        <f t="shared" si="9"/>
        <v>403</v>
      </c>
      <c r="B407" s="179" t="s">
        <v>2795</v>
      </c>
      <c r="C407" s="114">
        <v>0</v>
      </c>
      <c r="D407" s="114" t="s">
        <v>991</v>
      </c>
      <c r="E407" s="114" t="s">
        <v>944</v>
      </c>
      <c r="F407" s="114" t="s">
        <v>909</v>
      </c>
      <c r="G407" s="114"/>
      <c r="H407" s="114"/>
      <c r="I407" s="114"/>
      <c r="J407" s="114"/>
      <c r="K407" s="114"/>
      <c r="L407" s="114"/>
      <c r="M407" s="191" t="s">
        <v>874</v>
      </c>
      <c r="N407" s="114">
        <v>10</v>
      </c>
      <c r="O407" s="180" t="s">
        <v>1181</v>
      </c>
      <c r="P407" s="180" t="s">
        <v>1089</v>
      </c>
      <c r="Q407" s="180" t="s">
        <v>1181</v>
      </c>
      <c r="R407" s="180"/>
      <c r="S407" s="180"/>
      <c r="T407" s="181" t="s">
        <v>2796</v>
      </c>
      <c r="U407" s="179" t="s">
        <v>2797</v>
      </c>
      <c r="V407" s="179" t="s">
        <v>2798</v>
      </c>
      <c r="W407" s="114" t="s">
        <v>2799</v>
      </c>
      <c r="X407" s="180">
        <v>32</v>
      </c>
      <c r="Y407" s="182" t="s">
        <v>1503</v>
      </c>
      <c r="Z407" s="183" t="s">
        <v>2774</v>
      </c>
      <c r="AA407" s="184"/>
      <c r="AB407" s="182"/>
      <c r="AC407" s="114">
        <v>4</v>
      </c>
      <c r="AD407" s="172" t="s">
        <v>887</v>
      </c>
      <c r="AE407" s="114"/>
      <c r="AF407" s="114"/>
      <c r="AG407" s="114"/>
      <c r="AH407" s="106"/>
      <c r="AI407" s="114"/>
      <c r="AJ407" s="106"/>
      <c r="AK407" s="114"/>
      <c r="AL407" s="106"/>
      <c r="AM407" s="114"/>
      <c r="AN407" s="106"/>
      <c r="AO407" s="114"/>
      <c r="AP407" s="106"/>
      <c r="AQ407" s="114"/>
      <c r="AR407" s="106"/>
      <c r="AS407" s="114"/>
      <c r="AT407" s="106"/>
      <c r="AU407" s="114"/>
      <c r="AV407" s="106"/>
      <c r="AW407" s="114"/>
      <c r="AX407" s="157"/>
      <c r="AY407" s="157"/>
      <c r="AZ407" s="157"/>
      <c r="BA407" s="157"/>
      <c r="BB407" s="157"/>
      <c r="BC407" s="157"/>
    </row>
    <row r="408" spans="1:55" x14ac:dyDescent="0.3">
      <c r="A408" s="114">
        <f t="shared" si="9"/>
        <v>404</v>
      </c>
      <c r="B408" s="179" t="s">
        <v>2800</v>
      </c>
      <c r="C408" s="114">
        <v>0</v>
      </c>
      <c r="D408" s="114" t="s">
        <v>991</v>
      </c>
      <c r="E408" s="114" t="s">
        <v>966</v>
      </c>
      <c r="F408" s="114" t="s">
        <v>909</v>
      </c>
      <c r="G408" s="114"/>
      <c r="H408" s="114"/>
      <c r="I408" s="114"/>
      <c r="J408" s="114"/>
      <c r="K408" s="114"/>
      <c r="L408" s="114"/>
      <c r="M408" s="114"/>
      <c r="N408" s="114">
        <v>10</v>
      </c>
      <c r="O408" s="180">
        <v>-2147483648</v>
      </c>
      <c r="P408" s="180">
        <v>2147483647</v>
      </c>
      <c r="Q408" s="180">
        <v>0</v>
      </c>
      <c r="R408" s="180"/>
      <c r="S408" s="180"/>
      <c r="T408" s="181" t="s">
        <v>2801</v>
      </c>
      <c r="U408" s="179" t="s">
        <v>2802</v>
      </c>
      <c r="V408" s="179" t="s">
        <v>2803</v>
      </c>
      <c r="W408" s="114" t="s">
        <v>2804</v>
      </c>
      <c r="X408" s="180">
        <v>32</v>
      </c>
      <c r="Y408" s="182" t="s">
        <v>1503</v>
      </c>
      <c r="Z408" s="183" t="s">
        <v>2774</v>
      </c>
      <c r="AA408" s="184"/>
      <c r="AB408" s="182"/>
      <c r="AC408" s="114">
        <v>4</v>
      </c>
      <c r="AD408" s="172" t="s">
        <v>887</v>
      </c>
      <c r="AE408" s="114"/>
      <c r="AF408" s="114"/>
      <c r="AG408" s="114"/>
      <c r="AH408" s="106"/>
      <c r="AI408" s="114"/>
      <c r="AJ408" s="106"/>
      <c r="AK408" s="114"/>
      <c r="AL408" s="106"/>
      <c r="AM408" s="114"/>
      <c r="AN408" s="106"/>
      <c r="AO408" s="114"/>
      <c r="AP408" s="106"/>
      <c r="AQ408" s="114"/>
      <c r="AR408" s="106"/>
      <c r="AS408" s="114"/>
      <c r="AT408" s="106"/>
      <c r="AU408" s="114"/>
      <c r="AV408" s="106"/>
      <c r="AW408" s="114"/>
      <c r="AX408" s="157"/>
      <c r="AY408" s="157"/>
      <c r="AZ408" s="157"/>
      <c r="BA408" s="157"/>
      <c r="BB408" s="157"/>
      <c r="BC408" s="157"/>
    </row>
    <row r="409" spans="1:55" x14ac:dyDescent="0.3">
      <c r="A409" s="114">
        <f t="shared" si="9"/>
        <v>405</v>
      </c>
      <c r="B409" s="179" t="s">
        <v>2805</v>
      </c>
      <c r="C409" s="114">
        <v>0</v>
      </c>
      <c r="D409" s="114" t="s">
        <v>991</v>
      </c>
      <c r="E409" s="114" t="s">
        <v>944</v>
      </c>
      <c r="F409" s="114" t="s">
        <v>909</v>
      </c>
      <c r="G409" s="114"/>
      <c r="H409" s="114"/>
      <c r="I409" s="114"/>
      <c r="J409" s="114"/>
      <c r="K409" s="114"/>
      <c r="L409" s="114"/>
      <c r="M409" s="191" t="s">
        <v>874</v>
      </c>
      <c r="N409" s="114">
        <v>10</v>
      </c>
      <c r="O409" s="180" t="s">
        <v>1181</v>
      </c>
      <c r="P409" s="180" t="s">
        <v>1089</v>
      </c>
      <c r="Q409" s="180" t="s">
        <v>1181</v>
      </c>
      <c r="R409" s="180"/>
      <c r="S409" s="180"/>
      <c r="T409" s="181" t="s">
        <v>2806</v>
      </c>
      <c r="U409" s="179" t="s">
        <v>2807</v>
      </c>
      <c r="V409" s="179" t="s">
        <v>2808</v>
      </c>
      <c r="W409" s="114" t="s">
        <v>2809</v>
      </c>
      <c r="X409" s="180">
        <v>32</v>
      </c>
      <c r="Y409" s="182" t="s">
        <v>1503</v>
      </c>
      <c r="Z409" s="183" t="s">
        <v>2774</v>
      </c>
      <c r="AA409" s="184"/>
      <c r="AB409" s="182"/>
      <c r="AC409" s="114">
        <v>4</v>
      </c>
      <c r="AD409" s="172" t="s">
        <v>887</v>
      </c>
      <c r="AE409" s="114"/>
      <c r="AF409" s="114"/>
      <c r="AG409" s="114"/>
      <c r="AH409" s="106"/>
      <c r="AI409" s="114"/>
      <c r="AJ409" s="106"/>
      <c r="AK409" s="114"/>
      <c r="AL409" s="106"/>
      <c r="AM409" s="114"/>
      <c r="AN409" s="106"/>
      <c r="AO409" s="114"/>
      <c r="AP409" s="106"/>
      <c r="AQ409" s="114"/>
      <c r="AR409" s="106"/>
      <c r="AS409" s="114"/>
      <c r="AT409" s="106"/>
      <c r="AU409" s="114"/>
      <c r="AV409" s="106"/>
      <c r="AW409" s="114"/>
      <c r="AX409" s="157"/>
      <c r="AY409" s="157"/>
      <c r="AZ409" s="157"/>
      <c r="BA409" s="157"/>
      <c r="BB409" s="157"/>
      <c r="BC409" s="157"/>
    </row>
    <row r="410" spans="1:55" x14ac:dyDescent="0.3">
      <c r="A410" s="114">
        <f t="shared" si="9"/>
        <v>406</v>
      </c>
      <c r="B410" s="179" t="s">
        <v>2810</v>
      </c>
      <c r="C410" s="114">
        <v>0</v>
      </c>
      <c r="D410" s="114" t="s">
        <v>991</v>
      </c>
      <c r="E410" s="114" t="s">
        <v>966</v>
      </c>
      <c r="F410" s="114" t="s">
        <v>909</v>
      </c>
      <c r="G410" s="114"/>
      <c r="H410" s="114"/>
      <c r="I410" s="114"/>
      <c r="J410" s="114"/>
      <c r="K410" s="114"/>
      <c r="L410" s="114"/>
      <c r="M410" s="114"/>
      <c r="N410" s="114">
        <v>10</v>
      </c>
      <c r="O410" s="180">
        <v>-2147483648</v>
      </c>
      <c r="P410" s="180">
        <v>2147483647</v>
      </c>
      <c r="Q410" s="180">
        <v>0</v>
      </c>
      <c r="R410" s="180"/>
      <c r="S410" s="180"/>
      <c r="T410" s="181" t="s">
        <v>2811</v>
      </c>
      <c r="U410" s="179" t="s">
        <v>2812</v>
      </c>
      <c r="V410" s="179" t="s">
        <v>2813</v>
      </c>
      <c r="W410" s="114" t="s">
        <v>2814</v>
      </c>
      <c r="X410" s="180">
        <v>32</v>
      </c>
      <c r="Y410" s="182" t="s">
        <v>1503</v>
      </c>
      <c r="Z410" s="183" t="s">
        <v>2774</v>
      </c>
      <c r="AA410" s="184"/>
      <c r="AB410" s="182"/>
      <c r="AC410" s="114">
        <v>4</v>
      </c>
      <c r="AD410" s="172" t="s">
        <v>887</v>
      </c>
      <c r="AE410" s="114"/>
      <c r="AF410" s="114"/>
      <c r="AG410" s="114"/>
      <c r="AH410" s="106"/>
      <c r="AI410" s="114"/>
      <c r="AJ410" s="106"/>
      <c r="AK410" s="114"/>
      <c r="AL410" s="106"/>
      <c r="AM410" s="114"/>
      <c r="AN410" s="106"/>
      <c r="AO410" s="114"/>
      <c r="AP410" s="106"/>
      <c r="AQ410" s="114"/>
      <c r="AR410" s="106"/>
      <c r="AS410" s="114"/>
      <c r="AT410" s="106"/>
      <c r="AU410" s="114"/>
      <c r="AV410" s="106"/>
      <c r="AW410" s="114"/>
      <c r="AX410" s="157"/>
      <c r="AY410" s="157"/>
      <c r="AZ410" s="157"/>
      <c r="BA410" s="157"/>
      <c r="BB410" s="157"/>
      <c r="BC410" s="157"/>
    </row>
    <row r="411" spans="1:55" x14ac:dyDescent="0.3">
      <c r="A411" s="114">
        <f t="shared" si="9"/>
        <v>407</v>
      </c>
      <c r="B411" s="179" t="s">
        <v>2815</v>
      </c>
      <c r="C411" s="114">
        <v>0</v>
      </c>
      <c r="D411" s="114" t="s">
        <v>991</v>
      </c>
      <c r="E411" s="114" t="s">
        <v>944</v>
      </c>
      <c r="F411" s="114" t="s">
        <v>909</v>
      </c>
      <c r="G411" s="114"/>
      <c r="H411" s="114"/>
      <c r="I411" s="114"/>
      <c r="J411" s="114"/>
      <c r="K411" s="114"/>
      <c r="L411" s="114"/>
      <c r="M411" s="191" t="s">
        <v>874</v>
      </c>
      <c r="N411" s="114">
        <v>10</v>
      </c>
      <c r="O411" s="180" t="s">
        <v>1181</v>
      </c>
      <c r="P411" s="180" t="s">
        <v>1089</v>
      </c>
      <c r="Q411" s="180" t="s">
        <v>1181</v>
      </c>
      <c r="R411" s="180"/>
      <c r="S411" s="180"/>
      <c r="T411" s="181" t="s">
        <v>2816</v>
      </c>
      <c r="U411" s="179" t="s">
        <v>2817</v>
      </c>
      <c r="V411" s="179" t="s">
        <v>2818</v>
      </c>
      <c r="W411" s="114" t="s">
        <v>2819</v>
      </c>
      <c r="X411" s="180">
        <v>32</v>
      </c>
      <c r="Y411" s="182" t="s">
        <v>1503</v>
      </c>
      <c r="Z411" s="183" t="s">
        <v>2774</v>
      </c>
      <c r="AA411" s="184"/>
      <c r="AB411" s="182"/>
      <c r="AC411" s="114">
        <v>4</v>
      </c>
      <c r="AD411" s="172" t="s">
        <v>887</v>
      </c>
      <c r="AE411" s="114"/>
      <c r="AF411" s="114"/>
      <c r="AG411" s="114"/>
      <c r="AH411" s="106"/>
      <c r="AI411" s="114"/>
      <c r="AJ411" s="106"/>
      <c r="AK411" s="114"/>
      <c r="AL411" s="106"/>
      <c r="AM411" s="114"/>
      <c r="AN411" s="106"/>
      <c r="AO411" s="114"/>
      <c r="AP411" s="106"/>
      <c r="AQ411" s="114"/>
      <c r="AR411" s="106"/>
      <c r="AS411" s="114"/>
      <c r="AT411" s="106"/>
      <c r="AU411" s="114"/>
      <c r="AV411" s="106"/>
      <c r="AW411" s="114"/>
      <c r="AX411" s="157"/>
      <c r="AY411" s="157"/>
      <c r="AZ411" s="157"/>
      <c r="BA411" s="157"/>
      <c r="BB411" s="157"/>
      <c r="BC411" s="157"/>
    </row>
    <row r="412" spans="1:55" x14ac:dyDescent="0.3">
      <c r="A412" s="114">
        <f t="shared" si="9"/>
        <v>408</v>
      </c>
      <c r="B412" s="179" t="s">
        <v>2820</v>
      </c>
      <c r="C412" s="114">
        <v>0</v>
      </c>
      <c r="D412" s="114" t="s">
        <v>991</v>
      </c>
      <c r="E412" s="114" t="s">
        <v>966</v>
      </c>
      <c r="F412" s="114" t="s">
        <v>909</v>
      </c>
      <c r="G412" s="114"/>
      <c r="H412" s="114"/>
      <c r="I412" s="114"/>
      <c r="J412" s="114"/>
      <c r="K412" s="114"/>
      <c r="L412" s="114"/>
      <c r="M412" s="114"/>
      <c r="N412" s="114">
        <v>10</v>
      </c>
      <c r="O412" s="180">
        <v>-2147483648</v>
      </c>
      <c r="P412" s="180">
        <v>2147483647</v>
      </c>
      <c r="Q412" s="180">
        <v>0</v>
      </c>
      <c r="R412" s="180"/>
      <c r="S412" s="180"/>
      <c r="T412" s="181" t="s">
        <v>2821</v>
      </c>
      <c r="U412" s="179" t="s">
        <v>2822</v>
      </c>
      <c r="V412" s="179" t="s">
        <v>2823</v>
      </c>
      <c r="W412" s="114" t="s">
        <v>2824</v>
      </c>
      <c r="X412" s="180">
        <v>32</v>
      </c>
      <c r="Y412" s="182" t="s">
        <v>1503</v>
      </c>
      <c r="Z412" s="183" t="s">
        <v>2774</v>
      </c>
      <c r="AA412" s="184"/>
      <c r="AB412" s="182"/>
      <c r="AC412" s="114">
        <v>4</v>
      </c>
      <c r="AD412" s="172" t="s">
        <v>887</v>
      </c>
      <c r="AE412" s="114"/>
      <c r="AF412" s="114"/>
      <c r="AG412" s="114"/>
      <c r="AH412" s="106"/>
      <c r="AI412" s="114"/>
      <c r="AJ412" s="106"/>
      <c r="AK412" s="114"/>
      <c r="AL412" s="106"/>
      <c r="AM412" s="114"/>
      <c r="AN412" s="106"/>
      <c r="AO412" s="114"/>
      <c r="AP412" s="106"/>
      <c r="AQ412" s="114"/>
      <c r="AR412" s="106"/>
      <c r="AS412" s="114"/>
      <c r="AT412" s="106"/>
      <c r="AU412" s="114"/>
      <c r="AV412" s="106"/>
      <c r="AW412" s="114"/>
      <c r="AX412" s="157"/>
      <c r="AY412" s="157"/>
      <c r="AZ412" s="157"/>
      <c r="BA412" s="157"/>
      <c r="BB412" s="157"/>
      <c r="BC412" s="157"/>
    </row>
    <row r="413" spans="1:55" x14ac:dyDescent="0.3">
      <c r="A413" s="114">
        <f t="shared" si="9"/>
        <v>409</v>
      </c>
      <c r="B413" s="179" t="s">
        <v>2825</v>
      </c>
      <c r="C413" s="114">
        <v>0</v>
      </c>
      <c r="D413" s="114" t="s">
        <v>991</v>
      </c>
      <c r="E413" s="114" t="s">
        <v>944</v>
      </c>
      <c r="F413" s="114" t="s">
        <v>909</v>
      </c>
      <c r="G413" s="114"/>
      <c r="H413" s="114"/>
      <c r="I413" s="114"/>
      <c r="J413" s="114"/>
      <c r="K413" s="114"/>
      <c r="L413" s="114"/>
      <c r="M413" s="191" t="s">
        <v>874</v>
      </c>
      <c r="N413" s="114">
        <v>10</v>
      </c>
      <c r="O413" s="180" t="s">
        <v>1181</v>
      </c>
      <c r="P413" s="180" t="s">
        <v>1089</v>
      </c>
      <c r="Q413" s="180" t="s">
        <v>1181</v>
      </c>
      <c r="R413" s="180"/>
      <c r="S413" s="180"/>
      <c r="T413" s="181" t="s">
        <v>2826</v>
      </c>
      <c r="U413" s="179" t="s">
        <v>2827</v>
      </c>
      <c r="V413" s="179" t="s">
        <v>2828</v>
      </c>
      <c r="W413" s="114" t="s">
        <v>2829</v>
      </c>
      <c r="X413" s="180">
        <v>32</v>
      </c>
      <c r="Y413" s="182" t="s">
        <v>1503</v>
      </c>
      <c r="Z413" s="183" t="s">
        <v>2774</v>
      </c>
      <c r="AA413" s="184"/>
      <c r="AB413" s="182"/>
      <c r="AC413" s="114">
        <v>4</v>
      </c>
      <c r="AD413" s="172" t="s">
        <v>887</v>
      </c>
      <c r="AE413" s="114"/>
      <c r="AF413" s="114"/>
      <c r="AG413" s="114"/>
      <c r="AH413" s="106"/>
      <c r="AI413" s="114"/>
      <c r="AJ413" s="106"/>
      <c r="AK413" s="114"/>
      <c r="AL413" s="106"/>
      <c r="AM413" s="114"/>
      <c r="AN413" s="106"/>
      <c r="AO413" s="114"/>
      <c r="AP413" s="106"/>
      <c r="AQ413" s="114"/>
      <c r="AR413" s="106"/>
      <c r="AS413" s="114"/>
      <c r="AT413" s="106"/>
      <c r="AU413" s="114"/>
      <c r="AV413" s="106"/>
      <c r="AW413" s="114"/>
      <c r="AX413" s="157"/>
      <c r="AY413" s="157"/>
      <c r="AZ413" s="157"/>
      <c r="BA413" s="157"/>
      <c r="BB413" s="157"/>
      <c r="BC413" s="157"/>
    </row>
    <row r="414" spans="1:55" x14ac:dyDescent="0.3">
      <c r="A414" s="114">
        <f t="shared" si="9"/>
        <v>410</v>
      </c>
      <c r="B414" s="179" t="s">
        <v>2830</v>
      </c>
      <c r="C414" s="114">
        <v>0</v>
      </c>
      <c r="D414" s="114" t="s">
        <v>991</v>
      </c>
      <c r="E414" s="114" t="s">
        <v>966</v>
      </c>
      <c r="F414" s="114" t="s">
        <v>909</v>
      </c>
      <c r="G414" s="114"/>
      <c r="H414" s="114"/>
      <c r="I414" s="114"/>
      <c r="J414" s="114"/>
      <c r="K414" s="114"/>
      <c r="L414" s="114"/>
      <c r="M414" s="114"/>
      <c r="N414" s="114">
        <v>10</v>
      </c>
      <c r="O414" s="180">
        <v>-2147483648</v>
      </c>
      <c r="P414" s="180">
        <v>2147483647</v>
      </c>
      <c r="Q414" s="180">
        <v>0</v>
      </c>
      <c r="R414" s="180"/>
      <c r="S414" s="180"/>
      <c r="T414" s="181" t="s">
        <v>2831</v>
      </c>
      <c r="U414" s="179" t="s">
        <v>2832</v>
      </c>
      <c r="V414" s="179" t="s">
        <v>2833</v>
      </c>
      <c r="W414" s="114" t="s">
        <v>2834</v>
      </c>
      <c r="X414" s="180">
        <v>32</v>
      </c>
      <c r="Y414" s="182" t="s">
        <v>1503</v>
      </c>
      <c r="Z414" s="183" t="s">
        <v>2774</v>
      </c>
      <c r="AA414" s="184"/>
      <c r="AB414" s="182"/>
      <c r="AC414" s="114">
        <v>4</v>
      </c>
      <c r="AD414" s="172" t="s">
        <v>887</v>
      </c>
      <c r="AE414" s="114"/>
      <c r="AF414" s="114"/>
      <c r="AG414" s="114"/>
      <c r="AH414" s="106"/>
      <c r="AI414" s="114"/>
      <c r="AJ414" s="106"/>
      <c r="AK414" s="114"/>
      <c r="AL414" s="106"/>
      <c r="AM414" s="114"/>
      <c r="AN414" s="106"/>
      <c r="AO414" s="114"/>
      <c r="AP414" s="106"/>
      <c r="AQ414" s="114"/>
      <c r="AR414" s="106"/>
      <c r="AS414" s="114"/>
      <c r="AT414" s="106"/>
      <c r="AU414" s="114"/>
      <c r="AV414" s="106"/>
      <c r="AW414" s="114"/>
      <c r="AX414" s="157"/>
      <c r="AY414" s="157"/>
      <c r="AZ414" s="157"/>
      <c r="BA414" s="157"/>
      <c r="BB414" s="157"/>
      <c r="BC414" s="157"/>
    </row>
    <row r="415" spans="1:55" x14ac:dyDescent="0.3">
      <c r="A415" s="114">
        <f t="shared" si="9"/>
        <v>411</v>
      </c>
      <c r="B415" s="179" t="s">
        <v>2835</v>
      </c>
      <c r="C415" s="114">
        <v>0</v>
      </c>
      <c r="D415" s="114" t="s">
        <v>991</v>
      </c>
      <c r="E415" s="114" t="s">
        <v>944</v>
      </c>
      <c r="F415" s="114" t="s">
        <v>909</v>
      </c>
      <c r="G415" s="114"/>
      <c r="H415" s="114"/>
      <c r="I415" s="114"/>
      <c r="J415" s="114"/>
      <c r="K415" s="114"/>
      <c r="L415" s="114"/>
      <c r="M415" s="191" t="s">
        <v>874</v>
      </c>
      <c r="N415" s="114">
        <v>10</v>
      </c>
      <c r="O415" s="180" t="s">
        <v>1181</v>
      </c>
      <c r="P415" s="180" t="s">
        <v>1089</v>
      </c>
      <c r="Q415" s="180" t="s">
        <v>1181</v>
      </c>
      <c r="R415" s="180"/>
      <c r="S415" s="180"/>
      <c r="T415" s="181" t="s">
        <v>2836</v>
      </c>
      <c r="U415" s="179" t="s">
        <v>2837</v>
      </c>
      <c r="V415" s="179" t="s">
        <v>2838</v>
      </c>
      <c r="W415" s="114" t="s">
        <v>2839</v>
      </c>
      <c r="X415" s="180">
        <v>32</v>
      </c>
      <c r="Y415" s="182" t="s">
        <v>1503</v>
      </c>
      <c r="Z415" s="183" t="s">
        <v>2774</v>
      </c>
      <c r="AA415" s="184"/>
      <c r="AB415" s="182"/>
      <c r="AC415" s="114">
        <v>4</v>
      </c>
      <c r="AD415" s="172" t="s">
        <v>887</v>
      </c>
      <c r="AE415" s="114"/>
      <c r="AF415" s="114"/>
      <c r="AG415" s="114"/>
      <c r="AH415" s="106"/>
      <c r="AI415" s="114"/>
      <c r="AJ415" s="106"/>
      <c r="AK415" s="114"/>
      <c r="AL415" s="106"/>
      <c r="AM415" s="114"/>
      <c r="AN415" s="106"/>
      <c r="AO415" s="114"/>
      <c r="AP415" s="106"/>
      <c r="AQ415" s="114"/>
      <c r="AR415" s="106"/>
      <c r="AS415" s="114"/>
      <c r="AT415" s="106"/>
      <c r="AU415" s="114"/>
      <c r="AV415" s="106"/>
      <c r="AW415" s="114"/>
      <c r="AX415" s="157"/>
      <c r="AY415" s="157"/>
      <c r="AZ415" s="157"/>
      <c r="BA415" s="157"/>
      <c r="BB415" s="157"/>
      <c r="BC415" s="157"/>
    </row>
    <row r="416" spans="1:55" x14ac:dyDescent="0.3">
      <c r="A416" s="114">
        <f t="shared" si="9"/>
        <v>412</v>
      </c>
      <c r="B416" s="179" t="s">
        <v>2840</v>
      </c>
      <c r="C416" s="114">
        <v>0</v>
      </c>
      <c r="D416" s="114" t="s">
        <v>991</v>
      </c>
      <c r="E416" s="114" t="s">
        <v>966</v>
      </c>
      <c r="F416" s="114" t="s">
        <v>909</v>
      </c>
      <c r="G416" s="114"/>
      <c r="H416" s="114"/>
      <c r="I416" s="114"/>
      <c r="J416" s="114"/>
      <c r="K416" s="114"/>
      <c r="L416" s="114"/>
      <c r="M416" s="114"/>
      <c r="N416" s="114">
        <v>10</v>
      </c>
      <c r="O416" s="180">
        <v>-2147483648</v>
      </c>
      <c r="P416" s="180">
        <v>2147483647</v>
      </c>
      <c r="Q416" s="180">
        <v>0</v>
      </c>
      <c r="R416" s="180"/>
      <c r="S416" s="180"/>
      <c r="T416" s="181" t="s">
        <v>2841</v>
      </c>
      <c r="U416" s="179" t="s">
        <v>2842</v>
      </c>
      <c r="V416" s="179" t="s">
        <v>2843</v>
      </c>
      <c r="W416" s="114" t="s">
        <v>2844</v>
      </c>
      <c r="X416" s="180">
        <v>32</v>
      </c>
      <c r="Y416" s="182" t="s">
        <v>1503</v>
      </c>
      <c r="Z416" s="183" t="s">
        <v>2774</v>
      </c>
      <c r="AA416" s="184"/>
      <c r="AB416" s="182"/>
      <c r="AC416" s="114">
        <v>4</v>
      </c>
      <c r="AD416" s="172" t="s">
        <v>887</v>
      </c>
      <c r="AE416" s="114"/>
      <c r="AF416" s="114"/>
      <c r="AG416" s="114"/>
      <c r="AH416" s="106"/>
      <c r="AI416" s="114"/>
      <c r="AJ416" s="106"/>
      <c r="AK416" s="114"/>
      <c r="AL416" s="106"/>
      <c r="AM416" s="114"/>
      <c r="AN416" s="106"/>
      <c r="AO416" s="114"/>
      <c r="AP416" s="106"/>
      <c r="AQ416" s="114"/>
      <c r="AR416" s="106"/>
      <c r="AS416" s="114"/>
      <c r="AT416" s="106"/>
      <c r="AU416" s="114"/>
      <c r="AV416" s="106"/>
      <c r="AW416" s="114"/>
      <c r="AX416" s="157"/>
      <c r="AY416" s="157"/>
      <c r="AZ416" s="157"/>
      <c r="BA416" s="157"/>
      <c r="BB416" s="157"/>
      <c r="BC416" s="157"/>
    </row>
    <row r="417" spans="1:55" x14ac:dyDescent="0.3">
      <c r="A417" s="114">
        <f t="shared" si="9"/>
        <v>413</v>
      </c>
      <c r="B417" s="179" t="s">
        <v>2845</v>
      </c>
      <c r="C417" s="114">
        <v>0</v>
      </c>
      <c r="D417" s="114" t="s">
        <v>991</v>
      </c>
      <c r="E417" s="114" t="s">
        <v>944</v>
      </c>
      <c r="F417" s="114" t="s">
        <v>909</v>
      </c>
      <c r="G417" s="114"/>
      <c r="H417" s="114"/>
      <c r="I417" s="114"/>
      <c r="J417" s="114"/>
      <c r="K417" s="114"/>
      <c r="L417" s="114"/>
      <c r="M417" s="191" t="s">
        <v>874</v>
      </c>
      <c r="N417" s="114">
        <v>10</v>
      </c>
      <c r="O417" s="180" t="s">
        <v>1181</v>
      </c>
      <c r="P417" s="180" t="s">
        <v>1089</v>
      </c>
      <c r="Q417" s="180" t="s">
        <v>1181</v>
      </c>
      <c r="R417" s="180"/>
      <c r="S417" s="180"/>
      <c r="T417" s="181" t="s">
        <v>2846</v>
      </c>
      <c r="U417" s="179" t="s">
        <v>2847</v>
      </c>
      <c r="V417" s="179" t="s">
        <v>2848</v>
      </c>
      <c r="W417" s="114" t="s">
        <v>2849</v>
      </c>
      <c r="X417" s="180">
        <v>32</v>
      </c>
      <c r="Y417" s="182" t="s">
        <v>1503</v>
      </c>
      <c r="Z417" s="183" t="s">
        <v>2774</v>
      </c>
      <c r="AA417" s="184"/>
      <c r="AB417" s="182"/>
      <c r="AC417" s="114">
        <v>4</v>
      </c>
      <c r="AD417" s="172" t="s">
        <v>887</v>
      </c>
      <c r="AE417" s="114"/>
      <c r="AF417" s="114"/>
      <c r="AG417" s="114"/>
      <c r="AH417" s="106"/>
      <c r="AI417" s="114"/>
      <c r="AJ417" s="106"/>
      <c r="AK417" s="114"/>
      <c r="AL417" s="106"/>
      <c r="AM417" s="114"/>
      <c r="AN417" s="106"/>
      <c r="AO417" s="114"/>
      <c r="AP417" s="106"/>
      <c r="AQ417" s="114"/>
      <c r="AR417" s="106"/>
      <c r="AS417" s="114"/>
      <c r="AT417" s="106"/>
      <c r="AU417" s="114"/>
      <c r="AV417" s="106"/>
      <c r="AW417" s="114"/>
      <c r="AX417" s="157"/>
      <c r="AY417" s="157"/>
      <c r="AZ417" s="157"/>
      <c r="BA417" s="157"/>
      <c r="BB417" s="157"/>
      <c r="BC417" s="157"/>
    </row>
    <row r="418" spans="1:55" x14ac:dyDescent="0.3">
      <c r="A418" s="114">
        <f t="shared" si="9"/>
        <v>414</v>
      </c>
      <c r="B418" s="179" t="s">
        <v>2850</v>
      </c>
      <c r="C418" s="114">
        <v>0</v>
      </c>
      <c r="D418" s="114" t="s">
        <v>991</v>
      </c>
      <c r="E418" s="114" t="s">
        <v>966</v>
      </c>
      <c r="F418" s="114" t="s">
        <v>909</v>
      </c>
      <c r="G418" s="114"/>
      <c r="H418" s="114"/>
      <c r="I418" s="114"/>
      <c r="J418" s="114"/>
      <c r="K418" s="114"/>
      <c r="L418" s="114"/>
      <c r="M418" s="114"/>
      <c r="N418" s="114">
        <v>10</v>
      </c>
      <c r="O418" s="180">
        <v>-2147483648</v>
      </c>
      <c r="P418" s="180">
        <v>2147483647</v>
      </c>
      <c r="Q418" s="180">
        <v>0</v>
      </c>
      <c r="R418" s="180"/>
      <c r="S418" s="180"/>
      <c r="T418" s="181" t="s">
        <v>2851</v>
      </c>
      <c r="U418" s="179" t="s">
        <v>2852</v>
      </c>
      <c r="V418" s="179" t="s">
        <v>2853</v>
      </c>
      <c r="W418" s="114" t="s">
        <v>2854</v>
      </c>
      <c r="X418" s="180">
        <v>32</v>
      </c>
      <c r="Y418" s="182" t="s">
        <v>1503</v>
      </c>
      <c r="Z418" s="183" t="s">
        <v>2774</v>
      </c>
      <c r="AA418" s="184"/>
      <c r="AB418" s="182"/>
      <c r="AC418" s="114">
        <v>4</v>
      </c>
      <c r="AD418" s="172" t="s">
        <v>887</v>
      </c>
      <c r="AE418" s="114"/>
      <c r="AF418" s="114"/>
      <c r="AG418" s="114"/>
      <c r="AH418" s="106"/>
      <c r="AI418" s="114"/>
      <c r="AJ418" s="106"/>
      <c r="AK418" s="114"/>
      <c r="AL418" s="106"/>
      <c r="AM418" s="114"/>
      <c r="AN418" s="106"/>
      <c r="AO418" s="114"/>
      <c r="AP418" s="106"/>
      <c r="AQ418" s="114"/>
      <c r="AR418" s="106"/>
      <c r="AS418" s="114"/>
      <c r="AT418" s="106"/>
      <c r="AU418" s="114"/>
      <c r="AV418" s="106"/>
      <c r="AW418" s="114"/>
      <c r="AX418" s="157"/>
      <c r="AY418" s="157"/>
      <c r="AZ418" s="157"/>
      <c r="BA418" s="157"/>
      <c r="BB418" s="157"/>
      <c r="BC418" s="157"/>
    </row>
    <row r="419" spans="1:55" x14ac:dyDescent="0.3">
      <c r="A419" s="114">
        <f t="shared" si="9"/>
        <v>415</v>
      </c>
      <c r="B419" s="179" t="s">
        <v>2855</v>
      </c>
      <c r="C419" s="114">
        <v>0</v>
      </c>
      <c r="D419" s="114" t="s">
        <v>991</v>
      </c>
      <c r="E419" s="114" t="s">
        <v>944</v>
      </c>
      <c r="F419" s="114" t="s">
        <v>909</v>
      </c>
      <c r="G419" s="114"/>
      <c r="H419" s="114"/>
      <c r="I419" s="114"/>
      <c r="J419" s="114"/>
      <c r="K419" s="114"/>
      <c r="L419" s="114"/>
      <c r="M419" s="191" t="s">
        <v>874</v>
      </c>
      <c r="N419" s="114">
        <v>10</v>
      </c>
      <c r="O419" s="180" t="s">
        <v>1181</v>
      </c>
      <c r="P419" s="180" t="s">
        <v>1089</v>
      </c>
      <c r="Q419" s="180" t="s">
        <v>1181</v>
      </c>
      <c r="R419" s="180"/>
      <c r="S419" s="180"/>
      <c r="T419" s="181" t="s">
        <v>2856</v>
      </c>
      <c r="U419" s="179" t="s">
        <v>2857</v>
      </c>
      <c r="V419" s="179" t="s">
        <v>2858</v>
      </c>
      <c r="W419" s="114" t="s">
        <v>2859</v>
      </c>
      <c r="X419" s="180">
        <v>32</v>
      </c>
      <c r="Y419" s="182" t="s">
        <v>1503</v>
      </c>
      <c r="Z419" s="183" t="s">
        <v>2774</v>
      </c>
      <c r="AA419" s="184"/>
      <c r="AB419" s="182"/>
      <c r="AC419" s="114">
        <v>4</v>
      </c>
      <c r="AD419" s="172" t="s">
        <v>887</v>
      </c>
      <c r="AE419" s="114"/>
      <c r="AF419" s="114"/>
      <c r="AG419" s="114"/>
      <c r="AH419" s="106"/>
      <c r="AI419" s="114"/>
      <c r="AJ419" s="106"/>
      <c r="AK419" s="114"/>
      <c r="AL419" s="106"/>
      <c r="AM419" s="114"/>
      <c r="AN419" s="106"/>
      <c r="AO419" s="114"/>
      <c r="AP419" s="106"/>
      <c r="AQ419" s="114"/>
      <c r="AR419" s="106"/>
      <c r="AS419" s="114"/>
      <c r="AT419" s="106"/>
      <c r="AU419" s="114"/>
      <c r="AV419" s="106"/>
      <c r="AW419" s="114"/>
      <c r="AX419" s="157"/>
      <c r="AY419" s="157"/>
      <c r="AZ419" s="157"/>
      <c r="BA419" s="157"/>
      <c r="BB419" s="157"/>
      <c r="BC419" s="157"/>
    </row>
    <row r="420" spans="1:55" x14ac:dyDescent="0.3">
      <c r="A420" s="114">
        <f>A419+1</f>
        <v>416</v>
      </c>
      <c r="B420" s="179" t="s">
        <v>2860</v>
      </c>
      <c r="C420" s="114">
        <v>0</v>
      </c>
      <c r="D420" s="114" t="s">
        <v>991</v>
      </c>
      <c r="E420" s="114" t="s">
        <v>966</v>
      </c>
      <c r="F420" s="114" t="s">
        <v>909</v>
      </c>
      <c r="G420" s="114"/>
      <c r="H420" s="114"/>
      <c r="I420" s="114"/>
      <c r="J420" s="114"/>
      <c r="K420" s="114"/>
      <c r="L420" s="114"/>
      <c r="M420" s="114"/>
      <c r="N420" s="114">
        <v>10</v>
      </c>
      <c r="O420" s="180">
        <v>-2147483648</v>
      </c>
      <c r="P420" s="180">
        <v>2147483647</v>
      </c>
      <c r="Q420" s="180">
        <v>0</v>
      </c>
      <c r="R420" s="180"/>
      <c r="S420" s="180"/>
      <c r="T420" s="181" t="s">
        <v>2861</v>
      </c>
      <c r="U420" s="179" t="s">
        <v>2862</v>
      </c>
      <c r="V420" s="179" t="s">
        <v>2863</v>
      </c>
      <c r="W420" s="114" t="s">
        <v>2864</v>
      </c>
      <c r="X420" s="180">
        <v>32</v>
      </c>
      <c r="Y420" s="182" t="s">
        <v>1503</v>
      </c>
      <c r="Z420" s="183" t="s">
        <v>2774</v>
      </c>
      <c r="AA420" s="184"/>
      <c r="AB420" s="182"/>
      <c r="AC420" s="114">
        <v>4</v>
      </c>
      <c r="AD420" s="172" t="s">
        <v>887</v>
      </c>
      <c r="AE420" s="114"/>
      <c r="AF420" s="114"/>
      <c r="AG420" s="114"/>
      <c r="AH420" s="106"/>
      <c r="AI420" s="114"/>
      <c r="AJ420" s="106"/>
      <c r="AK420" s="114"/>
      <c r="AL420" s="106"/>
      <c r="AM420" s="114"/>
      <c r="AN420" s="106"/>
      <c r="AO420" s="114"/>
      <c r="AP420" s="106"/>
      <c r="AQ420" s="114"/>
      <c r="AR420" s="106"/>
      <c r="AS420" s="114"/>
      <c r="AT420" s="106"/>
      <c r="AU420" s="114"/>
      <c r="AV420" s="106"/>
      <c r="AW420" s="114"/>
      <c r="AX420" s="157"/>
      <c r="AY420" s="157"/>
      <c r="AZ420" s="157"/>
      <c r="BA420" s="157"/>
      <c r="BB420" s="157"/>
      <c r="BC420" s="157"/>
    </row>
    <row r="421" spans="1:55" x14ac:dyDescent="0.3">
      <c r="A421" s="114">
        <f t="shared" si="9"/>
        <v>417</v>
      </c>
      <c r="B421" s="179" t="s">
        <v>2865</v>
      </c>
      <c r="C421" s="114">
        <v>0</v>
      </c>
      <c r="D421" s="114" t="s">
        <v>991</v>
      </c>
      <c r="E421" s="114" t="s">
        <v>944</v>
      </c>
      <c r="F421" s="114" t="s">
        <v>909</v>
      </c>
      <c r="G421" s="114"/>
      <c r="H421" s="114"/>
      <c r="I421" s="114"/>
      <c r="J421" s="114"/>
      <c r="K421" s="114"/>
      <c r="L421" s="114"/>
      <c r="M421" s="191" t="s">
        <v>874</v>
      </c>
      <c r="N421" s="114">
        <v>10</v>
      </c>
      <c r="O421" s="180" t="s">
        <v>1181</v>
      </c>
      <c r="P421" s="180" t="s">
        <v>1089</v>
      </c>
      <c r="Q421" s="180" t="s">
        <v>1181</v>
      </c>
      <c r="R421" s="180"/>
      <c r="S421" s="180"/>
      <c r="T421" s="181" t="s">
        <v>2866</v>
      </c>
      <c r="U421" s="179" t="s">
        <v>2867</v>
      </c>
      <c r="V421" s="179" t="s">
        <v>2868</v>
      </c>
      <c r="W421" s="114" t="s">
        <v>2869</v>
      </c>
      <c r="X421" s="180">
        <v>32</v>
      </c>
      <c r="Y421" s="182" t="s">
        <v>1503</v>
      </c>
      <c r="Z421" s="183" t="s">
        <v>2774</v>
      </c>
      <c r="AA421" s="184"/>
      <c r="AB421" s="182"/>
      <c r="AC421" s="114">
        <v>5</v>
      </c>
      <c r="AD421" s="172" t="s">
        <v>887</v>
      </c>
      <c r="AE421" s="114"/>
      <c r="AF421" s="114"/>
      <c r="AG421" s="114"/>
      <c r="AH421" s="106"/>
      <c r="AI421" s="114"/>
      <c r="AJ421" s="106"/>
      <c r="AK421" s="114"/>
      <c r="AL421" s="106"/>
      <c r="AM421" s="114"/>
      <c r="AN421" s="106"/>
      <c r="AO421" s="114"/>
      <c r="AP421" s="106"/>
      <c r="AQ421" s="114"/>
      <c r="AR421" s="106"/>
      <c r="AS421" s="114"/>
      <c r="AT421" s="106"/>
      <c r="AU421" s="114"/>
      <c r="AV421" s="106"/>
      <c r="AW421" s="114"/>
      <c r="AX421" s="157"/>
      <c r="AY421" s="157"/>
      <c r="AZ421" s="157"/>
      <c r="BA421" s="157"/>
      <c r="BB421" s="157"/>
      <c r="BC421" s="157"/>
    </row>
    <row r="422" spans="1:55" x14ac:dyDescent="0.3">
      <c r="A422" s="114">
        <f t="shared" si="9"/>
        <v>418</v>
      </c>
      <c r="B422" s="179" t="s">
        <v>2870</v>
      </c>
      <c r="C422" s="114">
        <v>0</v>
      </c>
      <c r="D422" s="114" t="s">
        <v>991</v>
      </c>
      <c r="E422" s="114" t="s">
        <v>966</v>
      </c>
      <c r="F422" s="114" t="s">
        <v>909</v>
      </c>
      <c r="G422" s="114"/>
      <c r="H422" s="114"/>
      <c r="I422" s="114"/>
      <c r="J422" s="114"/>
      <c r="K422" s="114"/>
      <c r="L422" s="114"/>
      <c r="M422" s="114"/>
      <c r="N422" s="114">
        <v>10</v>
      </c>
      <c r="O422" s="180">
        <v>-2147483648</v>
      </c>
      <c r="P422" s="180">
        <v>2147483647</v>
      </c>
      <c r="Q422" s="180">
        <v>0</v>
      </c>
      <c r="R422" s="180"/>
      <c r="S422" s="180"/>
      <c r="T422" s="181" t="s">
        <v>2871</v>
      </c>
      <c r="U422" s="179" t="s">
        <v>2872</v>
      </c>
      <c r="V422" s="179" t="s">
        <v>2873</v>
      </c>
      <c r="W422" s="114" t="s">
        <v>2874</v>
      </c>
      <c r="X422" s="180">
        <v>32</v>
      </c>
      <c r="Y422" s="182" t="s">
        <v>1503</v>
      </c>
      <c r="Z422" s="183" t="s">
        <v>2774</v>
      </c>
      <c r="AA422" s="184"/>
      <c r="AB422" s="182"/>
      <c r="AC422" s="114">
        <v>5</v>
      </c>
      <c r="AD422" s="172" t="s">
        <v>887</v>
      </c>
      <c r="AE422" s="114"/>
      <c r="AF422" s="114"/>
      <c r="AG422" s="114"/>
      <c r="AH422" s="106"/>
      <c r="AI422" s="114"/>
      <c r="AJ422" s="106"/>
      <c r="AK422" s="114"/>
      <c r="AL422" s="106"/>
      <c r="AM422" s="114"/>
      <c r="AN422" s="106"/>
      <c r="AO422" s="114"/>
      <c r="AP422" s="106"/>
      <c r="AQ422" s="114"/>
      <c r="AR422" s="106"/>
      <c r="AS422" s="114"/>
      <c r="AT422" s="106"/>
      <c r="AU422" s="114"/>
      <c r="AV422" s="106"/>
      <c r="AW422" s="114"/>
      <c r="AX422" s="157"/>
      <c r="AY422" s="157"/>
      <c r="AZ422" s="157"/>
      <c r="BA422" s="157"/>
      <c r="BB422" s="157"/>
      <c r="BC422" s="157"/>
    </row>
    <row r="423" spans="1:55" x14ac:dyDescent="0.3">
      <c r="A423" s="114">
        <f t="shared" si="9"/>
        <v>419</v>
      </c>
      <c r="B423" s="179" t="s">
        <v>2875</v>
      </c>
      <c r="C423" s="114">
        <v>0</v>
      </c>
      <c r="D423" s="114" t="s">
        <v>991</v>
      </c>
      <c r="E423" s="114" t="s">
        <v>944</v>
      </c>
      <c r="F423" s="114" t="s">
        <v>909</v>
      </c>
      <c r="G423" s="114"/>
      <c r="H423" s="114"/>
      <c r="I423" s="114"/>
      <c r="J423" s="114"/>
      <c r="K423" s="114"/>
      <c r="L423" s="114"/>
      <c r="M423" s="191" t="s">
        <v>874</v>
      </c>
      <c r="N423" s="114">
        <v>10</v>
      </c>
      <c r="O423" s="180" t="s">
        <v>1181</v>
      </c>
      <c r="P423" s="180" t="s">
        <v>1089</v>
      </c>
      <c r="Q423" s="180" t="s">
        <v>1181</v>
      </c>
      <c r="R423" s="180"/>
      <c r="S423" s="180"/>
      <c r="T423" s="181" t="s">
        <v>2876</v>
      </c>
      <c r="U423" s="179" t="s">
        <v>2877</v>
      </c>
      <c r="V423" s="179" t="s">
        <v>2878</v>
      </c>
      <c r="W423" s="114" t="s">
        <v>2879</v>
      </c>
      <c r="X423" s="180">
        <v>32</v>
      </c>
      <c r="Y423" s="182" t="s">
        <v>1503</v>
      </c>
      <c r="Z423" s="183" t="s">
        <v>2774</v>
      </c>
      <c r="AA423" s="184"/>
      <c r="AB423" s="182"/>
      <c r="AC423" s="114">
        <v>5</v>
      </c>
      <c r="AD423" s="172" t="s">
        <v>887</v>
      </c>
      <c r="AE423" s="114"/>
      <c r="AF423" s="114"/>
      <c r="AG423" s="114"/>
      <c r="AH423" s="106"/>
      <c r="AI423" s="114"/>
      <c r="AJ423" s="106"/>
      <c r="AK423" s="114"/>
      <c r="AL423" s="106"/>
      <c r="AM423" s="114"/>
      <c r="AN423" s="106"/>
      <c r="AO423" s="114"/>
      <c r="AP423" s="106"/>
      <c r="AQ423" s="114"/>
      <c r="AR423" s="106"/>
      <c r="AS423" s="114"/>
      <c r="AT423" s="106"/>
      <c r="AU423" s="114"/>
      <c r="AV423" s="106"/>
      <c r="AW423" s="114"/>
      <c r="AX423" s="157"/>
      <c r="AY423" s="157"/>
      <c r="AZ423" s="157"/>
      <c r="BA423" s="157"/>
      <c r="BB423" s="157"/>
      <c r="BC423" s="157"/>
    </row>
    <row r="424" spans="1:55" x14ac:dyDescent="0.3">
      <c r="A424" s="114">
        <f t="shared" si="9"/>
        <v>420</v>
      </c>
      <c r="B424" s="179" t="s">
        <v>2880</v>
      </c>
      <c r="C424" s="114">
        <v>0</v>
      </c>
      <c r="D424" s="114" t="s">
        <v>991</v>
      </c>
      <c r="E424" s="114" t="s">
        <v>966</v>
      </c>
      <c r="F424" s="114" t="s">
        <v>909</v>
      </c>
      <c r="G424" s="114"/>
      <c r="H424" s="114"/>
      <c r="I424" s="114"/>
      <c r="J424" s="114"/>
      <c r="K424" s="114"/>
      <c r="L424" s="114"/>
      <c r="M424" s="114"/>
      <c r="N424" s="114">
        <v>10</v>
      </c>
      <c r="O424" s="180">
        <v>-2147483648</v>
      </c>
      <c r="P424" s="180">
        <v>2147483647</v>
      </c>
      <c r="Q424" s="180">
        <v>0</v>
      </c>
      <c r="R424" s="180"/>
      <c r="S424" s="180"/>
      <c r="T424" s="181" t="s">
        <v>2881</v>
      </c>
      <c r="U424" s="179" t="s">
        <v>2882</v>
      </c>
      <c r="V424" s="179" t="s">
        <v>2883</v>
      </c>
      <c r="W424" s="114" t="s">
        <v>2884</v>
      </c>
      <c r="X424" s="180">
        <v>32</v>
      </c>
      <c r="Y424" s="182" t="s">
        <v>1503</v>
      </c>
      <c r="Z424" s="183" t="s">
        <v>2774</v>
      </c>
      <c r="AA424" s="184"/>
      <c r="AB424" s="182"/>
      <c r="AC424" s="114">
        <v>5</v>
      </c>
      <c r="AD424" s="172" t="s">
        <v>887</v>
      </c>
      <c r="AE424" s="114"/>
      <c r="AF424" s="114"/>
      <c r="AG424" s="114"/>
      <c r="AH424" s="106"/>
      <c r="AI424" s="114"/>
      <c r="AJ424" s="106"/>
      <c r="AK424" s="114"/>
      <c r="AL424" s="106"/>
      <c r="AM424" s="114"/>
      <c r="AN424" s="106"/>
      <c r="AO424" s="114"/>
      <c r="AP424" s="106"/>
      <c r="AQ424" s="114"/>
      <c r="AR424" s="106"/>
      <c r="AS424" s="114"/>
      <c r="AT424" s="106"/>
      <c r="AU424" s="114"/>
      <c r="AV424" s="106"/>
      <c r="AW424" s="114"/>
      <c r="AX424" s="157"/>
      <c r="AY424" s="157"/>
      <c r="AZ424" s="157"/>
      <c r="BA424" s="157"/>
      <c r="BB424" s="157"/>
      <c r="BC424" s="157"/>
    </row>
    <row r="425" spans="1:55" x14ac:dyDescent="0.3">
      <c r="A425" s="114">
        <f t="shared" si="9"/>
        <v>421</v>
      </c>
      <c r="B425" s="179" t="s">
        <v>2885</v>
      </c>
      <c r="C425" s="114">
        <v>0</v>
      </c>
      <c r="D425" s="114" t="s">
        <v>991</v>
      </c>
      <c r="E425" s="114" t="s">
        <v>944</v>
      </c>
      <c r="F425" s="114" t="s">
        <v>909</v>
      </c>
      <c r="G425" s="114"/>
      <c r="H425" s="114"/>
      <c r="I425" s="114"/>
      <c r="J425" s="114"/>
      <c r="K425" s="114"/>
      <c r="L425" s="114"/>
      <c r="M425" s="191" t="s">
        <v>874</v>
      </c>
      <c r="N425" s="114">
        <v>10</v>
      </c>
      <c r="O425" s="180" t="s">
        <v>1181</v>
      </c>
      <c r="P425" s="180" t="s">
        <v>1089</v>
      </c>
      <c r="Q425" s="180" t="s">
        <v>1181</v>
      </c>
      <c r="R425" s="180"/>
      <c r="S425" s="180"/>
      <c r="T425" s="181" t="s">
        <v>2886</v>
      </c>
      <c r="U425" s="179" t="s">
        <v>2887</v>
      </c>
      <c r="V425" s="179" t="s">
        <v>2888</v>
      </c>
      <c r="W425" s="114" t="s">
        <v>2889</v>
      </c>
      <c r="X425" s="180">
        <v>32</v>
      </c>
      <c r="Y425" s="182" t="s">
        <v>1503</v>
      </c>
      <c r="Z425" s="183" t="s">
        <v>2774</v>
      </c>
      <c r="AA425" s="184"/>
      <c r="AB425" s="182"/>
      <c r="AC425" s="114">
        <v>5</v>
      </c>
      <c r="AD425" s="172" t="s">
        <v>887</v>
      </c>
      <c r="AE425" s="114"/>
      <c r="AF425" s="114"/>
      <c r="AG425" s="114"/>
      <c r="AH425" s="106"/>
      <c r="AI425" s="114"/>
      <c r="AJ425" s="106"/>
      <c r="AK425" s="114"/>
      <c r="AL425" s="106"/>
      <c r="AM425" s="114"/>
      <c r="AN425" s="106"/>
      <c r="AO425" s="114"/>
      <c r="AP425" s="106"/>
      <c r="AQ425" s="114"/>
      <c r="AR425" s="106"/>
      <c r="AS425" s="114"/>
      <c r="AT425" s="106"/>
      <c r="AU425" s="114"/>
      <c r="AV425" s="106"/>
      <c r="AW425" s="114"/>
      <c r="AX425" s="157"/>
      <c r="AY425" s="157"/>
      <c r="AZ425" s="157"/>
      <c r="BA425" s="157"/>
      <c r="BB425" s="157"/>
      <c r="BC425" s="157"/>
    </row>
    <row r="426" spans="1:55" x14ac:dyDescent="0.3">
      <c r="A426" s="114">
        <f t="shared" si="9"/>
        <v>422</v>
      </c>
      <c r="B426" s="179" t="s">
        <v>2890</v>
      </c>
      <c r="C426" s="114">
        <v>0</v>
      </c>
      <c r="D426" s="114" t="s">
        <v>991</v>
      </c>
      <c r="E426" s="114" t="s">
        <v>966</v>
      </c>
      <c r="F426" s="114" t="s">
        <v>909</v>
      </c>
      <c r="G426" s="114"/>
      <c r="H426" s="114"/>
      <c r="I426" s="114"/>
      <c r="J426" s="114"/>
      <c r="K426" s="114"/>
      <c r="L426" s="114"/>
      <c r="M426" s="114"/>
      <c r="N426" s="114">
        <v>10</v>
      </c>
      <c r="O426" s="180">
        <v>-2147483648</v>
      </c>
      <c r="P426" s="180">
        <v>2147483647</v>
      </c>
      <c r="Q426" s="180">
        <v>0</v>
      </c>
      <c r="R426" s="180"/>
      <c r="S426" s="180"/>
      <c r="T426" s="181" t="s">
        <v>2891</v>
      </c>
      <c r="U426" s="179" t="s">
        <v>2892</v>
      </c>
      <c r="V426" s="179" t="s">
        <v>2893</v>
      </c>
      <c r="W426" s="114" t="s">
        <v>2894</v>
      </c>
      <c r="X426" s="180">
        <v>32</v>
      </c>
      <c r="Y426" s="182" t="s">
        <v>1503</v>
      </c>
      <c r="Z426" s="183" t="s">
        <v>2774</v>
      </c>
      <c r="AA426" s="184"/>
      <c r="AB426" s="182"/>
      <c r="AC426" s="114">
        <v>5</v>
      </c>
      <c r="AD426" s="172" t="s">
        <v>887</v>
      </c>
      <c r="AE426" s="114"/>
      <c r="AF426" s="114"/>
      <c r="AG426" s="114"/>
      <c r="AH426" s="106"/>
      <c r="AI426" s="114"/>
      <c r="AJ426" s="106"/>
      <c r="AK426" s="114"/>
      <c r="AL426" s="106"/>
      <c r="AM426" s="114"/>
      <c r="AN426" s="106"/>
      <c r="AO426" s="114"/>
      <c r="AP426" s="106"/>
      <c r="AQ426" s="114"/>
      <c r="AR426" s="106"/>
      <c r="AS426" s="114"/>
      <c r="AT426" s="106"/>
      <c r="AU426" s="114"/>
      <c r="AV426" s="106"/>
      <c r="AW426" s="114"/>
      <c r="AX426" s="157"/>
      <c r="AY426" s="157"/>
      <c r="AZ426" s="157"/>
      <c r="BA426" s="157"/>
      <c r="BB426" s="157"/>
      <c r="BC426" s="157"/>
    </row>
    <row r="427" spans="1:55" x14ac:dyDescent="0.3">
      <c r="A427" s="114">
        <f t="shared" si="9"/>
        <v>423</v>
      </c>
      <c r="B427" s="179" t="s">
        <v>2895</v>
      </c>
      <c r="C427" s="114">
        <v>0</v>
      </c>
      <c r="D427" s="114" t="s">
        <v>991</v>
      </c>
      <c r="E427" s="114" t="s">
        <v>944</v>
      </c>
      <c r="F427" s="114" t="s">
        <v>909</v>
      </c>
      <c r="G427" s="114"/>
      <c r="H427" s="114"/>
      <c r="I427" s="114"/>
      <c r="J427" s="114"/>
      <c r="K427" s="114"/>
      <c r="L427" s="114"/>
      <c r="M427" s="191" t="s">
        <v>874</v>
      </c>
      <c r="N427" s="114">
        <v>10</v>
      </c>
      <c r="O427" s="180" t="s">
        <v>1181</v>
      </c>
      <c r="P427" s="180" t="s">
        <v>1089</v>
      </c>
      <c r="Q427" s="180" t="s">
        <v>1181</v>
      </c>
      <c r="R427" s="180"/>
      <c r="S427" s="180"/>
      <c r="T427" s="181" t="s">
        <v>2896</v>
      </c>
      <c r="U427" s="179" t="s">
        <v>2897</v>
      </c>
      <c r="V427" s="179" t="s">
        <v>2898</v>
      </c>
      <c r="W427" s="114" t="s">
        <v>2899</v>
      </c>
      <c r="X427" s="180">
        <v>32</v>
      </c>
      <c r="Y427" s="182" t="s">
        <v>1503</v>
      </c>
      <c r="Z427" s="183" t="s">
        <v>2774</v>
      </c>
      <c r="AA427" s="184"/>
      <c r="AB427" s="182"/>
      <c r="AC427" s="114">
        <v>5</v>
      </c>
      <c r="AD427" s="172" t="s">
        <v>887</v>
      </c>
      <c r="AE427" s="114"/>
      <c r="AF427" s="114"/>
      <c r="AG427" s="114"/>
      <c r="AH427" s="106"/>
      <c r="AI427" s="114"/>
      <c r="AJ427" s="106"/>
      <c r="AK427" s="114"/>
      <c r="AL427" s="106"/>
      <c r="AM427" s="114"/>
      <c r="AN427" s="106"/>
      <c r="AO427" s="114"/>
      <c r="AP427" s="106"/>
      <c r="AQ427" s="114"/>
      <c r="AR427" s="106"/>
      <c r="AS427" s="114"/>
      <c r="AT427" s="106"/>
      <c r="AU427" s="114"/>
      <c r="AV427" s="106"/>
      <c r="AW427" s="114"/>
      <c r="AX427" s="157"/>
      <c r="AY427" s="157"/>
      <c r="AZ427" s="157"/>
      <c r="BA427" s="157"/>
      <c r="BB427" s="157"/>
      <c r="BC427" s="157"/>
    </row>
    <row r="428" spans="1:55" x14ac:dyDescent="0.3">
      <c r="A428" s="114">
        <f t="shared" si="9"/>
        <v>424</v>
      </c>
      <c r="B428" s="179" t="s">
        <v>2900</v>
      </c>
      <c r="C428" s="114">
        <v>0</v>
      </c>
      <c r="D428" s="114" t="s">
        <v>991</v>
      </c>
      <c r="E428" s="114" t="s">
        <v>966</v>
      </c>
      <c r="F428" s="114" t="s">
        <v>909</v>
      </c>
      <c r="G428" s="114"/>
      <c r="H428" s="114"/>
      <c r="I428" s="114"/>
      <c r="J428" s="114"/>
      <c r="K428" s="114"/>
      <c r="L428" s="114"/>
      <c r="M428" s="114"/>
      <c r="N428" s="114">
        <v>10</v>
      </c>
      <c r="O428" s="180">
        <v>-2147483648</v>
      </c>
      <c r="P428" s="180">
        <v>2147483647</v>
      </c>
      <c r="Q428" s="180">
        <v>0</v>
      </c>
      <c r="R428" s="180"/>
      <c r="S428" s="180"/>
      <c r="T428" s="181" t="s">
        <v>2901</v>
      </c>
      <c r="U428" s="179" t="s">
        <v>2902</v>
      </c>
      <c r="V428" s="179" t="s">
        <v>2903</v>
      </c>
      <c r="W428" s="114" t="s">
        <v>2904</v>
      </c>
      <c r="X428" s="180">
        <v>32</v>
      </c>
      <c r="Y428" s="182" t="s">
        <v>1503</v>
      </c>
      <c r="Z428" s="183" t="s">
        <v>2774</v>
      </c>
      <c r="AA428" s="184"/>
      <c r="AB428" s="182"/>
      <c r="AC428" s="114">
        <v>5</v>
      </c>
      <c r="AD428" s="172" t="s">
        <v>887</v>
      </c>
      <c r="AE428" s="114"/>
      <c r="AF428" s="114"/>
      <c r="AG428" s="114"/>
      <c r="AH428" s="106"/>
      <c r="AI428" s="114"/>
      <c r="AJ428" s="106"/>
      <c r="AK428" s="114"/>
      <c r="AL428" s="106"/>
      <c r="AM428" s="114"/>
      <c r="AN428" s="106"/>
      <c r="AO428" s="114"/>
      <c r="AP428" s="106"/>
      <c r="AQ428" s="114"/>
      <c r="AR428" s="106"/>
      <c r="AS428" s="114"/>
      <c r="AT428" s="106"/>
      <c r="AU428" s="114"/>
      <c r="AV428" s="106"/>
      <c r="AW428" s="114"/>
      <c r="AX428" s="157"/>
      <c r="AY428" s="157"/>
      <c r="AZ428" s="157"/>
      <c r="BA428" s="157"/>
      <c r="BB428" s="157"/>
      <c r="BC428" s="157"/>
    </row>
    <row r="429" spans="1:55" x14ac:dyDescent="0.3">
      <c r="A429" s="114">
        <f t="shared" si="9"/>
        <v>425</v>
      </c>
      <c r="B429" s="179" t="s">
        <v>2905</v>
      </c>
      <c r="C429" s="114">
        <v>0</v>
      </c>
      <c r="D429" s="114" t="s">
        <v>991</v>
      </c>
      <c r="E429" s="114" t="s">
        <v>944</v>
      </c>
      <c r="F429" s="114" t="s">
        <v>909</v>
      </c>
      <c r="G429" s="114"/>
      <c r="H429" s="114"/>
      <c r="I429" s="114"/>
      <c r="J429" s="114"/>
      <c r="K429" s="114"/>
      <c r="L429" s="114"/>
      <c r="M429" s="191" t="s">
        <v>874</v>
      </c>
      <c r="N429" s="114">
        <v>10</v>
      </c>
      <c r="O429" s="180" t="s">
        <v>1181</v>
      </c>
      <c r="P429" s="180" t="s">
        <v>1089</v>
      </c>
      <c r="Q429" s="180" t="s">
        <v>1181</v>
      </c>
      <c r="R429" s="180"/>
      <c r="S429" s="180"/>
      <c r="T429" s="181" t="s">
        <v>2906</v>
      </c>
      <c r="U429" s="179" t="s">
        <v>2907</v>
      </c>
      <c r="V429" s="179" t="s">
        <v>2908</v>
      </c>
      <c r="W429" s="114" t="s">
        <v>2909</v>
      </c>
      <c r="X429" s="180">
        <v>32</v>
      </c>
      <c r="Y429" s="182" t="s">
        <v>1503</v>
      </c>
      <c r="Z429" s="183" t="s">
        <v>2774</v>
      </c>
      <c r="AA429" s="184"/>
      <c r="AB429" s="182"/>
      <c r="AC429" s="114">
        <v>5</v>
      </c>
      <c r="AD429" s="172" t="s">
        <v>887</v>
      </c>
      <c r="AE429" s="114"/>
      <c r="AF429" s="114"/>
      <c r="AG429" s="114"/>
      <c r="AH429" s="106"/>
      <c r="AI429" s="114"/>
      <c r="AJ429" s="106"/>
      <c r="AK429" s="114"/>
      <c r="AL429" s="106"/>
      <c r="AM429" s="114"/>
      <c r="AN429" s="106"/>
      <c r="AO429" s="114"/>
      <c r="AP429" s="106"/>
      <c r="AQ429" s="114"/>
      <c r="AR429" s="106"/>
      <c r="AS429" s="114"/>
      <c r="AT429" s="106"/>
      <c r="AU429" s="114"/>
      <c r="AV429" s="106"/>
      <c r="AW429" s="114"/>
      <c r="AX429" s="157"/>
      <c r="AY429" s="157"/>
      <c r="AZ429" s="157"/>
      <c r="BA429" s="157"/>
      <c r="BB429" s="157"/>
      <c r="BC429" s="157"/>
    </row>
    <row r="430" spans="1:55" x14ac:dyDescent="0.3">
      <c r="A430" s="114">
        <f t="shared" si="9"/>
        <v>426</v>
      </c>
      <c r="B430" s="179" t="s">
        <v>2910</v>
      </c>
      <c r="C430" s="114">
        <v>0</v>
      </c>
      <c r="D430" s="114" t="s">
        <v>991</v>
      </c>
      <c r="E430" s="114" t="s">
        <v>966</v>
      </c>
      <c r="F430" s="114" t="s">
        <v>909</v>
      </c>
      <c r="G430" s="114"/>
      <c r="H430" s="114"/>
      <c r="I430" s="114"/>
      <c r="J430" s="114"/>
      <c r="K430" s="114"/>
      <c r="L430" s="114"/>
      <c r="M430" s="114"/>
      <c r="N430" s="114">
        <v>10</v>
      </c>
      <c r="O430" s="180">
        <v>-2147483648</v>
      </c>
      <c r="P430" s="180">
        <v>2147483647</v>
      </c>
      <c r="Q430" s="180">
        <v>0</v>
      </c>
      <c r="R430" s="180"/>
      <c r="S430" s="180"/>
      <c r="T430" s="181" t="s">
        <v>2911</v>
      </c>
      <c r="U430" s="179" t="s">
        <v>2912</v>
      </c>
      <c r="V430" s="179" t="s">
        <v>2913</v>
      </c>
      <c r="W430" s="114" t="s">
        <v>2914</v>
      </c>
      <c r="X430" s="180">
        <v>32</v>
      </c>
      <c r="Y430" s="182" t="s">
        <v>1503</v>
      </c>
      <c r="Z430" s="183" t="s">
        <v>2774</v>
      </c>
      <c r="AA430" s="184"/>
      <c r="AB430" s="182"/>
      <c r="AC430" s="114">
        <v>5</v>
      </c>
      <c r="AD430" s="172" t="s">
        <v>887</v>
      </c>
      <c r="AE430" s="114"/>
      <c r="AF430" s="114"/>
      <c r="AG430" s="114"/>
      <c r="AH430" s="106"/>
      <c r="AI430" s="114"/>
      <c r="AJ430" s="106"/>
      <c r="AK430" s="114"/>
      <c r="AL430" s="106"/>
      <c r="AM430" s="114"/>
      <c r="AN430" s="106"/>
      <c r="AO430" s="114"/>
      <c r="AP430" s="106"/>
      <c r="AQ430" s="114"/>
      <c r="AR430" s="106"/>
      <c r="AS430" s="114"/>
      <c r="AT430" s="106"/>
      <c r="AU430" s="114"/>
      <c r="AV430" s="106"/>
      <c r="AW430" s="114"/>
      <c r="AX430" s="157"/>
      <c r="AY430" s="157"/>
      <c r="AZ430" s="157"/>
      <c r="BA430" s="157"/>
      <c r="BB430" s="157"/>
      <c r="BC430" s="157"/>
    </row>
    <row r="431" spans="1:55" x14ac:dyDescent="0.3">
      <c r="A431" s="114">
        <f t="shared" si="9"/>
        <v>427</v>
      </c>
      <c r="B431" s="179" t="s">
        <v>2915</v>
      </c>
      <c r="C431" s="114">
        <v>0</v>
      </c>
      <c r="D431" s="114" t="s">
        <v>991</v>
      </c>
      <c r="E431" s="114" t="s">
        <v>944</v>
      </c>
      <c r="F431" s="114" t="s">
        <v>909</v>
      </c>
      <c r="G431" s="114"/>
      <c r="H431" s="114"/>
      <c r="I431" s="114"/>
      <c r="J431" s="114"/>
      <c r="K431" s="114"/>
      <c r="L431" s="114"/>
      <c r="M431" s="191" t="s">
        <v>874</v>
      </c>
      <c r="N431" s="114">
        <v>10</v>
      </c>
      <c r="O431" s="180" t="s">
        <v>1181</v>
      </c>
      <c r="P431" s="180" t="s">
        <v>1089</v>
      </c>
      <c r="Q431" s="180" t="s">
        <v>1181</v>
      </c>
      <c r="R431" s="180"/>
      <c r="S431" s="180"/>
      <c r="T431" s="181" t="s">
        <v>2916</v>
      </c>
      <c r="U431" s="179" t="s">
        <v>2917</v>
      </c>
      <c r="V431" s="179" t="s">
        <v>2918</v>
      </c>
      <c r="W431" s="114" t="s">
        <v>2919</v>
      </c>
      <c r="X431" s="180">
        <v>32</v>
      </c>
      <c r="Y431" s="182" t="s">
        <v>1503</v>
      </c>
      <c r="Z431" s="183" t="s">
        <v>2774</v>
      </c>
      <c r="AA431" s="184"/>
      <c r="AB431" s="182"/>
      <c r="AC431" s="114">
        <v>5</v>
      </c>
      <c r="AD431" s="172" t="s">
        <v>887</v>
      </c>
      <c r="AE431" s="114"/>
      <c r="AF431" s="114"/>
      <c r="AG431" s="114"/>
      <c r="AH431" s="106"/>
      <c r="AI431" s="114"/>
      <c r="AJ431" s="106"/>
      <c r="AK431" s="114"/>
      <c r="AL431" s="106"/>
      <c r="AM431" s="114"/>
      <c r="AN431" s="106"/>
      <c r="AO431" s="114"/>
      <c r="AP431" s="106"/>
      <c r="AQ431" s="114"/>
      <c r="AR431" s="106"/>
      <c r="AS431" s="114"/>
      <c r="AT431" s="106"/>
      <c r="AU431" s="114"/>
      <c r="AV431" s="106"/>
      <c r="AW431" s="114"/>
      <c r="AX431" s="157"/>
      <c r="AY431" s="157"/>
      <c r="AZ431" s="157"/>
      <c r="BA431" s="157"/>
      <c r="BB431" s="157"/>
      <c r="BC431" s="157"/>
    </row>
    <row r="432" spans="1:55" x14ac:dyDescent="0.3">
      <c r="A432" s="114">
        <f t="shared" si="9"/>
        <v>428</v>
      </c>
      <c r="B432" s="179" t="s">
        <v>2920</v>
      </c>
      <c r="C432" s="114">
        <v>0</v>
      </c>
      <c r="D432" s="114" t="s">
        <v>991</v>
      </c>
      <c r="E432" s="114" t="s">
        <v>966</v>
      </c>
      <c r="F432" s="114" t="s">
        <v>909</v>
      </c>
      <c r="G432" s="114"/>
      <c r="H432" s="114"/>
      <c r="I432" s="114"/>
      <c r="J432" s="114"/>
      <c r="K432" s="114"/>
      <c r="L432" s="114"/>
      <c r="M432" s="114"/>
      <c r="N432" s="114">
        <v>10</v>
      </c>
      <c r="O432" s="180">
        <v>-2147483648</v>
      </c>
      <c r="P432" s="180">
        <v>2147483647</v>
      </c>
      <c r="Q432" s="180">
        <v>0</v>
      </c>
      <c r="R432" s="180"/>
      <c r="S432" s="180"/>
      <c r="T432" s="181" t="s">
        <v>2921</v>
      </c>
      <c r="U432" s="179" t="s">
        <v>2922</v>
      </c>
      <c r="V432" s="179" t="s">
        <v>2923</v>
      </c>
      <c r="W432" s="114" t="s">
        <v>2924</v>
      </c>
      <c r="X432" s="180">
        <v>32</v>
      </c>
      <c r="Y432" s="182" t="s">
        <v>1503</v>
      </c>
      <c r="Z432" s="183" t="s">
        <v>2774</v>
      </c>
      <c r="AA432" s="184"/>
      <c r="AB432" s="182"/>
      <c r="AC432" s="114">
        <v>5</v>
      </c>
      <c r="AD432" s="172" t="s">
        <v>887</v>
      </c>
      <c r="AE432" s="114"/>
      <c r="AF432" s="114"/>
      <c r="AG432" s="114"/>
      <c r="AH432" s="106"/>
      <c r="AI432" s="114"/>
      <c r="AJ432" s="106"/>
      <c r="AK432" s="114"/>
      <c r="AL432" s="106"/>
      <c r="AM432" s="114"/>
      <c r="AN432" s="106"/>
      <c r="AO432" s="114"/>
      <c r="AP432" s="106"/>
      <c r="AQ432" s="114"/>
      <c r="AR432" s="106"/>
      <c r="AS432" s="114"/>
      <c r="AT432" s="106"/>
      <c r="AU432" s="114"/>
      <c r="AV432" s="106"/>
      <c r="AW432" s="114"/>
      <c r="AX432" s="157"/>
      <c r="AY432" s="157"/>
      <c r="AZ432" s="157"/>
      <c r="BA432" s="157"/>
      <c r="BB432" s="157"/>
      <c r="BC432" s="157"/>
    </row>
    <row r="433" spans="1:55" x14ac:dyDescent="0.3">
      <c r="A433" s="114">
        <f t="shared" si="9"/>
        <v>429</v>
      </c>
      <c r="B433" s="179" t="s">
        <v>2925</v>
      </c>
      <c r="C433" s="114">
        <v>0</v>
      </c>
      <c r="D433" s="114" t="s">
        <v>991</v>
      </c>
      <c r="E433" s="114" t="s">
        <v>944</v>
      </c>
      <c r="F433" s="114" t="s">
        <v>909</v>
      </c>
      <c r="G433" s="114"/>
      <c r="H433" s="114"/>
      <c r="I433" s="114"/>
      <c r="J433" s="114"/>
      <c r="K433" s="114"/>
      <c r="L433" s="114"/>
      <c r="M433" s="191" t="s">
        <v>874</v>
      </c>
      <c r="N433" s="114">
        <v>10</v>
      </c>
      <c r="O433" s="180" t="s">
        <v>1181</v>
      </c>
      <c r="P433" s="180" t="s">
        <v>1089</v>
      </c>
      <c r="Q433" s="180" t="s">
        <v>1181</v>
      </c>
      <c r="R433" s="180"/>
      <c r="S433" s="180"/>
      <c r="T433" s="181" t="s">
        <v>2926</v>
      </c>
      <c r="U433" s="179" t="s">
        <v>2927</v>
      </c>
      <c r="V433" s="179" t="s">
        <v>2928</v>
      </c>
      <c r="W433" s="114" t="s">
        <v>2929</v>
      </c>
      <c r="X433" s="180">
        <v>32</v>
      </c>
      <c r="Y433" s="182" t="s">
        <v>1503</v>
      </c>
      <c r="Z433" s="183" t="s">
        <v>2774</v>
      </c>
      <c r="AA433" s="184"/>
      <c r="AB433" s="182"/>
      <c r="AC433" s="114">
        <v>5</v>
      </c>
      <c r="AD433" s="172" t="s">
        <v>887</v>
      </c>
      <c r="AE433" s="114"/>
      <c r="AF433" s="114"/>
      <c r="AG433" s="114"/>
      <c r="AH433" s="106"/>
      <c r="AI433" s="114"/>
      <c r="AJ433" s="106"/>
      <c r="AK433" s="114"/>
      <c r="AL433" s="106"/>
      <c r="AM433" s="114"/>
      <c r="AN433" s="106"/>
      <c r="AO433" s="114"/>
      <c r="AP433" s="106"/>
      <c r="AQ433" s="114"/>
      <c r="AR433" s="106"/>
      <c r="AS433" s="114"/>
      <c r="AT433" s="106"/>
      <c r="AU433" s="114"/>
      <c r="AV433" s="106"/>
      <c r="AW433" s="114"/>
      <c r="AX433" s="157"/>
      <c r="AY433" s="157"/>
      <c r="AZ433" s="157"/>
      <c r="BA433" s="157"/>
      <c r="BB433" s="157"/>
      <c r="BC433" s="157"/>
    </row>
    <row r="434" spans="1:55" x14ac:dyDescent="0.3">
      <c r="A434" s="114">
        <f t="shared" si="9"/>
        <v>430</v>
      </c>
      <c r="B434" s="179" t="s">
        <v>2930</v>
      </c>
      <c r="C434" s="114">
        <v>0</v>
      </c>
      <c r="D434" s="114" t="s">
        <v>991</v>
      </c>
      <c r="E434" s="114" t="s">
        <v>966</v>
      </c>
      <c r="F434" s="114" t="s">
        <v>909</v>
      </c>
      <c r="G434" s="114"/>
      <c r="H434" s="114"/>
      <c r="I434" s="114"/>
      <c r="J434" s="114"/>
      <c r="K434" s="114"/>
      <c r="L434" s="114"/>
      <c r="M434" s="114"/>
      <c r="N434" s="114">
        <v>10</v>
      </c>
      <c r="O434" s="180">
        <v>-2147483648</v>
      </c>
      <c r="P434" s="180">
        <v>2147483647</v>
      </c>
      <c r="Q434" s="180">
        <v>0</v>
      </c>
      <c r="R434" s="180"/>
      <c r="S434" s="180"/>
      <c r="T434" s="181" t="s">
        <v>2931</v>
      </c>
      <c r="U434" s="179" t="s">
        <v>2932</v>
      </c>
      <c r="V434" s="179" t="s">
        <v>2933</v>
      </c>
      <c r="W434" s="114" t="s">
        <v>2934</v>
      </c>
      <c r="X434" s="180">
        <v>32</v>
      </c>
      <c r="Y434" s="182" t="s">
        <v>1503</v>
      </c>
      <c r="Z434" s="183" t="s">
        <v>2774</v>
      </c>
      <c r="AA434" s="184"/>
      <c r="AB434" s="182"/>
      <c r="AC434" s="114">
        <v>5</v>
      </c>
      <c r="AD434" s="172" t="s">
        <v>887</v>
      </c>
      <c r="AE434" s="114"/>
      <c r="AF434" s="114"/>
      <c r="AG434" s="114"/>
      <c r="AH434" s="106"/>
      <c r="AI434" s="114"/>
      <c r="AJ434" s="106"/>
      <c r="AK434" s="114"/>
      <c r="AL434" s="106"/>
      <c r="AM434" s="114"/>
      <c r="AN434" s="106"/>
      <c r="AO434" s="114"/>
      <c r="AP434" s="106"/>
      <c r="AQ434" s="114"/>
      <c r="AR434" s="106"/>
      <c r="AS434" s="114"/>
      <c r="AT434" s="106"/>
      <c r="AU434" s="114"/>
      <c r="AV434" s="106"/>
      <c r="AW434" s="114"/>
      <c r="AX434" s="157"/>
      <c r="AY434" s="157"/>
      <c r="AZ434" s="157"/>
      <c r="BA434" s="157"/>
      <c r="BB434" s="157"/>
      <c r="BC434" s="157"/>
    </row>
    <row r="435" spans="1:55" x14ac:dyDescent="0.3">
      <c r="A435" s="114">
        <f>A434+1</f>
        <v>431</v>
      </c>
      <c r="B435" s="179" t="s">
        <v>2935</v>
      </c>
      <c r="C435" s="114">
        <v>0</v>
      </c>
      <c r="D435" s="114" t="s">
        <v>991</v>
      </c>
      <c r="E435" s="114" t="s">
        <v>944</v>
      </c>
      <c r="F435" s="114" t="s">
        <v>909</v>
      </c>
      <c r="G435" s="114"/>
      <c r="H435" s="114"/>
      <c r="I435" s="114"/>
      <c r="J435" s="114"/>
      <c r="K435" s="114"/>
      <c r="L435" s="114"/>
      <c r="M435" s="191" t="s">
        <v>874</v>
      </c>
      <c r="N435" s="114">
        <v>10</v>
      </c>
      <c r="O435" s="180" t="s">
        <v>1181</v>
      </c>
      <c r="P435" s="180" t="s">
        <v>1089</v>
      </c>
      <c r="Q435" s="180" t="s">
        <v>1181</v>
      </c>
      <c r="R435" s="180"/>
      <c r="S435" s="180"/>
      <c r="T435" s="181" t="s">
        <v>2936</v>
      </c>
      <c r="U435" s="179" t="s">
        <v>2937</v>
      </c>
      <c r="V435" s="179" t="s">
        <v>2938</v>
      </c>
      <c r="W435" s="114" t="s">
        <v>2939</v>
      </c>
      <c r="X435" s="180">
        <v>32</v>
      </c>
      <c r="Y435" s="182" t="s">
        <v>1503</v>
      </c>
      <c r="Z435" s="183" t="s">
        <v>2774</v>
      </c>
      <c r="AA435" s="184"/>
      <c r="AB435" s="182"/>
      <c r="AC435" s="114">
        <v>5</v>
      </c>
      <c r="AD435" s="172" t="s">
        <v>887</v>
      </c>
      <c r="AE435" s="114"/>
      <c r="AF435" s="114"/>
      <c r="AG435" s="114"/>
      <c r="AH435" s="106"/>
      <c r="AI435" s="114"/>
      <c r="AJ435" s="106"/>
      <c r="AK435" s="114"/>
      <c r="AL435" s="106"/>
      <c r="AM435" s="114"/>
      <c r="AN435" s="106"/>
      <c r="AO435" s="114"/>
      <c r="AP435" s="106"/>
      <c r="AQ435" s="114"/>
      <c r="AR435" s="106"/>
      <c r="AS435" s="114"/>
      <c r="AT435" s="106"/>
      <c r="AU435" s="114"/>
      <c r="AV435" s="106"/>
      <c r="AW435" s="114"/>
      <c r="AX435" s="157"/>
      <c r="AY435" s="157"/>
      <c r="AZ435" s="157"/>
      <c r="BA435" s="157"/>
      <c r="BB435" s="157"/>
      <c r="BC435" s="157"/>
    </row>
    <row r="436" spans="1:55" x14ac:dyDescent="0.3">
      <c r="A436" s="114">
        <f t="shared" ref="A436:A445" si="10">A435+1</f>
        <v>432</v>
      </c>
      <c r="B436" s="179" t="s">
        <v>2940</v>
      </c>
      <c r="C436" s="114">
        <v>0</v>
      </c>
      <c r="D436" s="114" t="s">
        <v>991</v>
      </c>
      <c r="E436" s="114" t="s">
        <v>966</v>
      </c>
      <c r="F436" s="114" t="s">
        <v>909</v>
      </c>
      <c r="G436" s="114"/>
      <c r="H436" s="114"/>
      <c r="I436" s="114"/>
      <c r="J436" s="114"/>
      <c r="K436" s="114"/>
      <c r="L436" s="114"/>
      <c r="M436" s="114"/>
      <c r="N436" s="114">
        <v>10</v>
      </c>
      <c r="O436" s="180">
        <v>-2147483648</v>
      </c>
      <c r="P436" s="180">
        <v>2147483647</v>
      </c>
      <c r="Q436" s="180">
        <v>0</v>
      </c>
      <c r="R436" s="180"/>
      <c r="S436" s="180"/>
      <c r="T436" s="181" t="s">
        <v>2941</v>
      </c>
      <c r="U436" s="179" t="s">
        <v>2942</v>
      </c>
      <c r="V436" s="179" t="s">
        <v>2943</v>
      </c>
      <c r="W436" s="114" t="s">
        <v>2944</v>
      </c>
      <c r="X436" s="180">
        <v>32</v>
      </c>
      <c r="Y436" s="182" t="s">
        <v>1503</v>
      </c>
      <c r="Z436" s="183" t="s">
        <v>2774</v>
      </c>
      <c r="AA436" s="184"/>
      <c r="AB436" s="182"/>
      <c r="AC436" s="114">
        <v>5</v>
      </c>
      <c r="AD436" s="172" t="s">
        <v>887</v>
      </c>
      <c r="AE436" s="114"/>
      <c r="AF436" s="114"/>
      <c r="AG436" s="114"/>
      <c r="AH436" s="106"/>
      <c r="AI436" s="114"/>
      <c r="AJ436" s="106"/>
      <c r="AK436" s="114"/>
      <c r="AL436" s="106"/>
      <c r="AM436" s="114"/>
      <c r="AN436" s="106"/>
      <c r="AO436" s="114"/>
      <c r="AP436" s="106"/>
      <c r="AQ436" s="114"/>
      <c r="AR436" s="106"/>
      <c r="AS436" s="114"/>
      <c r="AT436" s="106"/>
      <c r="AU436" s="114"/>
      <c r="AV436" s="106"/>
      <c r="AW436" s="114"/>
      <c r="AX436" s="157"/>
      <c r="AY436" s="157"/>
      <c r="AZ436" s="157"/>
      <c r="BA436" s="157"/>
      <c r="BB436" s="157"/>
      <c r="BC436" s="157"/>
    </row>
    <row r="437" spans="1:55" x14ac:dyDescent="0.3">
      <c r="A437" s="114">
        <f t="shared" si="10"/>
        <v>433</v>
      </c>
      <c r="B437" s="179" t="s">
        <v>2945</v>
      </c>
      <c r="C437" s="114">
        <v>0</v>
      </c>
      <c r="D437" s="114" t="s">
        <v>991</v>
      </c>
      <c r="E437" s="114" t="s">
        <v>944</v>
      </c>
      <c r="F437" s="114" t="s">
        <v>909</v>
      </c>
      <c r="G437" s="114"/>
      <c r="H437" s="114"/>
      <c r="I437" s="114"/>
      <c r="J437" s="114"/>
      <c r="K437" s="114"/>
      <c r="L437" s="114"/>
      <c r="M437" s="191" t="s">
        <v>874</v>
      </c>
      <c r="N437" s="114">
        <v>10</v>
      </c>
      <c r="O437" s="180" t="s">
        <v>1181</v>
      </c>
      <c r="P437" s="180" t="s">
        <v>1089</v>
      </c>
      <c r="Q437" s="180" t="s">
        <v>1181</v>
      </c>
      <c r="R437" s="180"/>
      <c r="S437" s="180"/>
      <c r="T437" s="181" t="s">
        <v>2946</v>
      </c>
      <c r="U437" s="179" t="s">
        <v>2947</v>
      </c>
      <c r="V437" s="179" t="s">
        <v>2948</v>
      </c>
      <c r="W437" s="114" t="s">
        <v>2949</v>
      </c>
      <c r="X437" s="180">
        <v>32</v>
      </c>
      <c r="Y437" s="182" t="s">
        <v>1503</v>
      </c>
      <c r="Z437" s="183" t="s">
        <v>2774</v>
      </c>
      <c r="AA437" s="184"/>
      <c r="AB437" s="182"/>
      <c r="AC437" s="114">
        <v>5</v>
      </c>
      <c r="AD437" s="172" t="s">
        <v>887</v>
      </c>
      <c r="AE437" s="114"/>
      <c r="AF437" s="114"/>
      <c r="AG437" s="114"/>
      <c r="AH437" s="106"/>
      <c r="AI437" s="114"/>
      <c r="AJ437" s="106"/>
      <c r="AK437" s="114"/>
      <c r="AL437" s="106"/>
      <c r="AM437" s="114"/>
      <c r="AN437" s="106"/>
      <c r="AO437" s="114"/>
      <c r="AP437" s="106"/>
      <c r="AQ437" s="114"/>
      <c r="AR437" s="106"/>
      <c r="AS437" s="114"/>
      <c r="AT437" s="106"/>
      <c r="AU437" s="114"/>
      <c r="AV437" s="106"/>
      <c r="AW437" s="114"/>
      <c r="AX437" s="157"/>
      <c r="AY437" s="157"/>
      <c r="AZ437" s="157"/>
      <c r="BA437" s="157"/>
      <c r="BB437" s="157"/>
      <c r="BC437" s="157"/>
    </row>
    <row r="438" spans="1:55" x14ac:dyDescent="0.3">
      <c r="A438" s="114">
        <f t="shared" si="10"/>
        <v>434</v>
      </c>
      <c r="B438" s="179" t="s">
        <v>2950</v>
      </c>
      <c r="C438" s="114">
        <v>0</v>
      </c>
      <c r="D438" s="114" t="s">
        <v>991</v>
      </c>
      <c r="E438" s="114" t="s">
        <v>966</v>
      </c>
      <c r="F438" s="114" t="s">
        <v>909</v>
      </c>
      <c r="G438" s="114"/>
      <c r="H438" s="114"/>
      <c r="I438" s="114"/>
      <c r="J438" s="114"/>
      <c r="K438" s="114"/>
      <c r="L438" s="114"/>
      <c r="M438" s="114"/>
      <c r="N438" s="114">
        <v>10</v>
      </c>
      <c r="O438" s="180">
        <v>-2147483648</v>
      </c>
      <c r="P438" s="180">
        <v>2147483647</v>
      </c>
      <c r="Q438" s="180">
        <v>0</v>
      </c>
      <c r="R438" s="180"/>
      <c r="S438" s="180"/>
      <c r="T438" s="181" t="s">
        <v>2951</v>
      </c>
      <c r="U438" s="179" t="s">
        <v>2952</v>
      </c>
      <c r="V438" s="179" t="s">
        <v>2953</v>
      </c>
      <c r="W438" s="114" t="s">
        <v>2954</v>
      </c>
      <c r="X438" s="180">
        <v>32</v>
      </c>
      <c r="Y438" s="182" t="s">
        <v>1503</v>
      </c>
      <c r="Z438" s="183" t="s">
        <v>2774</v>
      </c>
      <c r="AA438" s="184"/>
      <c r="AB438" s="182"/>
      <c r="AC438" s="114">
        <v>5</v>
      </c>
      <c r="AD438" s="172" t="s">
        <v>887</v>
      </c>
      <c r="AE438" s="114"/>
      <c r="AF438" s="114"/>
      <c r="AG438" s="114"/>
      <c r="AH438" s="106"/>
      <c r="AI438" s="114"/>
      <c r="AJ438" s="106"/>
      <c r="AK438" s="114"/>
      <c r="AL438" s="106"/>
      <c r="AM438" s="114"/>
      <c r="AN438" s="106"/>
      <c r="AO438" s="114"/>
      <c r="AP438" s="106"/>
      <c r="AQ438" s="114"/>
      <c r="AR438" s="106"/>
      <c r="AS438" s="114"/>
      <c r="AT438" s="106"/>
      <c r="AU438" s="114"/>
      <c r="AV438" s="106"/>
      <c r="AW438" s="114"/>
      <c r="AX438" s="157"/>
      <c r="AY438" s="157"/>
      <c r="AZ438" s="157"/>
      <c r="BA438" s="157"/>
      <c r="BB438" s="157"/>
      <c r="BC438" s="157"/>
    </row>
    <row r="439" spans="1:55" x14ac:dyDescent="0.3">
      <c r="A439" s="114">
        <f t="shared" si="10"/>
        <v>435</v>
      </c>
      <c r="B439" s="179" t="s">
        <v>2955</v>
      </c>
      <c r="C439" s="114">
        <v>0</v>
      </c>
      <c r="D439" s="114" t="s">
        <v>991</v>
      </c>
      <c r="E439" s="114" t="s">
        <v>944</v>
      </c>
      <c r="F439" s="114" t="s">
        <v>909</v>
      </c>
      <c r="G439" s="114"/>
      <c r="H439" s="114"/>
      <c r="I439" s="114"/>
      <c r="J439" s="114"/>
      <c r="K439" s="114"/>
      <c r="L439" s="114"/>
      <c r="M439" s="191" t="s">
        <v>874</v>
      </c>
      <c r="N439" s="114">
        <v>10</v>
      </c>
      <c r="O439" s="180" t="s">
        <v>1181</v>
      </c>
      <c r="P439" s="180" t="s">
        <v>1089</v>
      </c>
      <c r="Q439" s="180" t="s">
        <v>1181</v>
      </c>
      <c r="R439" s="180"/>
      <c r="S439" s="180"/>
      <c r="T439" s="181" t="s">
        <v>2956</v>
      </c>
      <c r="U439" s="179" t="s">
        <v>2957</v>
      </c>
      <c r="V439" s="179" t="s">
        <v>2958</v>
      </c>
      <c r="W439" s="114" t="s">
        <v>2959</v>
      </c>
      <c r="X439" s="180">
        <v>32</v>
      </c>
      <c r="Y439" s="182" t="s">
        <v>1503</v>
      </c>
      <c r="Z439" s="183" t="s">
        <v>2774</v>
      </c>
      <c r="AA439" s="184"/>
      <c r="AB439" s="182"/>
      <c r="AC439" s="114">
        <v>5</v>
      </c>
      <c r="AD439" s="172" t="s">
        <v>887</v>
      </c>
      <c r="AE439" s="114"/>
      <c r="AF439" s="114"/>
      <c r="AG439" s="114"/>
      <c r="AH439" s="106"/>
      <c r="AI439" s="114"/>
      <c r="AJ439" s="106"/>
      <c r="AK439" s="114"/>
      <c r="AL439" s="106"/>
      <c r="AM439" s="114"/>
      <c r="AN439" s="106"/>
      <c r="AO439" s="114"/>
      <c r="AP439" s="106"/>
      <c r="AQ439" s="114"/>
      <c r="AR439" s="106"/>
      <c r="AS439" s="114"/>
      <c r="AT439" s="106"/>
      <c r="AU439" s="114"/>
      <c r="AV439" s="106"/>
      <c r="AW439" s="114"/>
      <c r="AX439" s="157"/>
      <c r="AY439" s="157"/>
      <c r="AZ439" s="157"/>
      <c r="BA439" s="157"/>
      <c r="BB439" s="157"/>
      <c r="BC439" s="157"/>
    </row>
    <row r="440" spans="1:55" x14ac:dyDescent="0.3">
      <c r="A440" s="114">
        <f t="shared" si="10"/>
        <v>436</v>
      </c>
      <c r="B440" s="179" t="s">
        <v>2960</v>
      </c>
      <c r="C440" s="114">
        <v>0</v>
      </c>
      <c r="D440" s="114" t="s">
        <v>991</v>
      </c>
      <c r="E440" s="114" t="s">
        <v>966</v>
      </c>
      <c r="F440" s="114" t="s">
        <v>909</v>
      </c>
      <c r="G440" s="114"/>
      <c r="H440" s="114"/>
      <c r="I440" s="114"/>
      <c r="J440" s="114"/>
      <c r="K440" s="114"/>
      <c r="L440" s="114"/>
      <c r="M440" s="114"/>
      <c r="N440" s="114">
        <v>10</v>
      </c>
      <c r="O440" s="180">
        <v>-2147483648</v>
      </c>
      <c r="P440" s="180">
        <v>2147483647</v>
      </c>
      <c r="Q440" s="180">
        <v>0</v>
      </c>
      <c r="R440" s="180"/>
      <c r="S440" s="180"/>
      <c r="T440" s="181" t="s">
        <v>2961</v>
      </c>
      <c r="U440" s="179" t="s">
        <v>2962</v>
      </c>
      <c r="V440" s="179" t="s">
        <v>2963</v>
      </c>
      <c r="W440" s="114" t="s">
        <v>2964</v>
      </c>
      <c r="X440" s="180">
        <v>32</v>
      </c>
      <c r="Y440" s="182" t="s">
        <v>1503</v>
      </c>
      <c r="Z440" s="183" t="s">
        <v>2774</v>
      </c>
      <c r="AA440" s="184"/>
      <c r="AB440" s="182"/>
      <c r="AC440" s="114">
        <v>5</v>
      </c>
      <c r="AD440" s="172" t="s">
        <v>887</v>
      </c>
      <c r="AE440" s="114"/>
      <c r="AF440" s="114"/>
      <c r="AG440" s="114"/>
      <c r="AH440" s="106"/>
      <c r="AI440" s="114"/>
      <c r="AJ440" s="106"/>
      <c r="AK440" s="114"/>
      <c r="AL440" s="106"/>
      <c r="AM440" s="114"/>
      <c r="AN440" s="106"/>
      <c r="AO440" s="114"/>
      <c r="AP440" s="106"/>
      <c r="AQ440" s="114"/>
      <c r="AR440" s="106"/>
      <c r="AS440" s="114"/>
      <c r="AT440" s="106"/>
      <c r="AU440" s="114"/>
      <c r="AV440" s="106"/>
      <c r="AW440" s="114"/>
      <c r="AX440" s="157"/>
      <c r="AY440" s="157"/>
      <c r="AZ440" s="157"/>
      <c r="BA440" s="157"/>
      <c r="BB440" s="157"/>
      <c r="BC440" s="157"/>
    </row>
    <row r="441" spans="1:55" x14ac:dyDescent="0.3">
      <c r="A441" s="114">
        <f t="shared" si="10"/>
        <v>437</v>
      </c>
      <c r="B441" s="179" t="s">
        <v>2965</v>
      </c>
      <c r="C441" s="114">
        <v>0</v>
      </c>
      <c r="D441" s="114" t="s">
        <v>991</v>
      </c>
      <c r="E441" s="114" t="s">
        <v>944</v>
      </c>
      <c r="F441" s="114" t="s">
        <v>909</v>
      </c>
      <c r="G441" s="114"/>
      <c r="H441" s="114"/>
      <c r="I441" s="114"/>
      <c r="J441" s="114"/>
      <c r="K441" s="114"/>
      <c r="L441" s="114"/>
      <c r="M441" s="191" t="s">
        <v>874</v>
      </c>
      <c r="N441" s="114">
        <v>10</v>
      </c>
      <c r="O441" s="180" t="s">
        <v>1181</v>
      </c>
      <c r="P441" s="180" t="s">
        <v>1089</v>
      </c>
      <c r="Q441" s="180" t="s">
        <v>1181</v>
      </c>
      <c r="R441" s="180"/>
      <c r="S441" s="180"/>
      <c r="T441" s="181" t="s">
        <v>2966</v>
      </c>
      <c r="U441" s="179" t="s">
        <v>2967</v>
      </c>
      <c r="V441" s="179" t="s">
        <v>2968</v>
      </c>
      <c r="W441" s="114" t="s">
        <v>2969</v>
      </c>
      <c r="X441" s="180">
        <v>32</v>
      </c>
      <c r="Y441" s="182" t="s">
        <v>1503</v>
      </c>
      <c r="Z441" s="183" t="s">
        <v>2774</v>
      </c>
      <c r="AA441" s="184"/>
      <c r="AB441" s="182"/>
      <c r="AC441" s="114">
        <v>5</v>
      </c>
      <c r="AD441" s="172" t="s">
        <v>887</v>
      </c>
      <c r="AE441" s="114"/>
      <c r="AF441" s="114"/>
      <c r="AG441" s="114"/>
      <c r="AH441" s="106"/>
      <c r="AI441" s="114"/>
      <c r="AJ441" s="106"/>
      <c r="AK441" s="114"/>
      <c r="AL441" s="106"/>
      <c r="AM441" s="114"/>
      <c r="AN441" s="106"/>
      <c r="AO441" s="114"/>
      <c r="AP441" s="106"/>
      <c r="AQ441" s="114"/>
      <c r="AR441" s="106"/>
      <c r="AS441" s="114"/>
      <c r="AT441" s="106"/>
      <c r="AU441" s="114"/>
      <c r="AV441" s="106"/>
      <c r="AW441" s="114"/>
      <c r="AX441" s="157"/>
      <c r="AY441" s="157"/>
      <c r="AZ441" s="157"/>
      <c r="BA441" s="157"/>
      <c r="BB441" s="157"/>
      <c r="BC441" s="157"/>
    </row>
    <row r="442" spans="1:55" x14ac:dyDescent="0.3">
      <c r="A442" s="114">
        <f t="shared" si="10"/>
        <v>438</v>
      </c>
      <c r="B442" s="179" t="s">
        <v>2970</v>
      </c>
      <c r="C442" s="114">
        <v>0</v>
      </c>
      <c r="D442" s="114" t="s">
        <v>991</v>
      </c>
      <c r="E442" s="114" t="s">
        <v>966</v>
      </c>
      <c r="F442" s="114" t="s">
        <v>909</v>
      </c>
      <c r="G442" s="114"/>
      <c r="H442" s="114"/>
      <c r="I442" s="114"/>
      <c r="J442" s="114"/>
      <c r="K442" s="114"/>
      <c r="L442" s="114"/>
      <c r="M442" s="114"/>
      <c r="N442" s="114">
        <v>10</v>
      </c>
      <c r="O442" s="180">
        <v>-2147483648</v>
      </c>
      <c r="P442" s="180">
        <v>2147483647</v>
      </c>
      <c r="Q442" s="180">
        <v>0</v>
      </c>
      <c r="R442" s="180"/>
      <c r="S442" s="180"/>
      <c r="T442" s="181" t="s">
        <v>2971</v>
      </c>
      <c r="U442" s="179" t="s">
        <v>2972</v>
      </c>
      <c r="V442" s="179" t="s">
        <v>2973</v>
      </c>
      <c r="W442" s="114" t="s">
        <v>2974</v>
      </c>
      <c r="X442" s="180">
        <v>32</v>
      </c>
      <c r="Y442" s="182" t="s">
        <v>1503</v>
      </c>
      <c r="Z442" s="183" t="s">
        <v>2774</v>
      </c>
      <c r="AA442" s="184"/>
      <c r="AB442" s="182"/>
      <c r="AC442" s="114">
        <v>5</v>
      </c>
      <c r="AD442" s="172" t="s">
        <v>887</v>
      </c>
      <c r="AE442" s="114"/>
      <c r="AF442" s="114"/>
      <c r="AG442" s="114"/>
      <c r="AH442" s="106"/>
      <c r="AI442" s="114"/>
      <c r="AJ442" s="106"/>
      <c r="AK442" s="114"/>
      <c r="AL442" s="106"/>
      <c r="AM442" s="114"/>
      <c r="AN442" s="106"/>
      <c r="AO442" s="114"/>
      <c r="AP442" s="106"/>
      <c r="AQ442" s="114"/>
      <c r="AR442" s="106"/>
      <c r="AS442" s="114"/>
      <c r="AT442" s="106"/>
      <c r="AU442" s="114"/>
      <c r="AV442" s="106"/>
      <c r="AW442" s="114"/>
      <c r="AX442" s="157"/>
      <c r="AY442" s="157"/>
      <c r="AZ442" s="157"/>
      <c r="BA442" s="157"/>
      <c r="BB442" s="157"/>
      <c r="BC442" s="157"/>
    </row>
    <row r="443" spans="1:55" x14ac:dyDescent="0.3">
      <c r="A443" s="114">
        <f t="shared" si="10"/>
        <v>439</v>
      </c>
      <c r="B443" s="179" t="s">
        <v>2975</v>
      </c>
      <c r="C443" s="114">
        <v>0</v>
      </c>
      <c r="D443" s="114" t="s">
        <v>991</v>
      </c>
      <c r="E443" s="114" t="s">
        <v>944</v>
      </c>
      <c r="F443" s="114" t="s">
        <v>909</v>
      </c>
      <c r="G443" s="114"/>
      <c r="H443" s="114"/>
      <c r="I443" s="114"/>
      <c r="J443" s="114"/>
      <c r="K443" s="114"/>
      <c r="L443" s="114"/>
      <c r="M443" s="191" t="s">
        <v>874</v>
      </c>
      <c r="N443" s="114">
        <v>10</v>
      </c>
      <c r="O443" s="180" t="s">
        <v>1181</v>
      </c>
      <c r="P443" s="180" t="s">
        <v>1089</v>
      </c>
      <c r="Q443" s="180" t="s">
        <v>1181</v>
      </c>
      <c r="R443" s="180"/>
      <c r="S443" s="180"/>
      <c r="T443" s="181" t="s">
        <v>2976</v>
      </c>
      <c r="U443" s="179" t="s">
        <v>2977</v>
      </c>
      <c r="V443" s="179" t="s">
        <v>2978</v>
      </c>
      <c r="W443" s="114" t="s">
        <v>2979</v>
      </c>
      <c r="X443" s="180">
        <v>32</v>
      </c>
      <c r="Y443" s="182" t="s">
        <v>1503</v>
      </c>
      <c r="Z443" s="183" t="s">
        <v>2774</v>
      </c>
      <c r="AA443" s="184"/>
      <c r="AB443" s="182"/>
      <c r="AC443" s="114">
        <v>5</v>
      </c>
      <c r="AD443" s="172" t="s">
        <v>887</v>
      </c>
      <c r="AE443" s="114"/>
      <c r="AF443" s="114"/>
      <c r="AG443" s="114"/>
      <c r="AH443" s="106"/>
      <c r="AI443" s="114"/>
      <c r="AJ443" s="106"/>
      <c r="AK443" s="114"/>
      <c r="AL443" s="106"/>
      <c r="AM443" s="114"/>
      <c r="AN443" s="106"/>
      <c r="AO443" s="114"/>
      <c r="AP443" s="106"/>
      <c r="AQ443" s="114"/>
      <c r="AR443" s="106"/>
      <c r="AS443" s="114"/>
      <c r="AT443" s="106"/>
      <c r="AU443" s="114"/>
      <c r="AV443" s="106"/>
      <c r="AW443" s="114"/>
      <c r="AX443" s="157"/>
      <c r="AY443" s="157"/>
      <c r="AZ443" s="157"/>
      <c r="BA443" s="157"/>
      <c r="BB443" s="157"/>
      <c r="BC443" s="157"/>
    </row>
    <row r="444" spans="1:55" x14ac:dyDescent="0.3">
      <c r="A444" s="114">
        <f t="shared" si="10"/>
        <v>440</v>
      </c>
      <c r="B444" s="179" t="s">
        <v>2980</v>
      </c>
      <c r="C444" s="114">
        <v>0</v>
      </c>
      <c r="D444" s="114" t="s">
        <v>991</v>
      </c>
      <c r="E444" s="114" t="s">
        <v>966</v>
      </c>
      <c r="F444" s="114" t="s">
        <v>909</v>
      </c>
      <c r="G444" s="114"/>
      <c r="H444" s="114"/>
      <c r="I444" s="114"/>
      <c r="J444" s="114"/>
      <c r="K444" s="114"/>
      <c r="L444" s="114"/>
      <c r="M444" s="114"/>
      <c r="N444" s="114">
        <v>10</v>
      </c>
      <c r="O444" s="180">
        <v>-2147483648</v>
      </c>
      <c r="P444" s="180">
        <v>2147483647</v>
      </c>
      <c r="Q444" s="180">
        <v>0</v>
      </c>
      <c r="R444" s="180"/>
      <c r="S444" s="180"/>
      <c r="T444" s="181" t="s">
        <v>2981</v>
      </c>
      <c r="U444" s="179" t="s">
        <v>2982</v>
      </c>
      <c r="V444" s="179" t="s">
        <v>2983</v>
      </c>
      <c r="W444" s="114" t="s">
        <v>2984</v>
      </c>
      <c r="X444" s="180">
        <v>32</v>
      </c>
      <c r="Y444" s="182" t="s">
        <v>1503</v>
      </c>
      <c r="Z444" s="183" t="s">
        <v>2774</v>
      </c>
      <c r="AA444" s="184"/>
      <c r="AB444" s="182"/>
      <c r="AC444" s="114">
        <v>5</v>
      </c>
      <c r="AD444" s="172" t="s">
        <v>887</v>
      </c>
      <c r="AE444" s="114"/>
      <c r="AF444" s="114"/>
      <c r="AG444" s="114"/>
      <c r="AH444" s="106"/>
      <c r="AI444" s="114"/>
      <c r="AJ444" s="106"/>
      <c r="AK444" s="114"/>
      <c r="AL444" s="106"/>
      <c r="AM444" s="114"/>
      <c r="AN444" s="106"/>
      <c r="AO444" s="114"/>
      <c r="AP444" s="106"/>
      <c r="AQ444" s="114"/>
      <c r="AR444" s="106"/>
      <c r="AS444" s="114"/>
      <c r="AT444" s="106"/>
      <c r="AU444" s="114"/>
      <c r="AV444" s="106"/>
      <c r="AW444" s="114"/>
      <c r="AX444" s="157"/>
      <c r="AY444" s="157"/>
      <c r="AZ444" s="157"/>
      <c r="BA444" s="157"/>
      <c r="BB444" s="157"/>
      <c r="BC444" s="157"/>
    </row>
    <row r="445" spans="1:55" x14ac:dyDescent="0.3">
      <c r="A445" s="114">
        <f t="shared" si="10"/>
        <v>441</v>
      </c>
      <c r="B445" s="179" t="s">
        <v>2985</v>
      </c>
      <c r="C445" s="114">
        <v>0</v>
      </c>
      <c r="D445" s="114" t="s">
        <v>991</v>
      </c>
      <c r="E445" s="114" t="s">
        <v>944</v>
      </c>
      <c r="F445" s="114" t="s">
        <v>909</v>
      </c>
      <c r="G445" s="114"/>
      <c r="H445" s="114"/>
      <c r="I445" s="114"/>
      <c r="J445" s="114"/>
      <c r="K445" s="114"/>
      <c r="L445" s="114"/>
      <c r="M445" s="191" t="s">
        <v>874</v>
      </c>
      <c r="N445" s="114">
        <v>10</v>
      </c>
      <c r="O445" s="180" t="s">
        <v>1181</v>
      </c>
      <c r="P445" s="180" t="s">
        <v>1089</v>
      </c>
      <c r="Q445" s="180" t="s">
        <v>1181</v>
      </c>
      <c r="R445" s="180"/>
      <c r="S445" s="180"/>
      <c r="T445" s="181" t="s">
        <v>2986</v>
      </c>
      <c r="U445" s="179" t="s">
        <v>2987</v>
      </c>
      <c r="V445" s="179" t="s">
        <v>2988</v>
      </c>
      <c r="W445" s="114" t="s">
        <v>2989</v>
      </c>
      <c r="X445" s="180">
        <v>32</v>
      </c>
      <c r="Y445" s="182" t="s">
        <v>1503</v>
      </c>
      <c r="Z445" s="183" t="s">
        <v>2774</v>
      </c>
      <c r="AA445" s="184"/>
      <c r="AB445" s="182"/>
      <c r="AC445" s="114">
        <v>5</v>
      </c>
      <c r="AD445" s="172" t="s">
        <v>887</v>
      </c>
      <c r="AE445" s="114"/>
      <c r="AF445" s="114"/>
      <c r="AG445" s="114"/>
      <c r="AH445" s="106"/>
      <c r="AI445" s="114"/>
      <c r="AJ445" s="106"/>
      <c r="AK445" s="114"/>
      <c r="AL445" s="106"/>
      <c r="AM445" s="114"/>
      <c r="AN445" s="106"/>
      <c r="AO445" s="114"/>
      <c r="AP445" s="106"/>
      <c r="AQ445" s="114"/>
      <c r="AR445" s="106"/>
      <c r="AS445" s="114"/>
      <c r="AT445" s="106"/>
      <c r="AU445" s="114"/>
      <c r="AV445" s="106"/>
      <c r="AW445" s="114"/>
      <c r="AX445" s="157"/>
      <c r="AY445" s="157"/>
      <c r="AZ445" s="157"/>
      <c r="BA445" s="157"/>
      <c r="BB445" s="157"/>
      <c r="BC445" s="157"/>
    </row>
    <row r="446" spans="1:55" x14ac:dyDescent="0.3">
      <c r="A446" s="114">
        <f>A445+1</f>
        <v>442</v>
      </c>
      <c r="B446" s="179" t="s">
        <v>2990</v>
      </c>
      <c r="C446" s="114">
        <v>0</v>
      </c>
      <c r="D446" s="114" t="s">
        <v>991</v>
      </c>
      <c r="E446" s="114" t="s">
        <v>966</v>
      </c>
      <c r="F446" s="114" t="s">
        <v>909</v>
      </c>
      <c r="G446" s="114"/>
      <c r="H446" s="114"/>
      <c r="I446" s="114"/>
      <c r="J446" s="114"/>
      <c r="K446" s="114"/>
      <c r="L446" s="114"/>
      <c r="M446" s="114"/>
      <c r="N446" s="114">
        <v>10</v>
      </c>
      <c r="O446" s="180">
        <v>-2147483648</v>
      </c>
      <c r="P446" s="180">
        <v>2147483647</v>
      </c>
      <c r="Q446" s="180">
        <v>0</v>
      </c>
      <c r="R446" s="180"/>
      <c r="S446" s="180"/>
      <c r="T446" s="181" t="s">
        <v>2991</v>
      </c>
      <c r="U446" s="179" t="s">
        <v>2992</v>
      </c>
      <c r="V446" s="179" t="s">
        <v>2993</v>
      </c>
      <c r="W446" s="114" t="s">
        <v>2994</v>
      </c>
      <c r="X446" s="180">
        <v>32</v>
      </c>
      <c r="Y446" s="182" t="s">
        <v>1503</v>
      </c>
      <c r="Z446" s="183" t="s">
        <v>2774</v>
      </c>
      <c r="AA446" s="184"/>
      <c r="AB446" s="182"/>
      <c r="AC446" s="114">
        <v>5</v>
      </c>
      <c r="AD446" s="172" t="s">
        <v>887</v>
      </c>
      <c r="AE446" s="114"/>
      <c r="AF446" s="114"/>
      <c r="AG446" s="114"/>
      <c r="AH446" s="106"/>
      <c r="AI446" s="114"/>
      <c r="AJ446" s="106"/>
      <c r="AK446" s="114"/>
      <c r="AL446" s="106"/>
      <c r="AM446" s="114"/>
      <c r="AN446" s="106"/>
      <c r="AO446" s="114"/>
      <c r="AP446" s="106"/>
      <c r="AQ446" s="114"/>
      <c r="AR446" s="106"/>
      <c r="AS446" s="114"/>
      <c r="AT446" s="106"/>
      <c r="AU446" s="114"/>
      <c r="AV446" s="106"/>
      <c r="AW446" s="114"/>
      <c r="AX446" s="157"/>
      <c r="AY446" s="157"/>
      <c r="AZ446" s="157"/>
      <c r="BA446" s="157"/>
      <c r="BB446" s="157"/>
      <c r="BC446" s="157"/>
    </row>
    <row r="447" spans="1:55" x14ac:dyDescent="0.3">
      <c r="A447" s="114">
        <f t="shared" ref="A447:A459" si="11">A446+1</f>
        <v>443</v>
      </c>
      <c r="B447" s="179" t="s">
        <v>2995</v>
      </c>
      <c r="C447" s="114">
        <v>0</v>
      </c>
      <c r="D447" s="114" t="s">
        <v>991</v>
      </c>
      <c r="E447" s="114" t="s">
        <v>944</v>
      </c>
      <c r="F447" s="114" t="s">
        <v>909</v>
      </c>
      <c r="G447" s="114"/>
      <c r="H447" s="114"/>
      <c r="I447" s="114"/>
      <c r="J447" s="114"/>
      <c r="K447" s="114"/>
      <c r="L447" s="114"/>
      <c r="M447" s="191" t="s">
        <v>874</v>
      </c>
      <c r="N447" s="114">
        <v>10</v>
      </c>
      <c r="O447" s="180" t="s">
        <v>1181</v>
      </c>
      <c r="P447" s="180" t="s">
        <v>1089</v>
      </c>
      <c r="Q447" s="180" t="s">
        <v>1181</v>
      </c>
      <c r="R447" s="180"/>
      <c r="S447" s="180"/>
      <c r="T447" s="181" t="s">
        <v>2996</v>
      </c>
      <c r="U447" s="179" t="s">
        <v>2997</v>
      </c>
      <c r="V447" s="179" t="s">
        <v>2998</v>
      </c>
      <c r="W447" s="114" t="s">
        <v>2999</v>
      </c>
      <c r="X447" s="180">
        <v>32</v>
      </c>
      <c r="Y447" s="182" t="s">
        <v>1503</v>
      </c>
      <c r="Z447" s="183" t="s">
        <v>2774</v>
      </c>
      <c r="AA447" s="184"/>
      <c r="AB447" s="182"/>
      <c r="AC447" s="114">
        <v>5</v>
      </c>
      <c r="AD447" s="172" t="s">
        <v>887</v>
      </c>
      <c r="AE447" s="114"/>
      <c r="AF447" s="114"/>
      <c r="AG447" s="114"/>
      <c r="AH447" s="106"/>
      <c r="AI447" s="114"/>
      <c r="AJ447" s="106"/>
      <c r="AK447" s="114"/>
      <c r="AL447" s="106"/>
      <c r="AM447" s="114"/>
      <c r="AN447" s="106"/>
      <c r="AO447" s="114"/>
      <c r="AP447" s="106"/>
      <c r="AQ447" s="114"/>
      <c r="AR447" s="106"/>
      <c r="AS447" s="114"/>
      <c r="AT447" s="106"/>
      <c r="AU447" s="114"/>
      <c r="AV447" s="106"/>
      <c r="AW447" s="114"/>
      <c r="AX447" s="157"/>
      <c r="AY447" s="157"/>
      <c r="AZ447" s="157"/>
      <c r="BA447" s="157"/>
      <c r="BB447" s="157"/>
      <c r="BC447" s="157"/>
    </row>
    <row r="448" spans="1:55" x14ac:dyDescent="0.3">
      <c r="A448" s="114">
        <f t="shared" si="11"/>
        <v>444</v>
      </c>
      <c r="B448" s="179" t="s">
        <v>3000</v>
      </c>
      <c r="C448" s="114">
        <v>0</v>
      </c>
      <c r="D448" s="114" t="s">
        <v>991</v>
      </c>
      <c r="E448" s="114" t="s">
        <v>966</v>
      </c>
      <c r="F448" s="114" t="s">
        <v>909</v>
      </c>
      <c r="G448" s="114"/>
      <c r="H448" s="114"/>
      <c r="I448" s="114"/>
      <c r="J448" s="114"/>
      <c r="K448" s="114"/>
      <c r="L448" s="114"/>
      <c r="M448" s="114"/>
      <c r="N448" s="114">
        <v>10</v>
      </c>
      <c r="O448" s="180">
        <v>-2147483648</v>
      </c>
      <c r="P448" s="180">
        <v>2147483647</v>
      </c>
      <c r="Q448" s="180">
        <v>0</v>
      </c>
      <c r="R448" s="180"/>
      <c r="S448" s="180"/>
      <c r="T448" s="181" t="s">
        <v>3001</v>
      </c>
      <c r="U448" s="179" t="s">
        <v>3002</v>
      </c>
      <c r="V448" s="179" t="s">
        <v>3003</v>
      </c>
      <c r="W448" s="114" t="s">
        <v>3004</v>
      </c>
      <c r="X448" s="180">
        <v>32</v>
      </c>
      <c r="Y448" s="182" t="s">
        <v>1503</v>
      </c>
      <c r="Z448" s="183" t="s">
        <v>2774</v>
      </c>
      <c r="AA448" s="184"/>
      <c r="AB448" s="182"/>
      <c r="AC448" s="114">
        <v>5</v>
      </c>
      <c r="AD448" s="172" t="s">
        <v>887</v>
      </c>
      <c r="AE448" s="114"/>
      <c r="AF448" s="114"/>
      <c r="AG448" s="114"/>
      <c r="AH448" s="106"/>
      <c r="AI448" s="114"/>
      <c r="AJ448" s="106"/>
      <c r="AK448" s="114"/>
      <c r="AL448" s="106"/>
      <c r="AM448" s="114"/>
      <c r="AN448" s="106"/>
      <c r="AO448" s="114"/>
      <c r="AP448" s="106"/>
      <c r="AQ448" s="114"/>
      <c r="AR448" s="106"/>
      <c r="AS448" s="114"/>
      <c r="AT448" s="106"/>
      <c r="AU448" s="114"/>
      <c r="AV448" s="106"/>
      <c r="AW448" s="114"/>
      <c r="AX448" s="157"/>
      <c r="AY448" s="157"/>
      <c r="AZ448" s="157"/>
      <c r="BA448" s="157"/>
      <c r="BB448" s="157"/>
      <c r="BC448" s="157"/>
    </row>
    <row r="449" spans="1:55" x14ac:dyDescent="0.3">
      <c r="A449" s="114">
        <f t="shared" si="11"/>
        <v>445</v>
      </c>
      <c r="B449" s="179" t="s">
        <v>3005</v>
      </c>
      <c r="C449" s="114">
        <v>0</v>
      </c>
      <c r="D449" s="114" t="s">
        <v>991</v>
      </c>
      <c r="E449" s="114" t="s">
        <v>944</v>
      </c>
      <c r="F449" s="114" t="s">
        <v>909</v>
      </c>
      <c r="G449" s="114"/>
      <c r="H449" s="114"/>
      <c r="I449" s="114"/>
      <c r="J449" s="114"/>
      <c r="K449" s="114"/>
      <c r="L449" s="114"/>
      <c r="M449" s="191" t="s">
        <v>874</v>
      </c>
      <c r="N449" s="114">
        <v>10</v>
      </c>
      <c r="O449" s="180" t="s">
        <v>1181</v>
      </c>
      <c r="P449" s="180" t="s">
        <v>1089</v>
      </c>
      <c r="Q449" s="180" t="s">
        <v>1181</v>
      </c>
      <c r="R449" s="180"/>
      <c r="S449" s="180"/>
      <c r="T449" s="181" t="s">
        <v>3006</v>
      </c>
      <c r="U449" s="179" t="s">
        <v>3007</v>
      </c>
      <c r="V449" s="179" t="s">
        <v>3008</v>
      </c>
      <c r="W449" s="114" t="s">
        <v>3009</v>
      </c>
      <c r="X449" s="180">
        <v>32</v>
      </c>
      <c r="Y449" s="182" t="s">
        <v>1503</v>
      </c>
      <c r="Z449" s="183" t="s">
        <v>2774</v>
      </c>
      <c r="AA449" s="184"/>
      <c r="AB449" s="182"/>
      <c r="AC449" s="114">
        <v>5</v>
      </c>
      <c r="AD449" s="172" t="s">
        <v>887</v>
      </c>
      <c r="AE449" s="114"/>
      <c r="AF449" s="114"/>
      <c r="AG449" s="114"/>
      <c r="AH449" s="106"/>
      <c r="AI449" s="114"/>
      <c r="AJ449" s="106"/>
      <c r="AK449" s="114"/>
      <c r="AL449" s="106"/>
      <c r="AM449" s="114"/>
      <c r="AN449" s="106"/>
      <c r="AO449" s="114"/>
      <c r="AP449" s="106"/>
      <c r="AQ449" s="114"/>
      <c r="AR449" s="106"/>
      <c r="AS449" s="114"/>
      <c r="AT449" s="106"/>
      <c r="AU449" s="114"/>
      <c r="AV449" s="106"/>
      <c r="AW449" s="114"/>
      <c r="AX449" s="157"/>
      <c r="AY449" s="157"/>
      <c r="AZ449" s="157"/>
      <c r="BA449" s="157"/>
      <c r="BB449" s="157"/>
      <c r="BC449" s="157"/>
    </row>
    <row r="450" spans="1:55" x14ac:dyDescent="0.3">
      <c r="A450" s="114">
        <f t="shared" si="11"/>
        <v>446</v>
      </c>
      <c r="B450" s="179" t="s">
        <v>3010</v>
      </c>
      <c r="C450" s="114">
        <v>0</v>
      </c>
      <c r="D450" s="114" t="s">
        <v>991</v>
      </c>
      <c r="E450" s="114" t="s">
        <v>966</v>
      </c>
      <c r="F450" s="114" t="s">
        <v>909</v>
      </c>
      <c r="G450" s="114"/>
      <c r="H450" s="114"/>
      <c r="I450" s="114"/>
      <c r="J450" s="114"/>
      <c r="K450" s="114"/>
      <c r="L450" s="114"/>
      <c r="M450" s="114"/>
      <c r="N450" s="114">
        <v>10</v>
      </c>
      <c r="O450" s="180">
        <v>-2147483648</v>
      </c>
      <c r="P450" s="180">
        <v>2147483647</v>
      </c>
      <c r="Q450" s="180">
        <v>0</v>
      </c>
      <c r="R450" s="180"/>
      <c r="S450" s="180"/>
      <c r="T450" s="181" t="s">
        <v>3011</v>
      </c>
      <c r="U450" s="179" t="s">
        <v>3012</v>
      </c>
      <c r="V450" s="179" t="s">
        <v>3013</v>
      </c>
      <c r="W450" s="114" t="s">
        <v>3014</v>
      </c>
      <c r="X450" s="180">
        <v>32</v>
      </c>
      <c r="Y450" s="182" t="s">
        <v>1503</v>
      </c>
      <c r="Z450" s="183" t="s">
        <v>2774</v>
      </c>
      <c r="AA450" s="184"/>
      <c r="AB450" s="182"/>
      <c r="AC450" s="114">
        <v>5</v>
      </c>
      <c r="AD450" s="172" t="s">
        <v>887</v>
      </c>
      <c r="AE450" s="114"/>
      <c r="AF450" s="114"/>
      <c r="AG450" s="114"/>
      <c r="AH450" s="106"/>
      <c r="AI450" s="114"/>
      <c r="AJ450" s="106"/>
      <c r="AK450" s="114"/>
      <c r="AL450" s="106"/>
      <c r="AM450" s="114"/>
      <c r="AN450" s="106"/>
      <c r="AO450" s="114"/>
      <c r="AP450" s="106"/>
      <c r="AQ450" s="114"/>
      <c r="AR450" s="106"/>
      <c r="AS450" s="114"/>
      <c r="AT450" s="106"/>
      <c r="AU450" s="114"/>
      <c r="AV450" s="106"/>
      <c r="AW450" s="114"/>
      <c r="AX450" s="157"/>
      <c r="AY450" s="157"/>
      <c r="AZ450" s="157"/>
      <c r="BA450" s="157"/>
      <c r="BB450" s="157"/>
      <c r="BC450" s="157"/>
    </row>
    <row r="451" spans="1:55" x14ac:dyDescent="0.3">
      <c r="A451" s="114">
        <f t="shared" si="11"/>
        <v>447</v>
      </c>
      <c r="B451" s="179" t="s">
        <v>3015</v>
      </c>
      <c r="C451" s="114">
        <v>0</v>
      </c>
      <c r="D451" s="114" t="s">
        <v>991</v>
      </c>
      <c r="E451" s="114" t="s">
        <v>944</v>
      </c>
      <c r="F451" s="114" t="s">
        <v>909</v>
      </c>
      <c r="G451" s="114"/>
      <c r="H451" s="114"/>
      <c r="I451" s="114"/>
      <c r="J451" s="114"/>
      <c r="K451" s="114"/>
      <c r="L451" s="114"/>
      <c r="M451" s="191" t="s">
        <v>874</v>
      </c>
      <c r="N451" s="114">
        <v>10</v>
      </c>
      <c r="O451" s="180" t="s">
        <v>1181</v>
      </c>
      <c r="P451" s="180" t="s">
        <v>1089</v>
      </c>
      <c r="Q451" s="180" t="s">
        <v>1181</v>
      </c>
      <c r="R451" s="180"/>
      <c r="S451" s="180"/>
      <c r="T451" s="181" t="s">
        <v>3016</v>
      </c>
      <c r="U451" s="179" t="s">
        <v>3017</v>
      </c>
      <c r="V451" s="179" t="s">
        <v>3018</v>
      </c>
      <c r="W451" s="114" t="s">
        <v>3019</v>
      </c>
      <c r="X451" s="180">
        <v>32</v>
      </c>
      <c r="Y451" s="182" t="s">
        <v>1503</v>
      </c>
      <c r="Z451" s="183" t="s">
        <v>2774</v>
      </c>
      <c r="AA451" s="184"/>
      <c r="AB451" s="182"/>
      <c r="AC451" s="114">
        <v>5</v>
      </c>
      <c r="AD451" s="172" t="s">
        <v>887</v>
      </c>
      <c r="AE451" s="114"/>
      <c r="AF451" s="114"/>
      <c r="AG451" s="114"/>
      <c r="AH451" s="106"/>
      <c r="AI451" s="114"/>
      <c r="AJ451" s="106"/>
      <c r="AK451" s="114"/>
      <c r="AL451" s="106"/>
      <c r="AM451" s="114"/>
      <c r="AN451" s="106"/>
      <c r="AO451" s="114"/>
      <c r="AP451" s="106"/>
      <c r="AQ451" s="114"/>
      <c r="AR451" s="106"/>
      <c r="AS451" s="114"/>
      <c r="AT451" s="106"/>
      <c r="AU451" s="114"/>
      <c r="AV451" s="106"/>
      <c r="AW451" s="114"/>
      <c r="AX451" s="157"/>
      <c r="AY451" s="157"/>
      <c r="AZ451" s="157"/>
      <c r="BA451" s="157"/>
      <c r="BB451" s="157"/>
      <c r="BC451" s="157"/>
    </row>
    <row r="452" spans="1:55" x14ac:dyDescent="0.3">
      <c r="A452" s="114">
        <f t="shared" si="11"/>
        <v>448</v>
      </c>
      <c r="B452" s="179" t="s">
        <v>3020</v>
      </c>
      <c r="C452" s="114">
        <v>0</v>
      </c>
      <c r="D452" s="114" t="s">
        <v>991</v>
      </c>
      <c r="E452" s="114" t="s">
        <v>966</v>
      </c>
      <c r="F452" s="114" t="s">
        <v>909</v>
      </c>
      <c r="G452" s="114"/>
      <c r="H452" s="114"/>
      <c r="I452" s="114"/>
      <c r="J452" s="114"/>
      <c r="K452" s="114"/>
      <c r="L452" s="114"/>
      <c r="M452" s="114"/>
      <c r="N452" s="114">
        <v>10</v>
      </c>
      <c r="O452" s="180">
        <v>-2147483648</v>
      </c>
      <c r="P452" s="180">
        <v>2147483647</v>
      </c>
      <c r="Q452" s="180">
        <v>0</v>
      </c>
      <c r="R452" s="180"/>
      <c r="S452" s="180"/>
      <c r="T452" s="181" t="s">
        <v>3021</v>
      </c>
      <c r="U452" s="179" t="s">
        <v>3022</v>
      </c>
      <c r="V452" s="179" t="s">
        <v>3023</v>
      </c>
      <c r="W452" s="114" t="s">
        <v>3024</v>
      </c>
      <c r="X452" s="180">
        <v>32</v>
      </c>
      <c r="Y452" s="182" t="s">
        <v>1503</v>
      </c>
      <c r="Z452" s="183" t="s">
        <v>2774</v>
      </c>
      <c r="AA452" s="184"/>
      <c r="AB452" s="182"/>
      <c r="AC452" s="114">
        <v>5</v>
      </c>
      <c r="AD452" s="172" t="s">
        <v>887</v>
      </c>
      <c r="AE452" s="114"/>
      <c r="AF452" s="114"/>
      <c r="AG452" s="114"/>
      <c r="AH452" s="106"/>
      <c r="AI452" s="114"/>
      <c r="AJ452" s="106"/>
      <c r="AK452" s="114"/>
      <c r="AL452" s="106"/>
      <c r="AM452" s="114"/>
      <c r="AN452" s="106"/>
      <c r="AO452" s="114"/>
      <c r="AP452" s="106"/>
      <c r="AQ452" s="114"/>
      <c r="AR452" s="106"/>
      <c r="AS452" s="114"/>
      <c r="AT452" s="106"/>
      <c r="AU452" s="114"/>
      <c r="AV452" s="106"/>
      <c r="AW452" s="114"/>
      <c r="AX452" s="157"/>
      <c r="AY452" s="157"/>
      <c r="AZ452" s="157"/>
      <c r="BA452" s="157"/>
      <c r="BB452" s="157"/>
      <c r="BC452" s="157"/>
    </row>
    <row r="453" spans="1:55" x14ac:dyDescent="0.3">
      <c r="A453" s="114">
        <f t="shared" si="11"/>
        <v>449</v>
      </c>
      <c r="B453" s="179" t="s">
        <v>3025</v>
      </c>
      <c r="C453" s="114">
        <v>0</v>
      </c>
      <c r="D453" s="114" t="s">
        <v>991</v>
      </c>
      <c r="E453" s="114" t="s">
        <v>944</v>
      </c>
      <c r="F453" s="114" t="s">
        <v>909</v>
      </c>
      <c r="G453" s="114"/>
      <c r="H453" s="114"/>
      <c r="I453" s="114"/>
      <c r="J453" s="114"/>
      <c r="K453" s="114"/>
      <c r="L453" s="114"/>
      <c r="M453" s="191" t="s">
        <v>874</v>
      </c>
      <c r="N453" s="114">
        <v>10</v>
      </c>
      <c r="O453" s="180" t="s">
        <v>1181</v>
      </c>
      <c r="P453" s="180" t="s">
        <v>1089</v>
      </c>
      <c r="Q453" s="180" t="s">
        <v>1181</v>
      </c>
      <c r="R453" s="180"/>
      <c r="S453" s="180"/>
      <c r="T453" s="181" t="s">
        <v>3026</v>
      </c>
      <c r="U453" s="179" t="s">
        <v>3027</v>
      </c>
      <c r="V453" s="179" t="s">
        <v>3028</v>
      </c>
      <c r="W453" s="114" t="s">
        <v>3029</v>
      </c>
      <c r="X453" s="180">
        <v>32</v>
      </c>
      <c r="Y453" s="182" t="s">
        <v>1503</v>
      </c>
      <c r="Z453" s="183" t="s">
        <v>2774</v>
      </c>
      <c r="AA453" s="184"/>
      <c r="AB453" s="182"/>
      <c r="AC453" s="114">
        <v>5</v>
      </c>
      <c r="AD453" s="172" t="s">
        <v>887</v>
      </c>
      <c r="AE453" s="114"/>
      <c r="AF453" s="114"/>
      <c r="AG453" s="114"/>
      <c r="AH453" s="106"/>
      <c r="AI453" s="114"/>
      <c r="AJ453" s="106"/>
      <c r="AK453" s="114"/>
      <c r="AL453" s="106"/>
      <c r="AM453" s="114"/>
      <c r="AN453" s="106"/>
      <c r="AO453" s="114"/>
      <c r="AP453" s="106"/>
      <c r="AQ453" s="114"/>
      <c r="AR453" s="106"/>
      <c r="AS453" s="114"/>
      <c r="AT453" s="106"/>
      <c r="AU453" s="114"/>
      <c r="AV453" s="106"/>
      <c r="AW453" s="114"/>
      <c r="AX453" s="157"/>
      <c r="AY453" s="157"/>
      <c r="AZ453" s="157"/>
      <c r="BA453" s="157"/>
      <c r="BB453" s="157"/>
      <c r="BC453" s="157"/>
    </row>
    <row r="454" spans="1:55" x14ac:dyDescent="0.3">
      <c r="A454" s="114">
        <f t="shared" si="11"/>
        <v>450</v>
      </c>
      <c r="B454" s="179" t="s">
        <v>3030</v>
      </c>
      <c r="C454" s="114">
        <v>0</v>
      </c>
      <c r="D454" s="114" t="s">
        <v>991</v>
      </c>
      <c r="E454" s="114" t="s">
        <v>966</v>
      </c>
      <c r="F454" s="114" t="s">
        <v>909</v>
      </c>
      <c r="G454" s="114"/>
      <c r="H454" s="114"/>
      <c r="I454" s="114"/>
      <c r="J454" s="114"/>
      <c r="K454" s="114"/>
      <c r="L454" s="114"/>
      <c r="M454" s="114"/>
      <c r="N454" s="114">
        <v>10</v>
      </c>
      <c r="O454" s="180">
        <v>-2147483648</v>
      </c>
      <c r="P454" s="180">
        <v>2147483647</v>
      </c>
      <c r="Q454" s="180">
        <v>0</v>
      </c>
      <c r="R454" s="180"/>
      <c r="S454" s="180"/>
      <c r="T454" s="181" t="s">
        <v>3031</v>
      </c>
      <c r="U454" s="179" t="s">
        <v>3032</v>
      </c>
      <c r="V454" s="179" t="s">
        <v>3033</v>
      </c>
      <c r="W454" s="114" t="s">
        <v>3034</v>
      </c>
      <c r="X454" s="180">
        <v>32</v>
      </c>
      <c r="Y454" s="182" t="s">
        <v>1503</v>
      </c>
      <c r="Z454" s="183" t="s">
        <v>2774</v>
      </c>
      <c r="AA454" s="184"/>
      <c r="AB454" s="182"/>
      <c r="AC454" s="114">
        <v>5</v>
      </c>
      <c r="AD454" s="172" t="s">
        <v>887</v>
      </c>
      <c r="AE454" s="114"/>
      <c r="AF454" s="114"/>
      <c r="AG454" s="114"/>
      <c r="AH454" s="106"/>
      <c r="AI454" s="114"/>
      <c r="AJ454" s="106"/>
      <c r="AK454" s="114"/>
      <c r="AL454" s="106"/>
      <c r="AM454" s="114"/>
      <c r="AN454" s="106"/>
      <c r="AO454" s="114"/>
      <c r="AP454" s="106"/>
      <c r="AQ454" s="114"/>
      <c r="AR454" s="106"/>
      <c r="AS454" s="114"/>
      <c r="AT454" s="106"/>
      <c r="AU454" s="114"/>
      <c r="AV454" s="106"/>
      <c r="AW454" s="114"/>
      <c r="AX454" s="157"/>
      <c r="AY454" s="157"/>
      <c r="AZ454" s="157"/>
      <c r="BA454" s="157"/>
      <c r="BB454" s="157"/>
      <c r="BC454" s="157"/>
    </row>
    <row r="455" spans="1:55" x14ac:dyDescent="0.3">
      <c r="A455" s="114">
        <f t="shared" si="11"/>
        <v>451</v>
      </c>
      <c r="B455" s="179" t="s">
        <v>3035</v>
      </c>
      <c r="C455" s="114">
        <v>0</v>
      </c>
      <c r="D455" s="114" t="s">
        <v>991</v>
      </c>
      <c r="E455" s="114" t="s">
        <v>944</v>
      </c>
      <c r="F455" s="114" t="s">
        <v>909</v>
      </c>
      <c r="G455" s="114"/>
      <c r="H455" s="114"/>
      <c r="I455" s="114"/>
      <c r="J455" s="114"/>
      <c r="K455" s="114"/>
      <c r="L455" s="114"/>
      <c r="M455" s="191" t="s">
        <v>874</v>
      </c>
      <c r="N455" s="114">
        <v>10</v>
      </c>
      <c r="O455" s="180" t="s">
        <v>1181</v>
      </c>
      <c r="P455" s="180" t="s">
        <v>1089</v>
      </c>
      <c r="Q455" s="180" t="s">
        <v>1181</v>
      </c>
      <c r="R455" s="180"/>
      <c r="S455" s="180"/>
      <c r="T455" s="181" t="s">
        <v>3036</v>
      </c>
      <c r="U455" s="179" t="s">
        <v>3037</v>
      </c>
      <c r="V455" s="179" t="s">
        <v>3038</v>
      </c>
      <c r="W455" s="114" t="s">
        <v>3039</v>
      </c>
      <c r="X455" s="180">
        <v>32</v>
      </c>
      <c r="Y455" s="182" t="s">
        <v>1503</v>
      </c>
      <c r="Z455" s="183" t="s">
        <v>2774</v>
      </c>
      <c r="AA455" s="184"/>
      <c r="AB455" s="182"/>
      <c r="AC455" s="114">
        <v>5</v>
      </c>
      <c r="AD455" s="172" t="s">
        <v>887</v>
      </c>
      <c r="AE455" s="114"/>
      <c r="AF455" s="114"/>
      <c r="AG455" s="114"/>
      <c r="AH455" s="106"/>
      <c r="AI455" s="114"/>
      <c r="AJ455" s="106"/>
      <c r="AK455" s="114"/>
      <c r="AL455" s="106"/>
      <c r="AM455" s="114"/>
      <c r="AN455" s="106"/>
      <c r="AO455" s="114"/>
      <c r="AP455" s="106"/>
      <c r="AQ455" s="114"/>
      <c r="AR455" s="106"/>
      <c r="AS455" s="114"/>
      <c r="AT455" s="106"/>
      <c r="AU455" s="114"/>
      <c r="AV455" s="106"/>
      <c r="AW455" s="114"/>
      <c r="AX455" s="157"/>
      <c r="AY455" s="157"/>
      <c r="AZ455" s="157"/>
      <c r="BA455" s="157"/>
      <c r="BB455" s="157"/>
      <c r="BC455" s="157"/>
    </row>
    <row r="456" spans="1:55" x14ac:dyDescent="0.3">
      <c r="A456" s="114">
        <f t="shared" si="11"/>
        <v>452</v>
      </c>
      <c r="B456" s="179" t="s">
        <v>3040</v>
      </c>
      <c r="C456" s="114">
        <v>0</v>
      </c>
      <c r="D456" s="114" t="s">
        <v>991</v>
      </c>
      <c r="E456" s="114" t="s">
        <v>966</v>
      </c>
      <c r="F456" s="114" t="s">
        <v>909</v>
      </c>
      <c r="G456" s="114"/>
      <c r="H456" s="114"/>
      <c r="I456" s="114"/>
      <c r="J456" s="114"/>
      <c r="K456" s="114"/>
      <c r="L456" s="114"/>
      <c r="M456" s="114"/>
      <c r="N456" s="114">
        <v>10</v>
      </c>
      <c r="O456" s="180">
        <v>-2147483648</v>
      </c>
      <c r="P456" s="180">
        <v>2147483647</v>
      </c>
      <c r="Q456" s="180">
        <v>0</v>
      </c>
      <c r="R456" s="180"/>
      <c r="S456" s="180"/>
      <c r="T456" s="181" t="s">
        <v>3041</v>
      </c>
      <c r="U456" s="179" t="s">
        <v>3042</v>
      </c>
      <c r="V456" s="179" t="s">
        <v>3043</v>
      </c>
      <c r="W456" s="114" t="s">
        <v>3044</v>
      </c>
      <c r="X456" s="180">
        <v>32</v>
      </c>
      <c r="Y456" s="182" t="s">
        <v>1503</v>
      </c>
      <c r="Z456" s="183" t="s">
        <v>2774</v>
      </c>
      <c r="AA456" s="184"/>
      <c r="AB456" s="182"/>
      <c r="AC456" s="114">
        <v>5</v>
      </c>
      <c r="AD456" s="172" t="s">
        <v>887</v>
      </c>
      <c r="AE456" s="114"/>
      <c r="AF456" s="114"/>
      <c r="AG456" s="114"/>
      <c r="AH456" s="106"/>
      <c r="AI456" s="114"/>
      <c r="AJ456" s="106"/>
      <c r="AK456" s="114"/>
      <c r="AL456" s="106"/>
      <c r="AM456" s="114"/>
      <c r="AN456" s="106"/>
      <c r="AO456" s="114"/>
      <c r="AP456" s="106"/>
      <c r="AQ456" s="114"/>
      <c r="AR456" s="106"/>
      <c r="AS456" s="114"/>
      <c r="AT456" s="106"/>
      <c r="AU456" s="114"/>
      <c r="AV456" s="106"/>
      <c r="AW456" s="114"/>
      <c r="AX456" s="157"/>
      <c r="AY456" s="157"/>
      <c r="AZ456" s="157"/>
      <c r="BA456" s="157"/>
      <c r="BB456" s="157"/>
      <c r="BC456" s="157"/>
    </row>
    <row r="457" spans="1:55" x14ac:dyDescent="0.3">
      <c r="A457" s="114">
        <f t="shared" si="11"/>
        <v>453</v>
      </c>
      <c r="B457" s="179" t="s">
        <v>3045</v>
      </c>
      <c r="C457" s="114">
        <v>0</v>
      </c>
      <c r="D457" s="114" t="s">
        <v>991</v>
      </c>
      <c r="E457" s="114" t="s">
        <v>944</v>
      </c>
      <c r="F457" s="114" t="s">
        <v>909</v>
      </c>
      <c r="G457" s="114"/>
      <c r="H457" s="114"/>
      <c r="I457" s="114"/>
      <c r="J457" s="114"/>
      <c r="K457" s="114"/>
      <c r="L457" s="114"/>
      <c r="M457" s="191" t="s">
        <v>874</v>
      </c>
      <c r="N457" s="114">
        <v>10</v>
      </c>
      <c r="O457" s="180" t="s">
        <v>1181</v>
      </c>
      <c r="P457" s="180" t="s">
        <v>1089</v>
      </c>
      <c r="Q457" s="180" t="s">
        <v>1181</v>
      </c>
      <c r="R457" s="180"/>
      <c r="S457" s="180"/>
      <c r="T457" s="181" t="s">
        <v>3046</v>
      </c>
      <c r="U457" s="179" t="s">
        <v>3047</v>
      </c>
      <c r="V457" s="179" t="s">
        <v>3048</v>
      </c>
      <c r="W457" s="114" t="s">
        <v>3049</v>
      </c>
      <c r="X457" s="180">
        <v>32</v>
      </c>
      <c r="Y457" s="182" t="s">
        <v>1503</v>
      </c>
      <c r="Z457" s="183" t="s">
        <v>2774</v>
      </c>
      <c r="AA457" s="184"/>
      <c r="AB457" s="182"/>
      <c r="AC457" s="114">
        <v>5</v>
      </c>
      <c r="AD457" s="172" t="s">
        <v>887</v>
      </c>
      <c r="AE457" s="114"/>
      <c r="AF457" s="114"/>
      <c r="AG457" s="114"/>
      <c r="AH457" s="106"/>
      <c r="AI457" s="114"/>
      <c r="AJ457" s="106"/>
      <c r="AK457" s="114"/>
      <c r="AL457" s="106"/>
      <c r="AM457" s="114"/>
      <c r="AN457" s="106"/>
      <c r="AO457" s="114"/>
      <c r="AP457" s="106"/>
      <c r="AQ457" s="114"/>
      <c r="AR457" s="106"/>
      <c r="AS457" s="114"/>
      <c r="AT457" s="106"/>
      <c r="AU457" s="114"/>
      <c r="AV457" s="106"/>
      <c r="AW457" s="114"/>
      <c r="AX457" s="157"/>
      <c r="AY457" s="157"/>
      <c r="AZ457" s="157"/>
      <c r="BA457" s="157"/>
      <c r="BB457" s="157"/>
      <c r="BC457" s="157"/>
    </row>
    <row r="458" spans="1:55" x14ac:dyDescent="0.3">
      <c r="A458" s="114">
        <f t="shared" si="11"/>
        <v>454</v>
      </c>
      <c r="B458" s="179" t="s">
        <v>3050</v>
      </c>
      <c r="C458" s="114">
        <v>0</v>
      </c>
      <c r="D458" s="114" t="s">
        <v>991</v>
      </c>
      <c r="E458" s="114" t="s">
        <v>966</v>
      </c>
      <c r="F458" s="114" t="s">
        <v>909</v>
      </c>
      <c r="G458" s="114"/>
      <c r="H458" s="114"/>
      <c r="I458" s="114"/>
      <c r="J458" s="114"/>
      <c r="K458" s="114"/>
      <c r="L458" s="114"/>
      <c r="M458" s="114"/>
      <c r="N458" s="114">
        <v>10</v>
      </c>
      <c r="O458" s="180">
        <v>-2147483648</v>
      </c>
      <c r="P458" s="180">
        <v>2147483647</v>
      </c>
      <c r="Q458" s="180">
        <v>0</v>
      </c>
      <c r="R458" s="180"/>
      <c r="S458" s="180"/>
      <c r="T458" s="181" t="s">
        <v>3051</v>
      </c>
      <c r="U458" s="179" t="s">
        <v>3052</v>
      </c>
      <c r="V458" s="179" t="s">
        <v>3053</v>
      </c>
      <c r="W458" s="114" t="s">
        <v>3054</v>
      </c>
      <c r="X458" s="180">
        <v>32</v>
      </c>
      <c r="Y458" s="182" t="s">
        <v>1503</v>
      </c>
      <c r="Z458" s="183" t="s">
        <v>2774</v>
      </c>
      <c r="AA458" s="184"/>
      <c r="AB458" s="182"/>
      <c r="AC458" s="114">
        <v>5</v>
      </c>
      <c r="AD458" s="172" t="s">
        <v>887</v>
      </c>
      <c r="AE458" s="114"/>
      <c r="AF458" s="114"/>
      <c r="AG458" s="114"/>
      <c r="AH458" s="106"/>
      <c r="AI458" s="114"/>
      <c r="AJ458" s="106"/>
      <c r="AK458" s="114"/>
      <c r="AL458" s="106"/>
      <c r="AM458" s="114"/>
      <c r="AN458" s="106"/>
      <c r="AO458" s="114"/>
      <c r="AP458" s="106"/>
      <c r="AQ458" s="114"/>
      <c r="AR458" s="106"/>
      <c r="AS458" s="114"/>
      <c r="AT458" s="106"/>
      <c r="AU458" s="114"/>
      <c r="AV458" s="106"/>
      <c r="AW458" s="114"/>
      <c r="AX458" s="157"/>
      <c r="AY458" s="157"/>
      <c r="AZ458" s="157"/>
      <c r="BA458" s="157"/>
      <c r="BB458" s="157"/>
      <c r="BC458" s="157"/>
    </row>
    <row r="459" spans="1:55" x14ac:dyDescent="0.3">
      <c r="A459" s="114">
        <f t="shared" si="11"/>
        <v>455</v>
      </c>
      <c r="B459" s="179" t="s">
        <v>3055</v>
      </c>
      <c r="C459" s="114">
        <v>0</v>
      </c>
      <c r="D459" s="114" t="s">
        <v>991</v>
      </c>
      <c r="E459" s="114" t="s">
        <v>944</v>
      </c>
      <c r="F459" s="114" t="s">
        <v>909</v>
      </c>
      <c r="G459" s="114"/>
      <c r="H459" s="114"/>
      <c r="I459" s="114"/>
      <c r="J459" s="114"/>
      <c r="K459" s="114"/>
      <c r="L459" s="114"/>
      <c r="M459" s="191" t="s">
        <v>874</v>
      </c>
      <c r="N459" s="114">
        <v>10</v>
      </c>
      <c r="O459" s="180" t="s">
        <v>1181</v>
      </c>
      <c r="P459" s="180" t="s">
        <v>1089</v>
      </c>
      <c r="Q459" s="180" t="s">
        <v>1181</v>
      </c>
      <c r="R459" s="180"/>
      <c r="S459" s="180"/>
      <c r="T459" s="181" t="s">
        <v>3056</v>
      </c>
      <c r="U459" s="179" t="s">
        <v>3057</v>
      </c>
      <c r="V459" s="179" t="s">
        <v>3058</v>
      </c>
      <c r="W459" s="114" t="s">
        <v>3059</v>
      </c>
      <c r="X459" s="180">
        <v>32</v>
      </c>
      <c r="Y459" s="182" t="s">
        <v>1503</v>
      </c>
      <c r="Z459" s="183" t="s">
        <v>2774</v>
      </c>
      <c r="AA459" s="184"/>
      <c r="AB459" s="182"/>
      <c r="AC459" s="114">
        <v>5</v>
      </c>
      <c r="AD459" s="172" t="s">
        <v>887</v>
      </c>
      <c r="AE459" s="114"/>
      <c r="AF459" s="114"/>
      <c r="AG459" s="114"/>
      <c r="AH459" s="106"/>
      <c r="AI459" s="114"/>
      <c r="AJ459" s="106"/>
      <c r="AK459" s="114"/>
      <c r="AL459" s="106"/>
      <c r="AM459" s="114"/>
      <c r="AN459" s="106"/>
      <c r="AO459" s="114"/>
      <c r="AP459" s="106"/>
      <c r="AQ459" s="114"/>
      <c r="AR459" s="106"/>
      <c r="AS459" s="114"/>
      <c r="AT459" s="106"/>
      <c r="AU459" s="114"/>
      <c r="AV459" s="106"/>
      <c r="AW459" s="114"/>
      <c r="AX459" s="157"/>
      <c r="AY459" s="157"/>
      <c r="AZ459" s="157"/>
      <c r="BA459" s="157"/>
      <c r="BB459" s="157"/>
      <c r="BC459" s="157"/>
    </row>
    <row r="460" spans="1:55" x14ac:dyDescent="0.3">
      <c r="A460" s="114">
        <f>A459+1</f>
        <v>456</v>
      </c>
      <c r="B460" s="179" t="s">
        <v>3060</v>
      </c>
      <c r="C460" s="114">
        <v>0</v>
      </c>
      <c r="D460" s="114" t="s">
        <v>991</v>
      </c>
      <c r="E460" s="114" t="s">
        <v>966</v>
      </c>
      <c r="F460" s="114" t="s">
        <v>909</v>
      </c>
      <c r="G460" s="114"/>
      <c r="H460" s="114"/>
      <c r="I460" s="114"/>
      <c r="J460" s="114"/>
      <c r="K460" s="114"/>
      <c r="L460" s="114"/>
      <c r="M460" s="114"/>
      <c r="N460" s="114">
        <v>10</v>
      </c>
      <c r="O460" s="180">
        <v>-2147483648</v>
      </c>
      <c r="P460" s="180">
        <v>2147483647</v>
      </c>
      <c r="Q460" s="180">
        <v>0</v>
      </c>
      <c r="R460" s="180"/>
      <c r="S460" s="180"/>
      <c r="T460" s="181" t="s">
        <v>3061</v>
      </c>
      <c r="U460" s="179" t="s">
        <v>3062</v>
      </c>
      <c r="V460" s="179" t="s">
        <v>3063</v>
      </c>
      <c r="W460" s="114" t="s">
        <v>3064</v>
      </c>
      <c r="X460" s="180">
        <v>32</v>
      </c>
      <c r="Y460" s="182" t="s">
        <v>1503</v>
      </c>
      <c r="Z460" s="183" t="s">
        <v>2774</v>
      </c>
      <c r="AA460" s="184"/>
      <c r="AB460" s="182"/>
      <c r="AC460" s="114">
        <v>5</v>
      </c>
      <c r="AD460" s="172" t="s">
        <v>887</v>
      </c>
      <c r="AE460" s="114"/>
      <c r="AF460" s="114"/>
      <c r="AG460" s="114"/>
      <c r="AH460" s="106"/>
      <c r="AI460" s="114"/>
      <c r="AJ460" s="106"/>
      <c r="AK460" s="114"/>
      <c r="AL460" s="106"/>
      <c r="AM460" s="114"/>
      <c r="AN460" s="106"/>
      <c r="AO460" s="114"/>
      <c r="AP460" s="106"/>
      <c r="AQ460" s="114"/>
      <c r="AR460" s="106"/>
      <c r="AS460" s="114"/>
      <c r="AT460" s="106"/>
      <c r="AU460" s="114"/>
      <c r="AV460" s="106"/>
      <c r="AW460" s="114"/>
      <c r="AX460" s="157"/>
      <c r="AY460" s="157"/>
      <c r="AZ460" s="157"/>
      <c r="BA460" s="157"/>
      <c r="BB460" s="157"/>
      <c r="BC460" s="157"/>
    </row>
    <row r="461" spans="1:55" x14ac:dyDescent="0.3">
      <c r="A461" s="114">
        <f t="shared" ref="A461:A476" si="12">A460+1</f>
        <v>457</v>
      </c>
      <c r="B461" s="179" t="s">
        <v>3065</v>
      </c>
      <c r="C461" s="114">
        <v>0</v>
      </c>
      <c r="D461" s="114" t="s">
        <v>991</v>
      </c>
      <c r="E461" s="114" t="s">
        <v>944</v>
      </c>
      <c r="F461" s="114" t="s">
        <v>909</v>
      </c>
      <c r="G461" s="114"/>
      <c r="H461" s="114"/>
      <c r="I461" s="114"/>
      <c r="J461" s="114"/>
      <c r="K461" s="114"/>
      <c r="L461" s="114"/>
      <c r="M461" s="191" t="s">
        <v>874</v>
      </c>
      <c r="N461" s="114">
        <v>10</v>
      </c>
      <c r="O461" s="180" t="s">
        <v>1181</v>
      </c>
      <c r="P461" s="180" t="s">
        <v>1089</v>
      </c>
      <c r="Q461" s="180" t="s">
        <v>1181</v>
      </c>
      <c r="R461" s="180"/>
      <c r="S461" s="180"/>
      <c r="T461" s="181" t="s">
        <v>3066</v>
      </c>
      <c r="U461" s="179" t="s">
        <v>3067</v>
      </c>
      <c r="V461" s="179" t="s">
        <v>3068</v>
      </c>
      <c r="W461" s="114" t="s">
        <v>3069</v>
      </c>
      <c r="X461" s="180">
        <v>32</v>
      </c>
      <c r="Y461" s="182" t="s">
        <v>1503</v>
      </c>
      <c r="Z461" s="183" t="s">
        <v>2774</v>
      </c>
      <c r="AA461" s="184"/>
      <c r="AB461" s="182"/>
      <c r="AC461" s="114">
        <v>5</v>
      </c>
      <c r="AD461" s="172" t="s">
        <v>887</v>
      </c>
      <c r="AE461" s="114"/>
      <c r="AF461" s="114"/>
      <c r="AG461" s="114"/>
      <c r="AH461" s="106"/>
      <c r="AI461" s="114"/>
      <c r="AJ461" s="106"/>
      <c r="AK461" s="114"/>
      <c r="AL461" s="106"/>
      <c r="AM461" s="114"/>
      <c r="AN461" s="106"/>
      <c r="AO461" s="114"/>
      <c r="AP461" s="106"/>
      <c r="AQ461" s="114"/>
      <c r="AR461" s="106"/>
      <c r="AS461" s="114"/>
      <c r="AT461" s="106"/>
      <c r="AU461" s="114"/>
      <c r="AV461" s="106"/>
      <c r="AW461" s="114"/>
      <c r="AX461" s="157"/>
      <c r="AY461" s="157"/>
      <c r="AZ461" s="157"/>
      <c r="BA461" s="157"/>
      <c r="BB461" s="157"/>
      <c r="BC461" s="157"/>
    </row>
    <row r="462" spans="1:55" x14ac:dyDescent="0.3">
      <c r="A462" s="114">
        <f t="shared" si="12"/>
        <v>458</v>
      </c>
      <c r="B462" s="179" t="s">
        <v>3070</v>
      </c>
      <c r="C462" s="114">
        <v>0</v>
      </c>
      <c r="D462" s="114" t="s">
        <v>991</v>
      </c>
      <c r="E462" s="114" t="s">
        <v>966</v>
      </c>
      <c r="F462" s="114" t="s">
        <v>909</v>
      </c>
      <c r="G462" s="114"/>
      <c r="H462" s="114"/>
      <c r="I462" s="114"/>
      <c r="J462" s="114"/>
      <c r="K462" s="114"/>
      <c r="L462" s="114"/>
      <c r="M462" s="114"/>
      <c r="N462" s="114">
        <v>10</v>
      </c>
      <c r="O462" s="180">
        <v>-2147483648</v>
      </c>
      <c r="P462" s="180">
        <v>2147483647</v>
      </c>
      <c r="Q462" s="180">
        <v>0</v>
      </c>
      <c r="R462" s="180"/>
      <c r="S462" s="180"/>
      <c r="T462" s="181" t="s">
        <v>3071</v>
      </c>
      <c r="U462" s="179" t="s">
        <v>3072</v>
      </c>
      <c r="V462" s="179" t="s">
        <v>3073</v>
      </c>
      <c r="W462" s="114" t="s">
        <v>3074</v>
      </c>
      <c r="X462" s="180">
        <v>32</v>
      </c>
      <c r="Y462" s="182" t="s">
        <v>1503</v>
      </c>
      <c r="Z462" s="183" t="s">
        <v>2774</v>
      </c>
      <c r="AA462" s="184"/>
      <c r="AB462" s="182"/>
      <c r="AC462" s="114">
        <v>5</v>
      </c>
      <c r="AD462" s="172" t="s">
        <v>887</v>
      </c>
      <c r="AE462" s="114"/>
      <c r="AF462" s="114"/>
      <c r="AG462" s="114"/>
      <c r="AH462" s="106"/>
      <c r="AI462" s="114"/>
      <c r="AJ462" s="106"/>
      <c r="AK462" s="114"/>
      <c r="AL462" s="106"/>
      <c r="AM462" s="114"/>
      <c r="AN462" s="106"/>
      <c r="AO462" s="114"/>
      <c r="AP462" s="106"/>
      <c r="AQ462" s="114"/>
      <c r="AR462" s="106"/>
      <c r="AS462" s="114"/>
      <c r="AT462" s="106"/>
      <c r="AU462" s="114"/>
      <c r="AV462" s="106"/>
      <c r="AW462" s="114"/>
      <c r="AX462" s="157"/>
      <c r="AY462" s="157"/>
      <c r="AZ462" s="157"/>
      <c r="BA462" s="157"/>
      <c r="BB462" s="157"/>
      <c r="BC462" s="157"/>
    </row>
    <row r="463" spans="1:55" x14ac:dyDescent="0.3">
      <c r="A463" s="114">
        <f t="shared" si="12"/>
        <v>459</v>
      </c>
      <c r="B463" s="179" t="s">
        <v>3075</v>
      </c>
      <c r="C463" s="114">
        <v>0</v>
      </c>
      <c r="D463" s="114" t="s">
        <v>991</v>
      </c>
      <c r="E463" s="114" t="s">
        <v>944</v>
      </c>
      <c r="F463" s="114" t="s">
        <v>909</v>
      </c>
      <c r="G463" s="114"/>
      <c r="H463" s="114"/>
      <c r="I463" s="114"/>
      <c r="J463" s="114"/>
      <c r="K463" s="114"/>
      <c r="L463" s="114"/>
      <c r="M463" s="191" t="s">
        <v>874</v>
      </c>
      <c r="N463" s="114">
        <v>10</v>
      </c>
      <c r="O463" s="180" t="s">
        <v>1181</v>
      </c>
      <c r="P463" s="180" t="s">
        <v>1089</v>
      </c>
      <c r="Q463" s="180" t="s">
        <v>1181</v>
      </c>
      <c r="R463" s="180"/>
      <c r="S463" s="180"/>
      <c r="T463" s="181" t="s">
        <v>3076</v>
      </c>
      <c r="U463" s="179" t="s">
        <v>3077</v>
      </c>
      <c r="V463" s="179" t="s">
        <v>3078</v>
      </c>
      <c r="W463" s="114" t="s">
        <v>3079</v>
      </c>
      <c r="X463" s="180">
        <v>32</v>
      </c>
      <c r="Y463" s="182" t="s">
        <v>1503</v>
      </c>
      <c r="Z463" s="183" t="s">
        <v>2774</v>
      </c>
      <c r="AA463" s="184"/>
      <c r="AB463" s="182"/>
      <c r="AC463" s="114">
        <v>5</v>
      </c>
      <c r="AD463" s="172" t="s">
        <v>887</v>
      </c>
      <c r="AE463" s="114"/>
      <c r="AF463" s="114"/>
      <c r="AG463" s="114"/>
      <c r="AH463" s="106"/>
      <c r="AI463" s="114"/>
      <c r="AJ463" s="106"/>
      <c r="AK463" s="114"/>
      <c r="AL463" s="106"/>
      <c r="AM463" s="114"/>
      <c r="AN463" s="106"/>
      <c r="AO463" s="114"/>
      <c r="AP463" s="106"/>
      <c r="AQ463" s="114"/>
      <c r="AR463" s="106"/>
      <c r="AS463" s="114"/>
      <c r="AT463" s="106"/>
      <c r="AU463" s="114"/>
      <c r="AV463" s="106"/>
      <c r="AW463" s="114"/>
      <c r="AX463" s="157"/>
      <c r="AY463" s="157"/>
      <c r="AZ463" s="157"/>
      <c r="BA463" s="157"/>
      <c r="BB463" s="157"/>
      <c r="BC463" s="157"/>
    </row>
    <row r="464" spans="1:55" x14ac:dyDescent="0.3">
      <c r="A464" s="114">
        <f t="shared" si="12"/>
        <v>460</v>
      </c>
      <c r="B464" s="179" t="s">
        <v>3080</v>
      </c>
      <c r="C464" s="114">
        <v>0</v>
      </c>
      <c r="D464" s="114" t="s">
        <v>991</v>
      </c>
      <c r="E464" s="114" t="s">
        <v>966</v>
      </c>
      <c r="F464" s="114" t="s">
        <v>909</v>
      </c>
      <c r="G464" s="114"/>
      <c r="H464" s="114"/>
      <c r="I464" s="114"/>
      <c r="J464" s="114"/>
      <c r="K464" s="114"/>
      <c r="L464" s="114"/>
      <c r="M464" s="114"/>
      <c r="N464" s="114">
        <v>10</v>
      </c>
      <c r="O464" s="180">
        <v>-2147483648</v>
      </c>
      <c r="P464" s="180">
        <v>2147483647</v>
      </c>
      <c r="Q464" s="180">
        <v>0</v>
      </c>
      <c r="R464" s="180"/>
      <c r="S464" s="180"/>
      <c r="T464" s="181" t="s">
        <v>3081</v>
      </c>
      <c r="U464" s="179" t="s">
        <v>3082</v>
      </c>
      <c r="V464" s="179" t="s">
        <v>3083</v>
      </c>
      <c r="W464" s="114" t="s">
        <v>3084</v>
      </c>
      <c r="X464" s="180">
        <v>32</v>
      </c>
      <c r="Y464" s="182" t="s">
        <v>1503</v>
      </c>
      <c r="Z464" s="183" t="s">
        <v>2774</v>
      </c>
      <c r="AA464" s="184"/>
      <c r="AB464" s="182"/>
      <c r="AC464" s="114">
        <v>5</v>
      </c>
      <c r="AD464" s="172" t="s">
        <v>887</v>
      </c>
      <c r="AE464" s="114"/>
      <c r="AF464" s="114"/>
      <c r="AG464" s="114"/>
      <c r="AH464" s="106"/>
      <c r="AI464" s="114"/>
      <c r="AJ464" s="106"/>
      <c r="AK464" s="114"/>
      <c r="AL464" s="106"/>
      <c r="AM464" s="114"/>
      <c r="AN464" s="106"/>
      <c r="AO464" s="114"/>
      <c r="AP464" s="106"/>
      <c r="AQ464" s="114"/>
      <c r="AR464" s="106"/>
      <c r="AS464" s="114"/>
      <c r="AT464" s="106"/>
      <c r="AU464" s="114"/>
      <c r="AV464" s="106"/>
      <c r="AW464" s="114"/>
      <c r="AX464" s="157"/>
      <c r="AY464" s="157"/>
      <c r="AZ464" s="157"/>
      <c r="BA464" s="157"/>
      <c r="BB464" s="157"/>
      <c r="BC464" s="157"/>
    </row>
    <row r="465" spans="1:55" x14ac:dyDescent="0.3">
      <c r="A465" s="114">
        <f t="shared" si="12"/>
        <v>461</v>
      </c>
      <c r="B465" s="179" t="s">
        <v>3085</v>
      </c>
      <c r="C465" s="114">
        <v>0</v>
      </c>
      <c r="D465" s="114" t="s">
        <v>991</v>
      </c>
      <c r="E465" s="114" t="s">
        <v>944</v>
      </c>
      <c r="F465" s="114" t="s">
        <v>909</v>
      </c>
      <c r="G465" s="114"/>
      <c r="H465" s="114"/>
      <c r="I465" s="114"/>
      <c r="J465" s="114"/>
      <c r="K465" s="114"/>
      <c r="L465" s="114"/>
      <c r="M465" s="191" t="s">
        <v>874</v>
      </c>
      <c r="N465" s="114">
        <v>10</v>
      </c>
      <c r="O465" s="180" t="s">
        <v>1181</v>
      </c>
      <c r="P465" s="180" t="s">
        <v>1089</v>
      </c>
      <c r="Q465" s="180" t="s">
        <v>1181</v>
      </c>
      <c r="R465" s="180"/>
      <c r="S465" s="180"/>
      <c r="T465" s="181" t="s">
        <v>3086</v>
      </c>
      <c r="U465" s="179" t="s">
        <v>3087</v>
      </c>
      <c r="V465" s="179" t="s">
        <v>3088</v>
      </c>
      <c r="W465" s="114" t="s">
        <v>3089</v>
      </c>
      <c r="X465" s="180">
        <v>32</v>
      </c>
      <c r="Y465" s="182" t="s">
        <v>1503</v>
      </c>
      <c r="Z465" s="183" t="s">
        <v>2774</v>
      </c>
      <c r="AA465" s="184"/>
      <c r="AB465" s="182"/>
      <c r="AC465" s="114">
        <v>5</v>
      </c>
      <c r="AD465" s="172" t="s">
        <v>887</v>
      </c>
      <c r="AE465" s="114"/>
      <c r="AF465" s="114"/>
      <c r="AG465" s="114"/>
      <c r="AH465" s="106"/>
      <c r="AI465" s="114"/>
      <c r="AJ465" s="106"/>
      <c r="AK465" s="114"/>
      <c r="AL465" s="106"/>
      <c r="AM465" s="114"/>
      <c r="AN465" s="106"/>
      <c r="AO465" s="114"/>
      <c r="AP465" s="106"/>
      <c r="AQ465" s="114"/>
      <c r="AR465" s="106"/>
      <c r="AS465" s="114"/>
      <c r="AT465" s="106"/>
      <c r="AU465" s="114"/>
      <c r="AV465" s="106"/>
      <c r="AW465" s="114"/>
      <c r="AX465" s="157"/>
      <c r="AY465" s="157"/>
      <c r="AZ465" s="157"/>
      <c r="BA465" s="157"/>
      <c r="BB465" s="157"/>
      <c r="BC465" s="157"/>
    </row>
    <row r="466" spans="1:55" x14ac:dyDescent="0.3">
      <c r="A466" s="114">
        <f t="shared" si="12"/>
        <v>462</v>
      </c>
      <c r="B466" s="179" t="s">
        <v>3090</v>
      </c>
      <c r="C466" s="114">
        <v>0</v>
      </c>
      <c r="D466" s="114" t="s">
        <v>991</v>
      </c>
      <c r="E466" s="114" t="s">
        <v>966</v>
      </c>
      <c r="F466" s="114" t="s">
        <v>909</v>
      </c>
      <c r="G466" s="114"/>
      <c r="H466" s="114"/>
      <c r="I466" s="114"/>
      <c r="J466" s="114"/>
      <c r="K466" s="114"/>
      <c r="L466" s="114"/>
      <c r="M466" s="114"/>
      <c r="N466" s="114">
        <v>10</v>
      </c>
      <c r="O466" s="180">
        <v>-2147483648</v>
      </c>
      <c r="P466" s="180">
        <v>2147483647</v>
      </c>
      <c r="Q466" s="180">
        <v>0</v>
      </c>
      <c r="R466" s="180"/>
      <c r="S466" s="180"/>
      <c r="T466" s="181" t="s">
        <v>3091</v>
      </c>
      <c r="U466" s="179" t="s">
        <v>3092</v>
      </c>
      <c r="V466" s="179" t="s">
        <v>3093</v>
      </c>
      <c r="W466" s="114" t="s">
        <v>3094</v>
      </c>
      <c r="X466" s="180">
        <v>32</v>
      </c>
      <c r="Y466" s="182" t="s">
        <v>1503</v>
      </c>
      <c r="Z466" s="183" t="s">
        <v>2774</v>
      </c>
      <c r="AA466" s="184"/>
      <c r="AB466" s="182"/>
      <c r="AC466" s="114">
        <v>5</v>
      </c>
      <c r="AD466" s="172" t="s">
        <v>887</v>
      </c>
      <c r="AE466" s="114"/>
      <c r="AF466" s="114"/>
      <c r="AG466" s="114"/>
      <c r="AH466" s="106"/>
      <c r="AI466" s="114"/>
      <c r="AJ466" s="106"/>
      <c r="AK466" s="114"/>
      <c r="AL466" s="106"/>
      <c r="AM466" s="114"/>
      <c r="AN466" s="106"/>
      <c r="AO466" s="114"/>
      <c r="AP466" s="106"/>
      <c r="AQ466" s="114"/>
      <c r="AR466" s="106"/>
      <c r="AS466" s="114"/>
      <c r="AT466" s="106"/>
      <c r="AU466" s="114"/>
      <c r="AV466" s="106"/>
      <c r="AW466" s="114"/>
      <c r="AX466" s="157"/>
      <c r="AY466" s="157"/>
      <c r="AZ466" s="157"/>
      <c r="BA466" s="157"/>
      <c r="BB466" s="157"/>
      <c r="BC466" s="157"/>
    </row>
    <row r="467" spans="1:55" x14ac:dyDescent="0.3">
      <c r="A467" s="114">
        <f t="shared" si="12"/>
        <v>463</v>
      </c>
      <c r="B467" s="179" t="s">
        <v>3095</v>
      </c>
      <c r="C467" s="114">
        <v>0</v>
      </c>
      <c r="D467" s="114" t="s">
        <v>991</v>
      </c>
      <c r="E467" s="114" t="s">
        <v>944</v>
      </c>
      <c r="F467" s="114" t="s">
        <v>909</v>
      </c>
      <c r="G467" s="114"/>
      <c r="H467" s="114"/>
      <c r="I467" s="114"/>
      <c r="J467" s="114"/>
      <c r="K467" s="114"/>
      <c r="L467" s="114"/>
      <c r="M467" s="191" t="s">
        <v>874</v>
      </c>
      <c r="N467" s="114">
        <v>10</v>
      </c>
      <c r="O467" s="180" t="s">
        <v>1181</v>
      </c>
      <c r="P467" s="180" t="s">
        <v>1089</v>
      </c>
      <c r="Q467" s="180" t="s">
        <v>1181</v>
      </c>
      <c r="R467" s="180"/>
      <c r="S467" s="180"/>
      <c r="T467" s="181" t="s">
        <v>3096</v>
      </c>
      <c r="U467" s="179" t="s">
        <v>3097</v>
      </c>
      <c r="V467" s="179" t="s">
        <v>3098</v>
      </c>
      <c r="W467" s="114" t="s">
        <v>3099</v>
      </c>
      <c r="X467" s="180">
        <v>32</v>
      </c>
      <c r="Y467" s="182" t="s">
        <v>1503</v>
      </c>
      <c r="Z467" s="183" t="s">
        <v>2774</v>
      </c>
      <c r="AA467" s="184"/>
      <c r="AB467" s="182"/>
      <c r="AC467" s="114">
        <v>5</v>
      </c>
      <c r="AD467" s="172" t="s">
        <v>887</v>
      </c>
      <c r="AE467" s="114"/>
      <c r="AF467" s="114"/>
      <c r="AG467" s="114"/>
      <c r="AH467" s="106"/>
      <c r="AI467" s="114"/>
      <c r="AJ467" s="106"/>
      <c r="AK467" s="114"/>
      <c r="AL467" s="106"/>
      <c r="AM467" s="114"/>
      <c r="AN467" s="106"/>
      <c r="AO467" s="114"/>
      <c r="AP467" s="106"/>
      <c r="AQ467" s="114"/>
      <c r="AR467" s="106"/>
      <c r="AS467" s="114"/>
      <c r="AT467" s="106"/>
      <c r="AU467" s="114"/>
      <c r="AV467" s="106"/>
      <c r="AW467" s="114"/>
      <c r="AX467" s="157"/>
      <c r="AY467" s="157"/>
      <c r="AZ467" s="157"/>
      <c r="BA467" s="157"/>
      <c r="BB467" s="157"/>
      <c r="BC467" s="157"/>
    </row>
    <row r="468" spans="1:55" x14ac:dyDescent="0.3">
      <c r="A468" s="114">
        <f t="shared" si="12"/>
        <v>464</v>
      </c>
      <c r="B468" s="179" t="s">
        <v>3100</v>
      </c>
      <c r="C468" s="114">
        <v>0</v>
      </c>
      <c r="D468" s="114" t="s">
        <v>991</v>
      </c>
      <c r="E468" s="114" t="s">
        <v>966</v>
      </c>
      <c r="F468" s="114" t="s">
        <v>909</v>
      </c>
      <c r="G468" s="114"/>
      <c r="H468" s="114"/>
      <c r="I468" s="114"/>
      <c r="J468" s="114"/>
      <c r="K468" s="114"/>
      <c r="L468" s="114"/>
      <c r="M468" s="114"/>
      <c r="N468" s="114">
        <v>10</v>
      </c>
      <c r="O468" s="180">
        <v>-2147483648</v>
      </c>
      <c r="P468" s="180">
        <v>2147483647</v>
      </c>
      <c r="Q468" s="180">
        <v>0</v>
      </c>
      <c r="R468" s="180"/>
      <c r="S468" s="180"/>
      <c r="T468" s="181" t="s">
        <v>3101</v>
      </c>
      <c r="U468" s="179" t="s">
        <v>3102</v>
      </c>
      <c r="V468" s="179" t="s">
        <v>3103</v>
      </c>
      <c r="W468" s="114" t="s">
        <v>3104</v>
      </c>
      <c r="X468" s="180">
        <v>32</v>
      </c>
      <c r="Y468" s="182" t="s">
        <v>1503</v>
      </c>
      <c r="Z468" s="183" t="s">
        <v>2774</v>
      </c>
      <c r="AA468" s="184"/>
      <c r="AB468" s="182"/>
      <c r="AC468" s="114">
        <v>5</v>
      </c>
      <c r="AD468" s="172" t="s">
        <v>887</v>
      </c>
      <c r="AE468" s="114"/>
      <c r="AF468" s="114"/>
      <c r="AG468" s="114"/>
      <c r="AH468" s="106"/>
      <c r="AI468" s="114"/>
      <c r="AJ468" s="106"/>
      <c r="AK468" s="114"/>
      <c r="AL468" s="106"/>
      <c r="AM468" s="114"/>
      <c r="AN468" s="106"/>
      <c r="AO468" s="114"/>
      <c r="AP468" s="106"/>
      <c r="AQ468" s="114"/>
      <c r="AR468" s="106"/>
      <c r="AS468" s="114"/>
      <c r="AT468" s="106"/>
      <c r="AU468" s="114"/>
      <c r="AV468" s="106"/>
      <c r="AW468" s="114"/>
      <c r="AX468" s="157"/>
      <c r="AY468" s="157"/>
      <c r="AZ468" s="157"/>
      <c r="BA468" s="157"/>
      <c r="BB468" s="157"/>
      <c r="BC468" s="157"/>
    </row>
    <row r="469" spans="1:55" x14ac:dyDescent="0.3">
      <c r="A469" s="114">
        <f t="shared" si="12"/>
        <v>465</v>
      </c>
      <c r="B469" s="179" t="s">
        <v>3105</v>
      </c>
      <c r="C469" s="114">
        <v>0</v>
      </c>
      <c r="D469" s="114" t="s">
        <v>991</v>
      </c>
      <c r="E469" s="114" t="s">
        <v>944</v>
      </c>
      <c r="F469" s="114" t="s">
        <v>909</v>
      </c>
      <c r="G469" s="114"/>
      <c r="H469" s="114"/>
      <c r="I469" s="114"/>
      <c r="J469" s="114"/>
      <c r="K469" s="114"/>
      <c r="L469" s="114"/>
      <c r="M469" s="191" t="s">
        <v>874</v>
      </c>
      <c r="N469" s="114">
        <v>10</v>
      </c>
      <c r="O469" s="180" t="s">
        <v>1181</v>
      </c>
      <c r="P469" s="180" t="s">
        <v>1089</v>
      </c>
      <c r="Q469" s="180" t="s">
        <v>1181</v>
      </c>
      <c r="R469" s="180"/>
      <c r="S469" s="180"/>
      <c r="T469" s="181" t="s">
        <v>3106</v>
      </c>
      <c r="U469" s="179" t="s">
        <v>3107</v>
      </c>
      <c r="V469" s="179" t="s">
        <v>3108</v>
      </c>
      <c r="W469" s="114" t="s">
        <v>3109</v>
      </c>
      <c r="X469" s="180">
        <v>32</v>
      </c>
      <c r="Y469" s="182" t="s">
        <v>1503</v>
      </c>
      <c r="Z469" s="183" t="s">
        <v>2774</v>
      </c>
      <c r="AA469" s="184"/>
      <c r="AB469" s="182"/>
      <c r="AC469" s="114">
        <v>5</v>
      </c>
      <c r="AD469" s="172" t="s">
        <v>887</v>
      </c>
      <c r="AE469" s="114"/>
      <c r="AF469" s="114"/>
      <c r="AG469" s="114"/>
      <c r="AH469" s="106"/>
      <c r="AI469" s="114"/>
      <c r="AJ469" s="106"/>
      <c r="AK469" s="114"/>
      <c r="AL469" s="106"/>
      <c r="AM469" s="114"/>
      <c r="AN469" s="106"/>
      <c r="AO469" s="114"/>
      <c r="AP469" s="106"/>
      <c r="AQ469" s="114"/>
      <c r="AR469" s="106"/>
      <c r="AS469" s="114"/>
      <c r="AT469" s="106"/>
      <c r="AU469" s="114"/>
      <c r="AV469" s="106"/>
      <c r="AW469" s="114"/>
      <c r="AX469" s="157"/>
      <c r="AY469" s="157"/>
      <c r="AZ469" s="157"/>
      <c r="BA469" s="157"/>
      <c r="BB469" s="157"/>
      <c r="BC469" s="157"/>
    </row>
    <row r="470" spans="1:55" x14ac:dyDescent="0.3">
      <c r="A470" s="114">
        <f t="shared" si="12"/>
        <v>466</v>
      </c>
      <c r="B470" s="179" t="s">
        <v>3110</v>
      </c>
      <c r="C470" s="114">
        <v>0</v>
      </c>
      <c r="D470" s="114" t="s">
        <v>991</v>
      </c>
      <c r="E470" s="114" t="s">
        <v>966</v>
      </c>
      <c r="F470" s="114" t="s">
        <v>909</v>
      </c>
      <c r="G470" s="114"/>
      <c r="H470" s="114"/>
      <c r="I470" s="114"/>
      <c r="J470" s="114"/>
      <c r="K470" s="114"/>
      <c r="L470" s="114"/>
      <c r="M470" s="114"/>
      <c r="N470" s="114">
        <v>10</v>
      </c>
      <c r="O470" s="180">
        <v>-2147483648</v>
      </c>
      <c r="P470" s="180">
        <v>2147483647</v>
      </c>
      <c r="Q470" s="180">
        <v>0</v>
      </c>
      <c r="R470" s="180"/>
      <c r="S470" s="180"/>
      <c r="T470" s="181" t="s">
        <v>3111</v>
      </c>
      <c r="U470" s="179" t="s">
        <v>3112</v>
      </c>
      <c r="V470" s="179" t="s">
        <v>3113</v>
      </c>
      <c r="W470" s="114" t="s">
        <v>3114</v>
      </c>
      <c r="X470" s="180">
        <v>32</v>
      </c>
      <c r="Y470" s="182" t="s">
        <v>1503</v>
      </c>
      <c r="Z470" s="183" t="s">
        <v>2774</v>
      </c>
      <c r="AA470" s="184"/>
      <c r="AB470" s="182"/>
      <c r="AC470" s="114">
        <v>5</v>
      </c>
      <c r="AD470" s="172" t="s">
        <v>887</v>
      </c>
      <c r="AE470" s="114"/>
      <c r="AF470" s="114"/>
      <c r="AG470" s="114"/>
      <c r="AH470" s="106"/>
      <c r="AI470" s="114"/>
      <c r="AJ470" s="106"/>
      <c r="AK470" s="114"/>
      <c r="AL470" s="106"/>
      <c r="AM470" s="114"/>
      <c r="AN470" s="106"/>
      <c r="AO470" s="114"/>
      <c r="AP470" s="106"/>
      <c r="AQ470" s="114"/>
      <c r="AR470" s="106"/>
      <c r="AS470" s="114"/>
      <c r="AT470" s="106"/>
      <c r="AU470" s="114"/>
      <c r="AV470" s="106"/>
      <c r="AW470" s="114"/>
      <c r="AX470" s="157"/>
      <c r="AY470" s="157"/>
      <c r="AZ470" s="157"/>
      <c r="BA470" s="157"/>
      <c r="BB470" s="157"/>
      <c r="BC470" s="157"/>
    </row>
    <row r="471" spans="1:55" x14ac:dyDescent="0.3">
      <c r="A471" s="114">
        <f t="shared" si="12"/>
        <v>467</v>
      </c>
      <c r="B471" s="179" t="s">
        <v>3115</v>
      </c>
      <c r="C471" s="114">
        <v>0</v>
      </c>
      <c r="D471" s="114" t="s">
        <v>991</v>
      </c>
      <c r="E471" s="114" t="s">
        <v>944</v>
      </c>
      <c r="F471" s="114" t="s">
        <v>909</v>
      </c>
      <c r="G471" s="114"/>
      <c r="H471" s="114"/>
      <c r="I471" s="114"/>
      <c r="J471" s="114"/>
      <c r="K471" s="114"/>
      <c r="L471" s="114"/>
      <c r="M471" s="191" t="s">
        <v>874</v>
      </c>
      <c r="N471" s="114">
        <v>10</v>
      </c>
      <c r="O471" s="180" t="s">
        <v>1181</v>
      </c>
      <c r="P471" s="180" t="s">
        <v>1089</v>
      </c>
      <c r="Q471" s="180" t="s">
        <v>1181</v>
      </c>
      <c r="R471" s="180"/>
      <c r="S471" s="180"/>
      <c r="T471" s="181" t="s">
        <v>3116</v>
      </c>
      <c r="U471" s="179" t="s">
        <v>3117</v>
      </c>
      <c r="V471" s="179" t="s">
        <v>3118</v>
      </c>
      <c r="W471" s="114" t="s">
        <v>3119</v>
      </c>
      <c r="X471" s="180">
        <v>32</v>
      </c>
      <c r="Y471" s="182" t="s">
        <v>1503</v>
      </c>
      <c r="Z471" s="183" t="s">
        <v>2774</v>
      </c>
      <c r="AA471" s="184"/>
      <c r="AB471" s="182"/>
      <c r="AC471" s="114">
        <v>5</v>
      </c>
      <c r="AD471" s="172" t="s">
        <v>887</v>
      </c>
      <c r="AE471" s="114"/>
      <c r="AF471" s="114"/>
      <c r="AG471" s="114"/>
      <c r="AH471" s="106"/>
      <c r="AI471" s="114"/>
      <c r="AJ471" s="106"/>
      <c r="AK471" s="114"/>
      <c r="AL471" s="106"/>
      <c r="AM471" s="114"/>
      <c r="AN471" s="106"/>
      <c r="AO471" s="114"/>
      <c r="AP471" s="106"/>
      <c r="AQ471" s="114"/>
      <c r="AR471" s="106"/>
      <c r="AS471" s="114"/>
      <c r="AT471" s="106"/>
      <c r="AU471" s="114"/>
      <c r="AV471" s="106"/>
      <c r="AW471" s="114"/>
      <c r="AX471" s="157"/>
      <c r="AY471" s="157"/>
      <c r="AZ471" s="157"/>
      <c r="BA471" s="157"/>
      <c r="BB471" s="157"/>
      <c r="BC471" s="157"/>
    </row>
    <row r="472" spans="1:55" x14ac:dyDescent="0.3">
      <c r="A472" s="114">
        <f t="shared" si="12"/>
        <v>468</v>
      </c>
      <c r="B472" s="179" t="s">
        <v>3120</v>
      </c>
      <c r="C472" s="114">
        <v>0</v>
      </c>
      <c r="D472" s="114" t="s">
        <v>991</v>
      </c>
      <c r="E472" s="114" t="s">
        <v>966</v>
      </c>
      <c r="F472" s="114" t="s">
        <v>909</v>
      </c>
      <c r="G472" s="114"/>
      <c r="H472" s="114"/>
      <c r="I472" s="114"/>
      <c r="J472" s="114"/>
      <c r="K472" s="114"/>
      <c r="L472" s="114"/>
      <c r="M472" s="114"/>
      <c r="N472" s="114">
        <v>10</v>
      </c>
      <c r="O472" s="180">
        <v>-2147483648</v>
      </c>
      <c r="P472" s="180">
        <v>2147483647</v>
      </c>
      <c r="Q472" s="180">
        <v>0</v>
      </c>
      <c r="R472" s="180"/>
      <c r="S472" s="180"/>
      <c r="T472" s="181" t="s">
        <v>3121</v>
      </c>
      <c r="U472" s="179" t="s">
        <v>3122</v>
      </c>
      <c r="V472" s="179" t="s">
        <v>3123</v>
      </c>
      <c r="W472" s="114" t="s">
        <v>3124</v>
      </c>
      <c r="X472" s="180">
        <v>32</v>
      </c>
      <c r="Y472" s="182" t="s">
        <v>1503</v>
      </c>
      <c r="Z472" s="183" t="s">
        <v>2774</v>
      </c>
      <c r="AA472" s="184"/>
      <c r="AB472" s="182"/>
      <c r="AC472" s="114">
        <v>5</v>
      </c>
      <c r="AD472" s="172" t="s">
        <v>887</v>
      </c>
      <c r="AE472" s="114"/>
      <c r="AF472" s="114"/>
      <c r="AG472" s="114"/>
      <c r="AH472" s="106"/>
      <c r="AI472" s="114"/>
      <c r="AJ472" s="106"/>
      <c r="AK472" s="114"/>
      <c r="AL472" s="106"/>
      <c r="AM472" s="114"/>
      <c r="AN472" s="106"/>
      <c r="AO472" s="114"/>
      <c r="AP472" s="106"/>
      <c r="AQ472" s="114"/>
      <c r="AR472" s="106"/>
      <c r="AS472" s="114"/>
      <c r="AT472" s="106"/>
      <c r="AU472" s="114"/>
      <c r="AV472" s="106"/>
      <c r="AW472" s="114"/>
      <c r="AX472" s="157"/>
      <c r="AY472" s="157"/>
      <c r="AZ472" s="157"/>
      <c r="BA472" s="157"/>
      <c r="BB472" s="157"/>
      <c r="BC472" s="157"/>
    </row>
    <row r="473" spans="1:55" x14ac:dyDescent="0.3">
      <c r="A473" s="114">
        <f t="shared" si="12"/>
        <v>469</v>
      </c>
      <c r="B473" s="179" t="s">
        <v>3125</v>
      </c>
      <c r="C473" s="114">
        <v>0</v>
      </c>
      <c r="D473" s="114" t="s">
        <v>991</v>
      </c>
      <c r="E473" s="114" t="s">
        <v>944</v>
      </c>
      <c r="F473" s="114" t="s">
        <v>909</v>
      </c>
      <c r="G473" s="114"/>
      <c r="H473" s="114"/>
      <c r="I473" s="114"/>
      <c r="J473" s="114"/>
      <c r="K473" s="114"/>
      <c r="L473" s="114"/>
      <c r="M473" s="191" t="s">
        <v>874</v>
      </c>
      <c r="N473" s="114">
        <v>10</v>
      </c>
      <c r="O473" s="180" t="s">
        <v>1181</v>
      </c>
      <c r="P473" s="180" t="s">
        <v>1089</v>
      </c>
      <c r="Q473" s="180" t="s">
        <v>1181</v>
      </c>
      <c r="R473" s="180"/>
      <c r="S473" s="180"/>
      <c r="T473" s="181" t="s">
        <v>3126</v>
      </c>
      <c r="U473" s="179" t="s">
        <v>3127</v>
      </c>
      <c r="V473" s="179" t="s">
        <v>3128</v>
      </c>
      <c r="W473" s="114" t="s">
        <v>3129</v>
      </c>
      <c r="X473" s="180">
        <v>32</v>
      </c>
      <c r="Y473" s="182" t="s">
        <v>1503</v>
      </c>
      <c r="Z473" s="183" t="s">
        <v>2774</v>
      </c>
      <c r="AA473" s="184"/>
      <c r="AB473" s="182"/>
      <c r="AC473" s="114">
        <v>5</v>
      </c>
      <c r="AD473" s="172" t="s">
        <v>887</v>
      </c>
      <c r="AE473" s="114"/>
      <c r="AF473" s="114"/>
      <c r="AG473" s="114"/>
      <c r="AH473" s="106"/>
      <c r="AI473" s="114"/>
      <c r="AJ473" s="106"/>
      <c r="AK473" s="114"/>
      <c r="AL473" s="106"/>
      <c r="AM473" s="114"/>
      <c r="AN473" s="106"/>
      <c r="AO473" s="114"/>
      <c r="AP473" s="106"/>
      <c r="AQ473" s="114"/>
      <c r="AR473" s="106"/>
      <c r="AS473" s="114"/>
      <c r="AT473" s="106"/>
      <c r="AU473" s="114"/>
      <c r="AV473" s="106"/>
      <c r="AW473" s="114"/>
      <c r="AX473" s="157"/>
      <c r="AY473" s="157"/>
      <c r="AZ473" s="157"/>
      <c r="BA473" s="157"/>
      <c r="BB473" s="157"/>
      <c r="BC473" s="157"/>
    </row>
    <row r="474" spans="1:55" x14ac:dyDescent="0.3">
      <c r="A474" s="114">
        <f t="shared" si="12"/>
        <v>470</v>
      </c>
      <c r="B474" s="179" t="s">
        <v>3130</v>
      </c>
      <c r="C474" s="114">
        <v>0</v>
      </c>
      <c r="D474" s="114" t="s">
        <v>991</v>
      </c>
      <c r="E474" s="114" t="s">
        <v>966</v>
      </c>
      <c r="F474" s="114" t="s">
        <v>909</v>
      </c>
      <c r="G474" s="114"/>
      <c r="H474" s="114"/>
      <c r="I474" s="114"/>
      <c r="J474" s="114"/>
      <c r="K474" s="114"/>
      <c r="L474" s="114"/>
      <c r="M474" s="114"/>
      <c r="N474" s="114">
        <v>10</v>
      </c>
      <c r="O474" s="180">
        <v>-2147483648</v>
      </c>
      <c r="P474" s="180">
        <v>2147483647</v>
      </c>
      <c r="Q474" s="180">
        <v>0</v>
      </c>
      <c r="R474" s="180"/>
      <c r="S474" s="180"/>
      <c r="T474" s="181" t="s">
        <v>3131</v>
      </c>
      <c r="U474" s="179" t="s">
        <v>3132</v>
      </c>
      <c r="V474" s="179" t="s">
        <v>3133</v>
      </c>
      <c r="W474" s="114" t="s">
        <v>3134</v>
      </c>
      <c r="X474" s="180">
        <v>32</v>
      </c>
      <c r="Y474" s="182" t="s">
        <v>1503</v>
      </c>
      <c r="Z474" s="183" t="s">
        <v>2774</v>
      </c>
      <c r="AA474" s="184"/>
      <c r="AB474" s="182"/>
      <c r="AC474" s="114">
        <v>5</v>
      </c>
      <c r="AD474" s="172" t="s">
        <v>887</v>
      </c>
      <c r="AE474" s="114"/>
      <c r="AF474" s="114"/>
      <c r="AG474" s="114"/>
      <c r="AH474" s="106"/>
      <c r="AI474" s="114"/>
      <c r="AJ474" s="106"/>
      <c r="AK474" s="114"/>
      <c r="AL474" s="106"/>
      <c r="AM474" s="114"/>
      <c r="AN474" s="106"/>
      <c r="AO474" s="114"/>
      <c r="AP474" s="106"/>
      <c r="AQ474" s="114"/>
      <c r="AR474" s="106"/>
      <c r="AS474" s="114"/>
      <c r="AT474" s="106"/>
      <c r="AU474" s="114"/>
      <c r="AV474" s="106"/>
      <c r="AW474" s="114"/>
      <c r="AX474" s="157"/>
      <c r="AY474" s="157"/>
      <c r="AZ474" s="157"/>
      <c r="BA474" s="157"/>
      <c r="BB474" s="157"/>
      <c r="BC474" s="157"/>
    </row>
    <row r="475" spans="1:55" x14ac:dyDescent="0.3">
      <c r="A475" s="114">
        <f t="shared" si="12"/>
        <v>471</v>
      </c>
      <c r="B475" s="179" t="s">
        <v>3135</v>
      </c>
      <c r="C475" s="114">
        <v>0</v>
      </c>
      <c r="D475" s="114" t="s">
        <v>991</v>
      </c>
      <c r="E475" s="114" t="s">
        <v>944</v>
      </c>
      <c r="F475" s="114" t="s">
        <v>909</v>
      </c>
      <c r="G475" s="114"/>
      <c r="H475" s="114"/>
      <c r="I475" s="114"/>
      <c r="J475" s="114"/>
      <c r="K475" s="114"/>
      <c r="L475" s="114"/>
      <c r="M475" s="191" t="s">
        <v>874</v>
      </c>
      <c r="N475" s="114">
        <v>10</v>
      </c>
      <c r="O475" s="180" t="s">
        <v>1181</v>
      </c>
      <c r="P475" s="180" t="s">
        <v>1089</v>
      </c>
      <c r="Q475" s="180" t="s">
        <v>1181</v>
      </c>
      <c r="R475" s="180"/>
      <c r="S475" s="180"/>
      <c r="T475" s="181" t="s">
        <v>3136</v>
      </c>
      <c r="U475" s="179" t="s">
        <v>3137</v>
      </c>
      <c r="V475" s="179" t="s">
        <v>3138</v>
      </c>
      <c r="W475" s="114" t="s">
        <v>3139</v>
      </c>
      <c r="X475" s="180">
        <v>32</v>
      </c>
      <c r="Y475" s="182" t="s">
        <v>1503</v>
      </c>
      <c r="Z475" s="183" t="s">
        <v>2774</v>
      </c>
      <c r="AA475" s="184"/>
      <c r="AB475" s="182"/>
      <c r="AC475" s="114">
        <v>5</v>
      </c>
      <c r="AD475" s="172" t="s">
        <v>887</v>
      </c>
      <c r="AE475" s="114"/>
      <c r="AF475" s="114"/>
      <c r="AG475" s="114"/>
      <c r="AH475" s="106"/>
      <c r="AI475" s="114"/>
      <c r="AJ475" s="106"/>
      <c r="AK475" s="114"/>
      <c r="AL475" s="106"/>
      <c r="AM475" s="114"/>
      <c r="AN475" s="106"/>
      <c r="AO475" s="114"/>
      <c r="AP475" s="106"/>
      <c r="AQ475" s="114"/>
      <c r="AR475" s="106"/>
      <c r="AS475" s="114"/>
      <c r="AT475" s="106"/>
      <c r="AU475" s="114"/>
      <c r="AV475" s="106"/>
      <c r="AW475" s="114"/>
      <c r="AX475" s="157"/>
      <c r="AY475" s="157"/>
      <c r="AZ475" s="157"/>
      <c r="BA475" s="157"/>
      <c r="BB475" s="157"/>
      <c r="BC475" s="157"/>
    </row>
    <row r="476" spans="1:55" x14ac:dyDescent="0.3">
      <c r="A476" s="114">
        <f t="shared" si="12"/>
        <v>472</v>
      </c>
      <c r="B476" s="179" t="s">
        <v>3140</v>
      </c>
      <c r="C476" s="114">
        <v>0</v>
      </c>
      <c r="D476" s="114" t="s">
        <v>991</v>
      </c>
      <c r="E476" s="114" t="s">
        <v>966</v>
      </c>
      <c r="F476" s="114" t="s">
        <v>909</v>
      </c>
      <c r="G476" s="114"/>
      <c r="H476" s="114"/>
      <c r="I476" s="114"/>
      <c r="J476" s="114"/>
      <c r="K476" s="114"/>
      <c r="L476" s="114"/>
      <c r="M476" s="114"/>
      <c r="N476" s="114">
        <v>10</v>
      </c>
      <c r="O476" s="180">
        <v>-2147483648</v>
      </c>
      <c r="P476" s="180">
        <v>2147483647</v>
      </c>
      <c r="Q476" s="180">
        <v>0</v>
      </c>
      <c r="R476" s="180"/>
      <c r="S476" s="180"/>
      <c r="T476" s="181" t="s">
        <v>3141</v>
      </c>
      <c r="U476" s="179" t="s">
        <v>3142</v>
      </c>
      <c r="V476" s="179" t="s">
        <v>3143</v>
      </c>
      <c r="W476" s="114" t="s">
        <v>3144</v>
      </c>
      <c r="X476" s="180">
        <v>32</v>
      </c>
      <c r="Y476" s="182" t="s">
        <v>1503</v>
      </c>
      <c r="Z476" s="183" t="s">
        <v>2774</v>
      </c>
      <c r="AA476" s="184"/>
      <c r="AB476" s="182"/>
      <c r="AC476" s="114">
        <v>5</v>
      </c>
      <c r="AD476" s="172" t="s">
        <v>887</v>
      </c>
      <c r="AE476" s="114"/>
      <c r="AF476" s="114"/>
      <c r="AG476" s="114"/>
      <c r="AH476" s="106"/>
      <c r="AI476" s="114"/>
      <c r="AJ476" s="106"/>
      <c r="AK476" s="114"/>
      <c r="AL476" s="106"/>
      <c r="AM476" s="114"/>
      <c r="AN476" s="106"/>
      <c r="AO476" s="114"/>
      <c r="AP476" s="106"/>
      <c r="AQ476" s="114"/>
      <c r="AR476" s="106"/>
      <c r="AS476" s="114"/>
      <c r="AT476" s="106"/>
      <c r="AU476" s="114"/>
      <c r="AV476" s="106"/>
      <c r="AW476" s="114"/>
      <c r="AX476" s="157"/>
      <c r="AY476" s="157"/>
      <c r="AZ476" s="157"/>
      <c r="BA476" s="157"/>
      <c r="BB476" s="157"/>
      <c r="BC476" s="157"/>
    </row>
    <row r="477" spans="1:55" x14ac:dyDescent="0.3">
      <c r="A477" s="114">
        <f>A476+1</f>
        <v>473</v>
      </c>
      <c r="B477" s="179" t="s">
        <v>3145</v>
      </c>
      <c r="C477" s="114">
        <v>0</v>
      </c>
      <c r="D477" s="114" t="s">
        <v>991</v>
      </c>
      <c r="E477" s="114" t="s">
        <v>944</v>
      </c>
      <c r="F477" s="114" t="s">
        <v>909</v>
      </c>
      <c r="G477" s="114"/>
      <c r="H477" s="114"/>
      <c r="I477" s="114"/>
      <c r="J477" s="114"/>
      <c r="K477" s="114"/>
      <c r="L477" s="114"/>
      <c r="M477" s="191" t="s">
        <v>874</v>
      </c>
      <c r="N477" s="114">
        <v>10</v>
      </c>
      <c r="O477" s="180" t="s">
        <v>1181</v>
      </c>
      <c r="P477" s="180" t="s">
        <v>1089</v>
      </c>
      <c r="Q477" s="180" t="s">
        <v>1181</v>
      </c>
      <c r="R477" s="180"/>
      <c r="S477" s="180"/>
      <c r="T477" s="181" t="s">
        <v>3146</v>
      </c>
      <c r="U477" s="179" t="s">
        <v>3147</v>
      </c>
      <c r="V477" s="179" t="s">
        <v>3148</v>
      </c>
      <c r="W477" s="114" t="s">
        <v>3149</v>
      </c>
      <c r="X477" s="180">
        <v>32</v>
      </c>
      <c r="Y477" s="182" t="s">
        <v>1503</v>
      </c>
      <c r="Z477" s="183" t="s">
        <v>2774</v>
      </c>
      <c r="AA477" s="184"/>
      <c r="AB477" s="182"/>
      <c r="AC477" s="114">
        <v>5</v>
      </c>
      <c r="AD477" s="172" t="s">
        <v>887</v>
      </c>
      <c r="AE477" s="114"/>
      <c r="AF477" s="114"/>
      <c r="AG477" s="114"/>
      <c r="AH477" s="106"/>
      <c r="AI477" s="114"/>
      <c r="AJ477" s="106"/>
      <c r="AK477" s="114"/>
      <c r="AL477" s="106"/>
      <c r="AM477" s="114"/>
      <c r="AN477" s="106"/>
      <c r="AO477" s="114"/>
      <c r="AP477" s="106"/>
      <c r="AQ477" s="114"/>
      <c r="AR477" s="106"/>
      <c r="AS477" s="114"/>
      <c r="AT477" s="106"/>
      <c r="AU477" s="114"/>
      <c r="AV477" s="106"/>
      <c r="AW477" s="114"/>
      <c r="AX477" s="157"/>
      <c r="AY477" s="157"/>
      <c r="AZ477" s="157"/>
      <c r="BA477" s="157"/>
      <c r="BB477" s="157"/>
      <c r="BC477" s="157"/>
    </row>
    <row r="478" spans="1:55" x14ac:dyDescent="0.3">
      <c r="A478" s="114">
        <f t="shared" ref="A478:A492" si="13">A477+1</f>
        <v>474</v>
      </c>
      <c r="B478" s="179" t="s">
        <v>3150</v>
      </c>
      <c r="C478" s="114">
        <v>0</v>
      </c>
      <c r="D478" s="114" t="s">
        <v>991</v>
      </c>
      <c r="E478" s="114" t="s">
        <v>966</v>
      </c>
      <c r="F478" s="114" t="s">
        <v>909</v>
      </c>
      <c r="G478" s="114"/>
      <c r="H478" s="114"/>
      <c r="I478" s="114"/>
      <c r="J478" s="114"/>
      <c r="K478" s="114"/>
      <c r="L478" s="114"/>
      <c r="M478" s="114"/>
      <c r="N478" s="114">
        <v>10</v>
      </c>
      <c r="O478" s="180">
        <v>-2147483648</v>
      </c>
      <c r="P478" s="180">
        <v>2147483647</v>
      </c>
      <c r="Q478" s="180">
        <v>0</v>
      </c>
      <c r="R478" s="180"/>
      <c r="S478" s="180"/>
      <c r="T478" s="181" t="s">
        <v>3151</v>
      </c>
      <c r="U478" s="179" t="s">
        <v>3152</v>
      </c>
      <c r="V478" s="179" t="s">
        <v>3153</v>
      </c>
      <c r="W478" s="114" t="s">
        <v>3154</v>
      </c>
      <c r="X478" s="180">
        <v>32</v>
      </c>
      <c r="Y478" s="182" t="s">
        <v>1503</v>
      </c>
      <c r="Z478" s="183" t="s">
        <v>2774</v>
      </c>
      <c r="AA478" s="184"/>
      <c r="AB478" s="182"/>
      <c r="AC478" s="114">
        <v>5</v>
      </c>
      <c r="AD478" s="172" t="s">
        <v>887</v>
      </c>
      <c r="AE478" s="114"/>
      <c r="AF478" s="114"/>
      <c r="AG478" s="114"/>
      <c r="AH478" s="106"/>
      <c r="AI478" s="114"/>
      <c r="AJ478" s="106"/>
      <c r="AK478" s="114"/>
      <c r="AL478" s="106"/>
      <c r="AM478" s="114"/>
      <c r="AN478" s="106"/>
      <c r="AO478" s="114"/>
      <c r="AP478" s="106"/>
      <c r="AQ478" s="114"/>
      <c r="AR478" s="106"/>
      <c r="AS478" s="114"/>
      <c r="AT478" s="106"/>
      <c r="AU478" s="114"/>
      <c r="AV478" s="106"/>
      <c r="AW478" s="114"/>
      <c r="AX478" s="157"/>
      <c r="AY478" s="157"/>
      <c r="AZ478" s="157"/>
      <c r="BA478" s="157"/>
      <c r="BB478" s="157"/>
      <c r="BC478" s="157"/>
    </row>
    <row r="479" spans="1:55" x14ac:dyDescent="0.3">
      <c r="A479" s="114">
        <f t="shared" si="13"/>
        <v>475</v>
      </c>
      <c r="B479" s="179" t="s">
        <v>3155</v>
      </c>
      <c r="C479" s="114">
        <v>0</v>
      </c>
      <c r="D479" s="114" t="s">
        <v>991</v>
      </c>
      <c r="E479" s="114" t="s">
        <v>944</v>
      </c>
      <c r="F479" s="114" t="s">
        <v>909</v>
      </c>
      <c r="G479" s="114"/>
      <c r="H479" s="114"/>
      <c r="I479" s="114"/>
      <c r="J479" s="114"/>
      <c r="K479" s="114"/>
      <c r="L479" s="114"/>
      <c r="M479" s="191" t="s">
        <v>874</v>
      </c>
      <c r="N479" s="114">
        <v>10</v>
      </c>
      <c r="O479" s="180" t="s">
        <v>1181</v>
      </c>
      <c r="P479" s="180" t="s">
        <v>1089</v>
      </c>
      <c r="Q479" s="180" t="s">
        <v>1181</v>
      </c>
      <c r="R479" s="180"/>
      <c r="S479" s="180"/>
      <c r="T479" s="181" t="s">
        <v>3156</v>
      </c>
      <c r="U479" s="179" t="s">
        <v>3157</v>
      </c>
      <c r="V479" s="179" t="s">
        <v>3158</v>
      </c>
      <c r="W479" s="114" t="s">
        <v>3159</v>
      </c>
      <c r="X479" s="180">
        <v>32</v>
      </c>
      <c r="Y479" s="182" t="s">
        <v>1503</v>
      </c>
      <c r="Z479" s="183" t="s">
        <v>2774</v>
      </c>
      <c r="AA479" s="184"/>
      <c r="AB479" s="182"/>
      <c r="AC479" s="114">
        <v>5</v>
      </c>
      <c r="AD479" s="172" t="s">
        <v>887</v>
      </c>
      <c r="AE479" s="114"/>
      <c r="AF479" s="114"/>
      <c r="AG479" s="114"/>
      <c r="AH479" s="106"/>
      <c r="AI479" s="114"/>
      <c r="AJ479" s="106"/>
      <c r="AK479" s="114"/>
      <c r="AL479" s="106"/>
      <c r="AM479" s="114"/>
      <c r="AN479" s="106"/>
      <c r="AO479" s="114"/>
      <c r="AP479" s="106"/>
      <c r="AQ479" s="114"/>
      <c r="AR479" s="106"/>
      <c r="AS479" s="114"/>
      <c r="AT479" s="106"/>
      <c r="AU479" s="114"/>
      <c r="AV479" s="106"/>
      <c r="AW479" s="114"/>
      <c r="AX479" s="157"/>
      <c r="AY479" s="157"/>
      <c r="AZ479" s="157"/>
      <c r="BA479" s="157"/>
      <c r="BB479" s="157"/>
      <c r="BC479" s="157"/>
    </row>
    <row r="480" spans="1:55" x14ac:dyDescent="0.3">
      <c r="A480" s="114">
        <f t="shared" si="13"/>
        <v>476</v>
      </c>
      <c r="B480" s="179" t="s">
        <v>3160</v>
      </c>
      <c r="C480" s="114">
        <v>0</v>
      </c>
      <c r="D480" s="114" t="s">
        <v>991</v>
      </c>
      <c r="E480" s="114" t="s">
        <v>966</v>
      </c>
      <c r="F480" s="114" t="s">
        <v>909</v>
      </c>
      <c r="G480" s="114"/>
      <c r="H480" s="114"/>
      <c r="I480" s="114"/>
      <c r="J480" s="114"/>
      <c r="K480" s="114"/>
      <c r="L480" s="114"/>
      <c r="M480" s="114"/>
      <c r="N480" s="114">
        <v>10</v>
      </c>
      <c r="O480" s="180">
        <v>-2147483648</v>
      </c>
      <c r="P480" s="180">
        <v>2147483647</v>
      </c>
      <c r="Q480" s="180">
        <v>0</v>
      </c>
      <c r="R480" s="180"/>
      <c r="S480" s="180"/>
      <c r="T480" s="181" t="s">
        <v>3161</v>
      </c>
      <c r="U480" s="179" t="s">
        <v>3162</v>
      </c>
      <c r="V480" s="179" t="s">
        <v>3163</v>
      </c>
      <c r="W480" s="114" t="s">
        <v>3164</v>
      </c>
      <c r="X480" s="180">
        <v>32</v>
      </c>
      <c r="Y480" s="182" t="s">
        <v>1503</v>
      </c>
      <c r="Z480" s="183" t="s">
        <v>2774</v>
      </c>
      <c r="AA480" s="184"/>
      <c r="AB480" s="182"/>
      <c r="AC480" s="114">
        <v>5</v>
      </c>
      <c r="AD480" s="172" t="s">
        <v>887</v>
      </c>
      <c r="AE480" s="114"/>
      <c r="AF480" s="114"/>
      <c r="AG480" s="114"/>
      <c r="AH480" s="106"/>
      <c r="AI480" s="114"/>
      <c r="AJ480" s="106"/>
      <c r="AK480" s="114"/>
      <c r="AL480" s="106"/>
      <c r="AM480" s="114"/>
      <c r="AN480" s="106"/>
      <c r="AO480" s="114"/>
      <c r="AP480" s="106"/>
      <c r="AQ480" s="114"/>
      <c r="AR480" s="106"/>
      <c r="AS480" s="114"/>
      <c r="AT480" s="106"/>
      <c r="AU480" s="114"/>
      <c r="AV480" s="106"/>
      <c r="AW480" s="114"/>
      <c r="AX480" s="157"/>
      <c r="AY480" s="157"/>
      <c r="AZ480" s="157"/>
      <c r="BA480" s="157"/>
      <c r="BB480" s="157"/>
      <c r="BC480" s="157"/>
    </row>
    <row r="481" spans="1:55" x14ac:dyDescent="0.3">
      <c r="A481" s="114">
        <f t="shared" si="13"/>
        <v>477</v>
      </c>
      <c r="B481" s="179" t="s">
        <v>3165</v>
      </c>
      <c r="C481" s="114">
        <v>0</v>
      </c>
      <c r="D481" s="114" t="s">
        <v>991</v>
      </c>
      <c r="E481" s="114" t="s">
        <v>944</v>
      </c>
      <c r="F481" s="114" t="s">
        <v>909</v>
      </c>
      <c r="G481" s="114"/>
      <c r="H481" s="114"/>
      <c r="I481" s="114"/>
      <c r="J481" s="114"/>
      <c r="K481" s="114"/>
      <c r="L481" s="114"/>
      <c r="M481" s="191" t="s">
        <v>874</v>
      </c>
      <c r="N481" s="114">
        <v>10</v>
      </c>
      <c r="O481" s="180" t="s">
        <v>1181</v>
      </c>
      <c r="P481" s="180" t="s">
        <v>1089</v>
      </c>
      <c r="Q481" s="180" t="s">
        <v>1181</v>
      </c>
      <c r="R481" s="180"/>
      <c r="S481" s="180"/>
      <c r="T481" s="181" t="s">
        <v>3166</v>
      </c>
      <c r="U481" s="179" t="s">
        <v>3167</v>
      </c>
      <c r="V481" s="179" t="s">
        <v>3168</v>
      </c>
      <c r="W481" s="114" t="s">
        <v>3169</v>
      </c>
      <c r="X481" s="180">
        <v>32</v>
      </c>
      <c r="Y481" s="182" t="s">
        <v>1503</v>
      </c>
      <c r="Z481" s="183" t="s">
        <v>2774</v>
      </c>
      <c r="AA481" s="184"/>
      <c r="AB481" s="182"/>
      <c r="AC481" s="114">
        <v>6</v>
      </c>
      <c r="AD481" s="172" t="s">
        <v>887</v>
      </c>
      <c r="AE481" s="114"/>
      <c r="AF481" s="114"/>
      <c r="AG481" s="114"/>
      <c r="AH481" s="106"/>
      <c r="AI481" s="114"/>
      <c r="AJ481" s="106"/>
      <c r="AK481" s="114"/>
      <c r="AL481" s="106"/>
      <c r="AM481" s="114"/>
      <c r="AN481" s="106"/>
      <c r="AO481" s="114"/>
      <c r="AP481" s="106"/>
      <c r="AQ481" s="114"/>
      <c r="AR481" s="106"/>
      <c r="AS481" s="114"/>
      <c r="AT481" s="106"/>
      <c r="AU481" s="114"/>
      <c r="AV481" s="106"/>
      <c r="AW481" s="114"/>
      <c r="AX481" s="157"/>
      <c r="AY481" s="157"/>
      <c r="AZ481" s="157"/>
      <c r="BA481" s="157"/>
      <c r="BB481" s="157"/>
      <c r="BC481" s="157"/>
    </row>
    <row r="482" spans="1:55" x14ac:dyDescent="0.3">
      <c r="A482" s="114">
        <f t="shared" si="13"/>
        <v>478</v>
      </c>
      <c r="B482" s="179" t="s">
        <v>3170</v>
      </c>
      <c r="C482" s="114">
        <v>0</v>
      </c>
      <c r="D482" s="114" t="s">
        <v>991</v>
      </c>
      <c r="E482" s="114" t="s">
        <v>966</v>
      </c>
      <c r="F482" s="114" t="s">
        <v>909</v>
      </c>
      <c r="G482" s="114"/>
      <c r="H482" s="114"/>
      <c r="I482" s="114"/>
      <c r="J482" s="114"/>
      <c r="K482" s="114"/>
      <c r="L482" s="114"/>
      <c r="M482" s="114"/>
      <c r="N482" s="114">
        <v>10</v>
      </c>
      <c r="O482" s="180">
        <v>-2147483648</v>
      </c>
      <c r="P482" s="180">
        <v>2147483647</v>
      </c>
      <c r="Q482" s="180">
        <v>0</v>
      </c>
      <c r="R482" s="180"/>
      <c r="S482" s="180"/>
      <c r="T482" s="181" t="s">
        <v>3171</v>
      </c>
      <c r="U482" s="179" t="s">
        <v>3172</v>
      </c>
      <c r="V482" s="179" t="s">
        <v>3173</v>
      </c>
      <c r="W482" s="114" t="s">
        <v>3174</v>
      </c>
      <c r="X482" s="180">
        <v>32</v>
      </c>
      <c r="Y482" s="182" t="s">
        <v>1503</v>
      </c>
      <c r="Z482" s="183" t="s">
        <v>2774</v>
      </c>
      <c r="AA482" s="184"/>
      <c r="AB482" s="182"/>
      <c r="AC482" s="114">
        <v>6</v>
      </c>
      <c r="AD482" s="172" t="s">
        <v>887</v>
      </c>
      <c r="AE482" s="114"/>
      <c r="AF482" s="114"/>
      <c r="AG482" s="114"/>
      <c r="AH482" s="106"/>
      <c r="AI482" s="114"/>
      <c r="AJ482" s="106"/>
      <c r="AK482" s="114"/>
      <c r="AL482" s="106"/>
      <c r="AM482" s="114"/>
      <c r="AN482" s="106"/>
      <c r="AO482" s="114"/>
      <c r="AP482" s="106"/>
      <c r="AQ482" s="114"/>
      <c r="AR482" s="106"/>
      <c r="AS482" s="114"/>
      <c r="AT482" s="106"/>
      <c r="AU482" s="114"/>
      <c r="AV482" s="106"/>
      <c r="AW482" s="114"/>
      <c r="AX482" s="157"/>
      <c r="AY482" s="157"/>
      <c r="AZ482" s="157"/>
      <c r="BA482" s="157"/>
      <c r="BB482" s="157"/>
      <c r="BC482" s="157"/>
    </row>
    <row r="483" spans="1:55" x14ac:dyDescent="0.3">
      <c r="A483" s="114">
        <f t="shared" si="13"/>
        <v>479</v>
      </c>
      <c r="B483" s="179" t="s">
        <v>3175</v>
      </c>
      <c r="C483" s="114">
        <v>0</v>
      </c>
      <c r="D483" s="114" t="s">
        <v>991</v>
      </c>
      <c r="E483" s="114" t="s">
        <v>944</v>
      </c>
      <c r="F483" s="114" t="s">
        <v>909</v>
      </c>
      <c r="G483" s="114"/>
      <c r="H483" s="114"/>
      <c r="I483" s="114"/>
      <c r="J483" s="114"/>
      <c r="K483" s="114"/>
      <c r="L483" s="114"/>
      <c r="M483" s="191" t="s">
        <v>874</v>
      </c>
      <c r="N483" s="114">
        <v>10</v>
      </c>
      <c r="O483" s="180" t="s">
        <v>1181</v>
      </c>
      <c r="P483" s="180" t="s">
        <v>1089</v>
      </c>
      <c r="Q483" s="180" t="s">
        <v>1181</v>
      </c>
      <c r="R483" s="180"/>
      <c r="S483" s="180"/>
      <c r="T483" s="181" t="s">
        <v>3176</v>
      </c>
      <c r="U483" s="179" t="s">
        <v>3177</v>
      </c>
      <c r="V483" s="179" t="s">
        <v>3178</v>
      </c>
      <c r="W483" s="114" t="s">
        <v>3179</v>
      </c>
      <c r="X483" s="180">
        <v>32</v>
      </c>
      <c r="Y483" s="182" t="s">
        <v>1503</v>
      </c>
      <c r="Z483" s="183" t="s">
        <v>2774</v>
      </c>
      <c r="AA483" s="184"/>
      <c r="AB483" s="182"/>
      <c r="AC483" s="114">
        <v>6</v>
      </c>
      <c r="AD483" s="172" t="s">
        <v>887</v>
      </c>
      <c r="AE483" s="114"/>
      <c r="AF483" s="114"/>
      <c r="AG483" s="114"/>
      <c r="AH483" s="106"/>
      <c r="AI483" s="114"/>
      <c r="AJ483" s="106"/>
      <c r="AK483" s="114"/>
      <c r="AL483" s="106"/>
      <c r="AM483" s="114"/>
      <c r="AN483" s="106"/>
      <c r="AO483" s="114"/>
      <c r="AP483" s="106"/>
      <c r="AQ483" s="114"/>
      <c r="AR483" s="106"/>
      <c r="AS483" s="114"/>
      <c r="AT483" s="106"/>
      <c r="AU483" s="114"/>
      <c r="AV483" s="106"/>
      <c r="AW483" s="114"/>
      <c r="AX483" s="157"/>
      <c r="AY483" s="157"/>
      <c r="AZ483" s="157"/>
      <c r="BA483" s="157"/>
      <c r="BB483" s="157"/>
      <c r="BC483" s="157"/>
    </row>
    <row r="484" spans="1:55" x14ac:dyDescent="0.3">
      <c r="A484" s="114">
        <f t="shared" si="13"/>
        <v>480</v>
      </c>
      <c r="B484" s="179" t="s">
        <v>3180</v>
      </c>
      <c r="C484" s="114">
        <v>0</v>
      </c>
      <c r="D484" s="114" t="s">
        <v>991</v>
      </c>
      <c r="E484" s="114" t="s">
        <v>966</v>
      </c>
      <c r="F484" s="114" t="s">
        <v>909</v>
      </c>
      <c r="G484" s="114"/>
      <c r="H484" s="114"/>
      <c r="I484" s="114"/>
      <c r="J484" s="114"/>
      <c r="K484" s="114"/>
      <c r="L484" s="114"/>
      <c r="M484" s="114"/>
      <c r="N484" s="114">
        <v>10</v>
      </c>
      <c r="O484" s="180">
        <v>-2147483648</v>
      </c>
      <c r="P484" s="180">
        <v>2147483647</v>
      </c>
      <c r="Q484" s="180">
        <v>0</v>
      </c>
      <c r="R484" s="180"/>
      <c r="S484" s="180"/>
      <c r="T484" s="181" t="s">
        <v>3181</v>
      </c>
      <c r="U484" s="179" t="s">
        <v>3182</v>
      </c>
      <c r="V484" s="179" t="s">
        <v>3183</v>
      </c>
      <c r="W484" s="114" t="s">
        <v>3184</v>
      </c>
      <c r="X484" s="180">
        <v>32</v>
      </c>
      <c r="Y484" s="182" t="s">
        <v>1503</v>
      </c>
      <c r="Z484" s="183" t="s">
        <v>2774</v>
      </c>
      <c r="AA484" s="184"/>
      <c r="AB484" s="182"/>
      <c r="AC484" s="114">
        <v>6</v>
      </c>
      <c r="AD484" s="172" t="s">
        <v>887</v>
      </c>
      <c r="AE484" s="114"/>
      <c r="AF484" s="114"/>
      <c r="AG484" s="114"/>
      <c r="AH484" s="106"/>
      <c r="AI484" s="114"/>
      <c r="AJ484" s="106"/>
      <c r="AK484" s="114"/>
      <c r="AL484" s="106"/>
      <c r="AM484" s="114"/>
      <c r="AN484" s="106"/>
      <c r="AO484" s="114"/>
      <c r="AP484" s="106"/>
      <c r="AQ484" s="114"/>
      <c r="AR484" s="106"/>
      <c r="AS484" s="114"/>
      <c r="AT484" s="106"/>
      <c r="AU484" s="114"/>
      <c r="AV484" s="106"/>
      <c r="AW484" s="114"/>
      <c r="AX484" s="157"/>
      <c r="AY484" s="157"/>
      <c r="AZ484" s="157"/>
      <c r="BA484" s="157"/>
      <c r="BB484" s="157"/>
      <c r="BC484" s="157"/>
    </row>
    <row r="485" spans="1:55" x14ac:dyDescent="0.3">
      <c r="A485" s="114">
        <f t="shared" si="13"/>
        <v>481</v>
      </c>
      <c r="B485" s="179" t="s">
        <v>3185</v>
      </c>
      <c r="C485" s="114">
        <v>0</v>
      </c>
      <c r="D485" s="114" t="s">
        <v>991</v>
      </c>
      <c r="E485" s="114" t="s">
        <v>944</v>
      </c>
      <c r="F485" s="114" t="s">
        <v>909</v>
      </c>
      <c r="G485" s="114"/>
      <c r="H485" s="114"/>
      <c r="I485" s="114"/>
      <c r="J485" s="114"/>
      <c r="K485" s="114"/>
      <c r="L485" s="114"/>
      <c r="M485" s="191" t="s">
        <v>874</v>
      </c>
      <c r="N485" s="114">
        <v>10</v>
      </c>
      <c r="O485" s="180" t="s">
        <v>1181</v>
      </c>
      <c r="P485" s="180" t="s">
        <v>1089</v>
      </c>
      <c r="Q485" s="180" t="s">
        <v>1181</v>
      </c>
      <c r="R485" s="180"/>
      <c r="S485" s="180"/>
      <c r="T485" s="181" t="s">
        <v>3186</v>
      </c>
      <c r="U485" s="179" t="s">
        <v>3187</v>
      </c>
      <c r="V485" s="179" t="s">
        <v>3188</v>
      </c>
      <c r="W485" s="114" t="s">
        <v>3189</v>
      </c>
      <c r="X485" s="180">
        <v>32</v>
      </c>
      <c r="Y485" s="182" t="s">
        <v>1503</v>
      </c>
      <c r="Z485" s="183" t="s">
        <v>2774</v>
      </c>
      <c r="AA485" s="184"/>
      <c r="AB485" s="182"/>
      <c r="AC485" s="114">
        <v>6</v>
      </c>
      <c r="AD485" s="172" t="s">
        <v>887</v>
      </c>
      <c r="AE485" s="114"/>
      <c r="AF485" s="114"/>
      <c r="AG485" s="114"/>
      <c r="AH485" s="106"/>
      <c r="AI485" s="114"/>
      <c r="AJ485" s="106"/>
      <c r="AK485" s="114"/>
      <c r="AL485" s="106"/>
      <c r="AM485" s="114"/>
      <c r="AN485" s="106"/>
      <c r="AO485" s="114"/>
      <c r="AP485" s="106"/>
      <c r="AQ485" s="114"/>
      <c r="AR485" s="106"/>
      <c r="AS485" s="114"/>
      <c r="AT485" s="106"/>
      <c r="AU485" s="114"/>
      <c r="AV485" s="106"/>
      <c r="AW485" s="114"/>
      <c r="AX485" s="157"/>
      <c r="AY485" s="157"/>
      <c r="AZ485" s="157"/>
      <c r="BA485" s="157"/>
      <c r="BB485" s="157"/>
      <c r="BC485" s="157"/>
    </row>
    <row r="486" spans="1:55" x14ac:dyDescent="0.3">
      <c r="A486" s="114">
        <f t="shared" si="13"/>
        <v>482</v>
      </c>
      <c r="B486" s="179" t="s">
        <v>3190</v>
      </c>
      <c r="C486" s="114">
        <v>0</v>
      </c>
      <c r="D486" s="114" t="s">
        <v>991</v>
      </c>
      <c r="E486" s="114" t="s">
        <v>966</v>
      </c>
      <c r="F486" s="114" t="s">
        <v>909</v>
      </c>
      <c r="G486" s="114"/>
      <c r="H486" s="114"/>
      <c r="I486" s="114"/>
      <c r="J486" s="114"/>
      <c r="K486" s="114"/>
      <c r="L486" s="114"/>
      <c r="M486" s="114"/>
      <c r="N486" s="114">
        <v>10</v>
      </c>
      <c r="O486" s="180">
        <v>-2147483648</v>
      </c>
      <c r="P486" s="180">
        <v>2147483647</v>
      </c>
      <c r="Q486" s="180">
        <v>0</v>
      </c>
      <c r="R486" s="180"/>
      <c r="S486" s="180"/>
      <c r="T486" s="181" t="s">
        <v>3191</v>
      </c>
      <c r="U486" s="179" t="s">
        <v>3192</v>
      </c>
      <c r="V486" s="179" t="s">
        <v>3193</v>
      </c>
      <c r="W486" s="114" t="s">
        <v>3194</v>
      </c>
      <c r="X486" s="180">
        <v>32</v>
      </c>
      <c r="Y486" s="182" t="s">
        <v>1503</v>
      </c>
      <c r="Z486" s="183" t="s">
        <v>2774</v>
      </c>
      <c r="AA486" s="184"/>
      <c r="AB486" s="182"/>
      <c r="AC486" s="114">
        <v>6</v>
      </c>
      <c r="AD486" s="172" t="s">
        <v>887</v>
      </c>
      <c r="AE486" s="114"/>
      <c r="AF486" s="114"/>
      <c r="AG486" s="114"/>
      <c r="AH486" s="106"/>
      <c r="AI486" s="114"/>
      <c r="AJ486" s="106"/>
      <c r="AK486" s="114"/>
      <c r="AL486" s="106"/>
      <c r="AM486" s="114"/>
      <c r="AN486" s="106"/>
      <c r="AO486" s="114"/>
      <c r="AP486" s="106"/>
      <c r="AQ486" s="114"/>
      <c r="AR486" s="106"/>
      <c r="AS486" s="114"/>
      <c r="AT486" s="106"/>
      <c r="AU486" s="114"/>
      <c r="AV486" s="106"/>
      <c r="AW486" s="114"/>
      <c r="AX486" s="157"/>
      <c r="AY486" s="157"/>
      <c r="AZ486" s="157"/>
      <c r="BA486" s="157"/>
      <c r="BB486" s="157"/>
      <c r="BC486" s="157"/>
    </row>
    <row r="487" spans="1:55" x14ac:dyDescent="0.3">
      <c r="A487" s="114">
        <f t="shared" si="13"/>
        <v>483</v>
      </c>
      <c r="B487" s="179" t="s">
        <v>3195</v>
      </c>
      <c r="C487" s="114">
        <v>0</v>
      </c>
      <c r="D487" s="114" t="s">
        <v>991</v>
      </c>
      <c r="E487" s="114" t="s">
        <v>944</v>
      </c>
      <c r="F487" s="114" t="s">
        <v>909</v>
      </c>
      <c r="G487" s="114"/>
      <c r="H487" s="114"/>
      <c r="I487" s="114"/>
      <c r="J487" s="114"/>
      <c r="K487" s="114"/>
      <c r="L487" s="114"/>
      <c r="M487" s="191" t="s">
        <v>874</v>
      </c>
      <c r="N487" s="114">
        <v>10</v>
      </c>
      <c r="O487" s="180" t="s">
        <v>1181</v>
      </c>
      <c r="P487" s="180" t="s">
        <v>1089</v>
      </c>
      <c r="Q487" s="180" t="s">
        <v>1181</v>
      </c>
      <c r="R487" s="180"/>
      <c r="S487" s="180"/>
      <c r="T487" s="181" t="s">
        <v>3196</v>
      </c>
      <c r="U487" s="179" t="s">
        <v>3197</v>
      </c>
      <c r="V487" s="179" t="s">
        <v>3198</v>
      </c>
      <c r="W487" s="114" t="s">
        <v>3199</v>
      </c>
      <c r="X487" s="180">
        <v>32</v>
      </c>
      <c r="Y487" s="182" t="s">
        <v>1503</v>
      </c>
      <c r="Z487" s="183" t="s">
        <v>2774</v>
      </c>
      <c r="AA487" s="184"/>
      <c r="AB487" s="182"/>
      <c r="AC487" s="114">
        <v>6</v>
      </c>
      <c r="AD487" s="172" t="s">
        <v>887</v>
      </c>
      <c r="AE487" s="114"/>
      <c r="AF487" s="114"/>
      <c r="AG487" s="114"/>
      <c r="AH487" s="106"/>
      <c r="AI487" s="114"/>
      <c r="AJ487" s="106"/>
      <c r="AK487" s="114"/>
      <c r="AL487" s="106"/>
      <c r="AM487" s="114"/>
      <c r="AN487" s="106"/>
      <c r="AO487" s="114"/>
      <c r="AP487" s="106"/>
      <c r="AQ487" s="114"/>
      <c r="AR487" s="106"/>
      <c r="AS487" s="114"/>
      <c r="AT487" s="106"/>
      <c r="AU487" s="114"/>
      <c r="AV487" s="106"/>
      <c r="AW487" s="114"/>
      <c r="AX487" s="157"/>
      <c r="AY487" s="157"/>
      <c r="AZ487" s="157"/>
      <c r="BA487" s="157"/>
      <c r="BB487" s="157"/>
      <c r="BC487" s="157"/>
    </row>
    <row r="488" spans="1:55" x14ac:dyDescent="0.3">
      <c r="A488" s="114">
        <f t="shared" si="13"/>
        <v>484</v>
      </c>
      <c r="B488" s="179" t="s">
        <v>3200</v>
      </c>
      <c r="C488" s="114">
        <v>0</v>
      </c>
      <c r="D488" s="114" t="s">
        <v>991</v>
      </c>
      <c r="E488" s="114" t="s">
        <v>966</v>
      </c>
      <c r="F488" s="114" t="s">
        <v>909</v>
      </c>
      <c r="G488" s="114"/>
      <c r="H488" s="114"/>
      <c r="I488" s="114"/>
      <c r="J488" s="114"/>
      <c r="K488" s="114"/>
      <c r="L488" s="114"/>
      <c r="M488" s="114"/>
      <c r="N488" s="114">
        <v>10</v>
      </c>
      <c r="O488" s="180">
        <v>-2147483648</v>
      </c>
      <c r="P488" s="180">
        <v>2147483647</v>
      </c>
      <c r="Q488" s="180">
        <v>0</v>
      </c>
      <c r="R488" s="180"/>
      <c r="S488" s="180"/>
      <c r="T488" s="181" t="s">
        <v>3201</v>
      </c>
      <c r="U488" s="179" t="s">
        <v>3202</v>
      </c>
      <c r="V488" s="179" t="s">
        <v>3203</v>
      </c>
      <c r="W488" s="114" t="s">
        <v>3204</v>
      </c>
      <c r="X488" s="180">
        <v>32</v>
      </c>
      <c r="Y488" s="182" t="s">
        <v>1503</v>
      </c>
      <c r="Z488" s="183" t="s">
        <v>2774</v>
      </c>
      <c r="AA488" s="184"/>
      <c r="AB488" s="182"/>
      <c r="AC488" s="114">
        <v>6</v>
      </c>
      <c r="AD488" s="172" t="s">
        <v>887</v>
      </c>
      <c r="AE488" s="114"/>
      <c r="AF488" s="114"/>
      <c r="AG488" s="114"/>
      <c r="AH488" s="106"/>
      <c r="AI488" s="114"/>
      <c r="AJ488" s="106"/>
      <c r="AK488" s="114"/>
      <c r="AL488" s="106"/>
      <c r="AM488" s="114"/>
      <c r="AN488" s="106"/>
      <c r="AO488" s="114"/>
      <c r="AP488" s="106"/>
      <c r="AQ488" s="114"/>
      <c r="AR488" s="106"/>
      <c r="AS488" s="114"/>
      <c r="AT488" s="106"/>
      <c r="AU488" s="114"/>
      <c r="AV488" s="106"/>
      <c r="AW488" s="114"/>
      <c r="AX488" s="157"/>
      <c r="AY488" s="157"/>
      <c r="AZ488" s="157"/>
      <c r="BA488" s="157"/>
      <c r="BB488" s="157"/>
      <c r="BC488" s="157"/>
    </row>
    <row r="489" spans="1:55" x14ac:dyDescent="0.3">
      <c r="A489" s="114">
        <f t="shared" si="13"/>
        <v>485</v>
      </c>
      <c r="B489" s="179" t="s">
        <v>3205</v>
      </c>
      <c r="C489" s="114">
        <v>0</v>
      </c>
      <c r="D489" s="114" t="s">
        <v>991</v>
      </c>
      <c r="E489" s="114" t="s">
        <v>944</v>
      </c>
      <c r="F489" s="114" t="s">
        <v>909</v>
      </c>
      <c r="G489" s="114"/>
      <c r="H489" s="114"/>
      <c r="I489" s="114"/>
      <c r="J489" s="114"/>
      <c r="K489" s="114"/>
      <c r="L489" s="114"/>
      <c r="M489" s="191" t="s">
        <v>874</v>
      </c>
      <c r="N489" s="114">
        <v>10</v>
      </c>
      <c r="O489" s="180" t="s">
        <v>1181</v>
      </c>
      <c r="P489" s="180" t="s">
        <v>1089</v>
      </c>
      <c r="Q489" s="180" t="s">
        <v>1181</v>
      </c>
      <c r="R489" s="180"/>
      <c r="S489" s="180"/>
      <c r="T489" s="181" t="s">
        <v>3206</v>
      </c>
      <c r="U489" s="179" t="s">
        <v>3207</v>
      </c>
      <c r="V489" s="179" t="s">
        <v>3208</v>
      </c>
      <c r="W489" s="114" t="s">
        <v>3209</v>
      </c>
      <c r="X489" s="180">
        <v>32</v>
      </c>
      <c r="Y489" s="182" t="s">
        <v>1503</v>
      </c>
      <c r="Z489" s="183" t="s">
        <v>2774</v>
      </c>
      <c r="AA489" s="184"/>
      <c r="AB489" s="182"/>
      <c r="AC489" s="114">
        <v>6</v>
      </c>
      <c r="AD489" s="172" t="s">
        <v>887</v>
      </c>
      <c r="AE489" s="114"/>
      <c r="AF489" s="114"/>
      <c r="AG489" s="114"/>
      <c r="AH489" s="106"/>
      <c r="AI489" s="114"/>
      <c r="AJ489" s="106"/>
      <c r="AK489" s="114"/>
      <c r="AL489" s="106"/>
      <c r="AM489" s="114"/>
      <c r="AN489" s="106"/>
      <c r="AO489" s="114"/>
      <c r="AP489" s="106"/>
      <c r="AQ489" s="114"/>
      <c r="AR489" s="106"/>
      <c r="AS489" s="114"/>
      <c r="AT489" s="106"/>
      <c r="AU489" s="114"/>
      <c r="AV489" s="106"/>
      <c r="AW489" s="114"/>
      <c r="AX489" s="157"/>
      <c r="AY489" s="157"/>
      <c r="AZ489" s="157"/>
      <c r="BA489" s="157"/>
      <c r="BB489" s="157"/>
      <c r="BC489" s="157"/>
    </row>
    <row r="490" spans="1:55" x14ac:dyDescent="0.3">
      <c r="A490" s="114">
        <f t="shared" si="13"/>
        <v>486</v>
      </c>
      <c r="B490" s="179" t="s">
        <v>3210</v>
      </c>
      <c r="C490" s="114">
        <v>0</v>
      </c>
      <c r="D490" s="114" t="s">
        <v>991</v>
      </c>
      <c r="E490" s="114" t="s">
        <v>966</v>
      </c>
      <c r="F490" s="114" t="s">
        <v>909</v>
      </c>
      <c r="G490" s="114"/>
      <c r="H490" s="114"/>
      <c r="I490" s="114"/>
      <c r="J490" s="114"/>
      <c r="K490" s="114"/>
      <c r="L490" s="114"/>
      <c r="M490" s="114"/>
      <c r="N490" s="114">
        <v>10</v>
      </c>
      <c r="O490" s="180">
        <v>-2147483648</v>
      </c>
      <c r="P490" s="180">
        <v>2147483647</v>
      </c>
      <c r="Q490" s="180">
        <v>0</v>
      </c>
      <c r="R490" s="180"/>
      <c r="S490" s="180"/>
      <c r="T490" s="181" t="s">
        <v>3211</v>
      </c>
      <c r="U490" s="179" t="s">
        <v>3212</v>
      </c>
      <c r="V490" s="179" t="s">
        <v>3213</v>
      </c>
      <c r="W490" s="114" t="s">
        <v>3214</v>
      </c>
      <c r="X490" s="180">
        <v>32</v>
      </c>
      <c r="Y490" s="182" t="s">
        <v>1503</v>
      </c>
      <c r="Z490" s="183" t="s">
        <v>2774</v>
      </c>
      <c r="AA490" s="184"/>
      <c r="AB490" s="182"/>
      <c r="AC490" s="114">
        <v>6</v>
      </c>
      <c r="AD490" s="172" t="s">
        <v>887</v>
      </c>
      <c r="AE490" s="114"/>
      <c r="AF490" s="114"/>
      <c r="AG490" s="114"/>
      <c r="AH490" s="106"/>
      <c r="AI490" s="114"/>
      <c r="AJ490" s="106"/>
      <c r="AK490" s="114"/>
      <c r="AL490" s="106"/>
      <c r="AM490" s="114"/>
      <c r="AN490" s="106"/>
      <c r="AO490" s="114"/>
      <c r="AP490" s="106"/>
      <c r="AQ490" s="114"/>
      <c r="AR490" s="106"/>
      <c r="AS490" s="114"/>
      <c r="AT490" s="106"/>
      <c r="AU490" s="114"/>
      <c r="AV490" s="106"/>
      <c r="AW490" s="114"/>
      <c r="AX490" s="157"/>
      <c r="AY490" s="157"/>
      <c r="AZ490" s="157"/>
      <c r="BA490" s="157"/>
      <c r="BB490" s="157"/>
      <c r="BC490" s="157"/>
    </row>
    <row r="491" spans="1:55" x14ac:dyDescent="0.3">
      <c r="A491" s="114">
        <f t="shared" si="13"/>
        <v>487</v>
      </c>
      <c r="B491" s="179" t="s">
        <v>3215</v>
      </c>
      <c r="C491" s="114">
        <v>0</v>
      </c>
      <c r="D491" s="114" t="s">
        <v>991</v>
      </c>
      <c r="E491" s="114" t="s">
        <v>944</v>
      </c>
      <c r="F491" s="114" t="s">
        <v>909</v>
      </c>
      <c r="G491" s="114"/>
      <c r="H491" s="114"/>
      <c r="I491" s="114"/>
      <c r="J491" s="114"/>
      <c r="K491" s="114"/>
      <c r="L491" s="114"/>
      <c r="M491" s="191" t="s">
        <v>874</v>
      </c>
      <c r="N491" s="114">
        <v>10</v>
      </c>
      <c r="O491" s="180" t="s">
        <v>1181</v>
      </c>
      <c r="P491" s="180" t="s">
        <v>1089</v>
      </c>
      <c r="Q491" s="180" t="s">
        <v>1181</v>
      </c>
      <c r="R491" s="180"/>
      <c r="S491" s="180"/>
      <c r="T491" s="181" t="s">
        <v>3216</v>
      </c>
      <c r="U491" s="179" t="s">
        <v>3217</v>
      </c>
      <c r="V491" s="179" t="s">
        <v>3218</v>
      </c>
      <c r="W491" s="114" t="s">
        <v>3219</v>
      </c>
      <c r="X491" s="180">
        <v>32</v>
      </c>
      <c r="Y491" s="182" t="s">
        <v>1503</v>
      </c>
      <c r="Z491" s="183" t="s">
        <v>2774</v>
      </c>
      <c r="AA491" s="184"/>
      <c r="AB491" s="182"/>
      <c r="AC491" s="114">
        <v>6</v>
      </c>
      <c r="AD491" s="172" t="s">
        <v>887</v>
      </c>
      <c r="AE491" s="114"/>
      <c r="AF491" s="114"/>
      <c r="AG491" s="114"/>
      <c r="AH491" s="106"/>
      <c r="AI491" s="114"/>
      <c r="AJ491" s="106"/>
      <c r="AK491" s="114"/>
      <c r="AL491" s="106"/>
      <c r="AM491" s="114"/>
      <c r="AN491" s="106"/>
      <c r="AO491" s="114"/>
      <c r="AP491" s="106"/>
      <c r="AQ491" s="114"/>
      <c r="AR491" s="106"/>
      <c r="AS491" s="114"/>
      <c r="AT491" s="106"/>
      <c r="AU491" s="114"/>
      <c r="AV491" s="106"/>
      <c r="AW491" s="114"/>
      <c r="AX491" s="157"/>
      <c r="AY491" s="157"/>
      <c r="AZ491" s="157"/>
      <c r="BA491" s="157"/>
      <c r="BB491" s="157"/>
      <c r="BC491" s="157"/>
    </row>
    <row r="492" spans="1:55" x14ac:dyDescent="0.3">
      <c r="A492" s="114">
        <f t="shared" si="13"/>
        <v>488</v>
      </c>
      <c r="B492" s="179" t="s">
        <v>3220</v>
      </c>
      <c r="C492" s="114">
        <v>0</v>
      </c>
      <c r="D492" s="114" t="s">
        <v>991</v>
      </c>
      <c r="E492" s="114" t="s">
        <v>966</v>
      </c>
      <c r="F492" s="114" t="s">
        <v>909</v>
      </c>
      <c r="G492" s="114"/>
      <c r="H492" s="114"/>
      <c r="I492" s="114"/>
      <c r="J492" s="114"/>
      <c r="K492" s="114"/>
      <c r="L492" s="114"/>
      <c r="M492" s="114"/>
      <c r="N492" s="114">
        <v>10</v>
      </c>
      <c r="O492" s="180">
        <v>-2147483648</v>
      </c>
      <c r="P492" s="180">
        <v>2147483647</v>
      </c>
      <c r="Q492" s="180">
        <v>0</v>
      </c>
      <c r="R492" s="180"/>
      <c r="S492" s="180"/>
      <c r="T492" s="181" t="s">
        <v>3221</v>
      </c>
      <c r="U492" s="179" t="s">
        <v>3222</v>
      </c>
      <c r="V492" s="179" t="s">
        <v>3223</v>
      </c>
      <c r="W492" s="114" t="s">
        <v>3224</v>
      </c>
      <c r="X492" s="180">
        <v>32</v>
      </c>
      <c r="Y492" s="182" t="s">
        <v>1503</v>
      </c>
      <c r="Z492" s="183" t="s">
        <v>2774</v>
      </c>
      <c r="AA492" s="184"/>
      <c r="AB492" s="182"/>
      <c r="AC492" s="114">
        <v>6</v>
      </c>
      <c r="AD492" s="172" t="s">
        <v>887</v>
      </c>
      <c r="AE492" s="114"/>
      <c r="AF492" s="114"/>
      <c r="AG492" s="114"/>
      <c r="AH492" s="106"/>
      <c r="AI492" s="114"/>
      <c r="AJ492" s="106"/>
      <c r="AK492" s="114"/>
      <c r="AL492" s="106"/>
      <c r="AM492" s="114"/>
      <c r="AN492" s="106"/>
      <c r="AO492" s="114"/>
      <c r="AP492" s="106"/>
      <c r="AQ492" s="114"/>
      <c r="AR492" s="106"/>
      <c r="AS492" s="114"/>
      <c r="AT492" s="106"/>
      <c r="AU492" s="114"/>
      <c r="AV492" s="106"/>
      <c r="AW492" s="114"/>
      <c r="AX492" s="157"/>
      <c r="AY492" s="157"/>
      <c r="AZ492" s="157"/>
      <c r="BA492" s="157"/>
      <c r="BB492" s="157"/>
      <c r="BC492" s="157"/>
    </row>
    <row r="493" spans="1:55" x14ac:dyDescent="0.3">
      <c r="A493" s="114">
        <f>A492+1</f>
        <v>489</v>
      </c>
      <c r="B493" s="179" t="s">
        <v>3225</v>
      </c>
      <c r="C493" s="114">
        <v>0</v>
      </c>
      <c r="D493" s="114" t="s">
        <v>991</v>
      </c>
      <c r="E493" s="114" t="s">
        <v>944</v>
      </c>
      <c r="F493" s="114" t="s">
        <v>909</v>
      </c>
      <c r="G493" s="114"/>
      <c r="H493" s="114"/>
      <c r="I493" s="114"/>
      <c r="J493" s="114"/>
      <c r="K493" s="114"/>
      <c r="L493" s="114"/>
      <c r="M493" s="191" t="s">
        <v>874</v>
      </c>
      <c r="N493" s="114">
        <v>10</v>
      </c>
      <c r="O493" s="180" t="s">
        <v>1181</v>
      </c>
      <c r="P493" s="180" t="s">
        <v>1089</v>
      </c>
      <c r="Q493" s="180" t="s">
        <v>1181</v>
      </c>
      <c r="R493" s="180"/>
      <c r="S493" s="180"/>
      <c r="T493" s="181" t="s">
        <v>3226</v>
      </c>
      <c r="U493" s="179" t="s">
        <v>3227</v>
      </c>
      <c r="V493" s="179" t="s">
        <v>3228</v>
      </c>
      <c r="W493" s="114" t="s">
        <v>3229</v>
      </c>
      <c r="X493" s="180">
        <v>32</v>
      </c>
      <c r="Y493" s="182" t="s">
        <v>1503</v>
      </c>
      <c r="Z493" s="183" t="s">
        <v>2774</v>
      </c>
      <c r="AA493" s="184"/>
      <c r="AB493" s="182"/>
      <c r="AC493" s="114">
        <v>6</v>
      </c>
      <c r="AD493" s="172" t="s">
        <v>887</v>
      </c>
      <c r="AE493" s="114"/>
      <c r="AF493" s="114"/>
      <c r="AG493" s="114"/>
      <c r="AH493" s="106"/>
      <c r="AI493" s="114"/>
      <c r="AJ493" s="106"/>
      <c r="AK493" s="114"/>
      <c r="AL493" s="106"/>
      <c r="AM493" s="114"/>
      <c r="AN493" s="106"/>
      <c r="AO493" s="114"/>
      <c r="AP493" s="106"/>
      <c r="AQ493" s="114"/>
      <c r="AR493" s="106"/>
      <c r="AS493" s="114"/>
      <c r="AT493" s="106"/>
      <c r="AU493" s="114"/>
      <c r="AV493" s="106"/>
      <c r="AW493" s="114"/>
      <c r="AX493" s="157"/>
      <c r="AY493" s="157"/>
      <c r="AZ493" s="157"/>
      <c r="BA493" s="157"/>
      <c r="BB493" s="157"/>
      <c r="BC493" s="157"/>
    </row>
    <row r="494" spans="1:55" x14ac:dyDescent="0.3">
      <c r="A494" s="114">
        <f t="shared" ref="A494:A509" si="14">A493+1</f>
        <v>490</v>
      </c>
      <c r="B494" s="179" t="s">
        <v>3230</v>
      </c>
      <c r="C494" s="114">
        <v>0</v>
      </c>
      <c r="D494" s="114" t="s">
        <v>991</v>
      </c>
      <c r="E494" s="114" t="s">
        <v>966</v>
      </c>
      <c r="F494" s="114" t="s">
        <v>909</v>
      </c>
      <c r="G494" s="114"/>
      <c r="H494" s="114"/>
      <c r="I494" s="114"/>
      <c r="J494" s="114"/>
      <c r="K494" s="114"/>
      <c r="L494" s="114"/>
      <c r="M494" s="114"/>
      <c r="N494" s="114">
        <v>10</v>
      </c>
      <c r="O494" s="180">
        <v>-2147483648</v>
      </c>
      <c r="P494" s="180">
        <v>2147483647</v>
      </c>
      <c r="Q494" s="180">
        <v>0</v>
      </c>
      <c r="R494" s="180"/>
      <c r="S494" s="180"/>
      <c r="T494" s="181" t="s">
        <v>3231</v>
      </c>
      <c r="U494" s="179" t="s">
        <v>3232</v>
      </c>
      <c r="V494" s="179" t="s">
        <v>3233</v>
      </c>
      <c r="W494" s="114" t="s">
        <v>3234</v>
      </c>
      <c r="X494" s="180">
        <v>32</v>
      </c>
      <c r="Y494" s="182" t="s">
        <v>1503</v>
      </c>
      <c r="Z494" s="183" t="s">
        <v>2774</v>
      </c>
      <c r="AA494" s="184"/>
      <c r="AB494" s="182"/>
      <c r="AC494" s="114">
        <v>6</v>
      </c>
      <c r="AD494" s="172" t="s">
        <v>887</v>
      </c>
      <c r="AE494" s="114"/>
      <c r="AF494" s="114"/>
      <c r="AG494" s="114"/>
      <c r="AH494" s="106"/>
      <c r="AI494" s="114"/>
      <c r="AJ494" s="106"/>
      <c r="AK494" s="114"/>
      <c r="AL494" s="106"/>
      <c r="AM494" s="114"/>
      <c r="AN494" s="106"/>
      <c r="AO494" s="114"/>
      <c r="AP494" s="106"/>
      <c r="AQ494" s="114"/>
      <c r="AR494" s="106"/>
      <c r="AS494" s="114"/>
      <c r="AT494" s="106"/>
      <c r="AU494" s="114"/>
      <c r="AV494" s="106"/>
      <c r="AW494" s="114"/>
      <c r="AX494" s="157"/>
      <c r="AY494" s="157"/>
      <c r="AZ494" s="157"/>
      <c r="BA494" s="157"/>
      <c r="BB494" s="157"/>
      <c r="BC494" s="157"/>
    </row>
    <row r="495" spans="1:55" x14ac:dyDescent="0.3">
      <c r="A495" s="114">
        <f t="shared" si="14"/>
        <v>491</v>
      </c>
      <c r="B495" s="179" t="s">
        <v>3235</v>
      </c>
      <c r="C495" s="114">
        <v>0</v>
      </c>
      <c r="D495" s="114" t="s">
        <v>991</v>
      </c>
      <c r="E495" s="114" t="s">
        <v>944</v>
      </c>
      <c r="F495" s="114" t="s">
        <v>909</v>
      </c>
      <c r="G495" s="114"/>
      <c r="H495" s="114"/>
      <c r="I495" s="114"/>
      <c r="J495" s="114"/>
      <c r="K495" s="114"/>
      <c r="L495" s="114"/>
      <c r="M495" s="191" t="s">
        <v>874</v>
      </c>
      <c r="N495" s="114">
        <v>10</v>
      </c>
      <c r="O495" s="180" t="s">
        <v>1181</v>
      </c>
      <c r="P495" s="180" t="s">
        <v>1089</v>
      </c>
      <c r="Q495" s="180" t="s">
        <v>1181</v>
      </c>
      <c r="R495" s="180"/>
      <c r="S495" s="180"/>
      <c r="T495" s="181" t="s">
        <v>3236</v>
      </c>
      <c r="U495" s="179" t="s">
        <v>3237</v>
      </c>
      <c r="V495" s="179" t="s">
        <v>3238</v>
      </c>
      <c r="W495" s="114" t="s">
        <v>3239</v>
      </c>
      <c r="X495" s="180">
        <v>32</v>
      </c>
      <c r="Y495" s="182" t="s">
        <v>1503</v>
      </c>
      <c r="Z495" s="183" t="s">
        <v>2774</v>
      </c>
      <c r="AA495" s="184"/>
      <c r="AB495" s="182"/>
      <c r="AC495" s="114">
        <v>6</v>
      </c>
      <c r="AD495" s="172" t="s">
        <v>887</v>
      </c>
      <c r="AE495" s="114"/>
      <c r="AF495" s="114"/>
      <c r="AG495" s="114"/>
      <c r="AH495" s="106"/>
      <c r="AI495" s="114"/>
      <c r="AJ495" s="106"/>
      <c r="AK495" s="114"/>
      <c r="AL495" s="106"/>
      <c r="AM495" s="114"/>
      <c r="AN495" s="106"/>
      <c r="AO495" s="114"/>
      <c r="AP495" s="106"/>
      <c r="AQ495" s="114"/>
      <c r="AR495" s="106"/>
      <c r="AS495" s="114"/>
      <c r="AT495" s="106"/>
      <c r="AU495" s="114"/>
      <c r="AV495" s="106"/>
      <c r="AW495" s="114"/>
      <c r="AX495" s="157"/>
      <c r="AY495" s="157"/>
      <c r="AZ495" s="157"/>
      <c r="BA495" s="157"/>
      <c r="BB495" s="157"/>
      <c r="BC495" s="157"/>
    </row>
    <row r="496" spans="1:55" x14ac:dyDescent="0.3">
      <c r="A496" s="114">
        <f t="shared" si="14"/>
        <v>492</v>
      </c>
      <c r="B496" s="179" t="s">
        <v>3240</v>
      </c>
      <c r="C496" s="114">
        <v>0</v>
      </c>
      <c r="D496" s="114" t="s">
        <v>991</v>
      </c>
      <c r="E496" s="114" t="s">
        <v>966</v>
      </c>
      <c r="F496" s="114" t="s">
        <v>909</v>
      </c>
      <c r="G496" s="114"/>
      <c r="H496" s="114"/>
      <c r="I496" s="114"/>
      <c r="J496" s="114"/>
      <c r="K496" s="114"/>
      <c r="L496" s="114"/>
      <c r="M496" s="114"/>
      <c r="N496" s="114">
        <v>10</v>
      </c>
      <c r="O496" s="180">
        <v>-2147483648</v>
      </c>
      <c r="P496" s="180">
        <v>2147483647</v>
      </c>
      <c r="Q496" s="180">
        <v>0</v>
      </c>
      <c r="R496" s="180"/>
      <c r="S496" s="180"/>
      <c r="T496" s="181" t="s">
        <v>3241</v>
      </c>
      <c r="U496" s="179" t="s">
        <v>3242</v>
      </c>
      <c r="V496" s="179" t="s">
        <v>3243</v>
      </c>
      <c r="W496" s="114" t="s">
        <v>3244</v>
      </c>
      <c r="X496" s="180">
        <v>32</v>
      </c>
      <c r="Y496" s="182" t="s">
        <v>1503</v>
      </c>
      <c r="Z496" s="183" t="s">
        <v>2774</v>
      </c>
      <c r="AA496" s="184"/>
      <c r="AB496" s="182"/>
      <c r="AC496" s="114">
        <v>6</v>
      </c>
      <c r="AD496" s="172" t="s">
        <v>887</v>
      </c>
      <c r="AE496" s="114"/>
      <c r="AF496" s="114"/>
      <c r="AG496" s="114"/>
      <c r="AH496" s="106"/>
      <c r="AI496" s="114"/>
      <c r="AJ496" s="106"/>
      <c r="AK496" s="114"/>
      <c r="AL496" s="106"/>
      <c r="AM496" s="114"/>
      <c r="AN496" s="106"/>
      <c r="AO496" s="114"/>
      <c r="AP496" s="106"/>
      <c r="AQ496" s="114"/>
      <c r="AR496" s="106"/>
      <c r="AS496" s="114"/>
      <c r="AT496" s="106"/>
      <c r="AU496" s="114"/>
      <c r="AV496" s="106"/>
      <c r="AW496" s="114"/>
      <c r="AX496" s="157"/>
      <c r="AY496" s="157"/>
      <c r="AZ496" s="157"/>
      <c r="BA496" s="157"/>
      <c r="BB496" s="157"/>
      <c r="BC496" s="157"/>
    </row>
    <row r="497" spans="1:55" x14ac:dyDescent="0.3">
      <c r="A497" s="114">
        <f t="shared" si="14"/>
        <v>493</v>
      </c>
      <c r="B497" s="179" t="s">
        <v>3245</v>
      </c>
      <c r="C497" s="114">
        <v>0</v>
      </c>
      <c r="D497" s="114" t="s">
        <v>991</v>
      </c>
      <c r="E497" s="114" t="s">
        <v>944</v>
      </c>
      <c r="F497" s="114" t="s">
        <v>909</v>
      </c>
      <c r="G497" s="114"/>
      <c r="H497" s="114"/>
      <c r="I497" s="114"/>
      <c r="J497" s="114"/>
      <c r="K497" s="114"/>
      <c r="L497" s="114"/>
      <c r="M497" s="191" t="s">
        <v>874</v>
      </c>
      <c r="N497" s="114">
        <v>10</v>
      </c>
      <c r="O497" s="180" t="s">
        <v>1181</v>
      </c>
      <c r="P497" s="180" t="s">
        <v>1089</v>
      </c>
      <c r="Q497" s="180" t="s">
        <v>1181</v>
      </c>
      <c r="R497" s="180"/>
      <c r="S497" s="180"/>
      <c r="T497" s="181" t="s">
        <v>3246</v>
      </c>
      <c r="U497" s="179" t="s">
        <v>3247</v>
      </c>
      <c r="V497" s="179" t="s">
        <v>3248</v>
      </c>
      <c r="W497" s="114" t="s">
        <v>3249</v>
      </c>
      <c r="X497" s="180">
        <v>32</v>
      </c>
      <c r="Y497" s="182" t="s">
        <v>1503</v>
      </c>
      <c r="Z497" s="183" t="s">
        <v>2774</v>
      </c>
      <c r="AA497" s="184"/>
      <c r="AB497" s="182"/>
      <c r="AC497" s="114">
        <v>6</v>
      </c>
      <c r="AD497" s="172" t="s">
        <v>887</v>
      </c>
      <c r="AE497" s="114"/>
      <c r="AF497" s="114"/>
      <c r="AG497" s="114"/>
      <c r="AH497" s="106"/>
      <c r="AI497" s="114"/>
      <c r="AJ497" s="106"/>
      <c r="AK497" s="114"/>
      <c r="AL497" s="106"/>
      <c r="AM497" s="114"/>
      <c r="AN497" s="106"/>
      <c r="AO497" s="114"/>
      <c r="AP497" s="106"/>
      <c r="AQ497" s="114"/>
      <c r="AR497" s="106"/>
      <c r="AS497" s="114"/>
      <c r="AT497" s="106"/>
      <c r="AU497" s="114"/>
      <c r="AV497" s="106"/>
      <c r="AW497" s="114"/>
      <c r="AX497" s="157"/>
      <c r="AY497" s="157"/>
      <c r="AZ497" s="157"/>
      <c r="BA497" s="157"/>
      <c r="BB497" s="157"/>
      <c r="BC497" s="157"/>
    </row>
    <row r="498" spans="1:55" x14ac:dyDescent="0.3">
      <c r="A498" s="114">
        <f t="shared" si="14"/>
        <v>494</v>
      </c>
      <c r="B498" s="179" t="s">
        <v>3250</v>
      </c>
      <c r="C498" s="114">
        <v>0</v>
      </c>
      <c r="D498" s="114" t="s">
        <v>991</v>
      </c>
      <c r="E498" s="114" t="s">
        <v>966</v>
      </c>
      <c r="F498" s="114" t="s">
        <v>909</v>
      </c>
      <c r="G498" s="114"/>
      <c r="H498" s="114"/>
      <c r="I498" s="114"/>
      <c r="J498" s="114"/>
      <c r="K498" s="114"/>
      <c r="L498" s="114"/>
      <c r="M498" s="114"/>
      <c r="N498" s="114">
        <v>10</v>
      </c>
      <c r="O498" s="180">
        <v>-2147483648</v>
      </c>
      <c r="P498" s="180">
        <v>2147483647</v>
      </c>
      <c r="Q498" s="180">
        <v>0</v>
      </c>
      <c r="R498" s="180"/>
      <c r="S498" s="180"/>
      <c r="T498" s="181" t="s">
        <v>3251</v>
      </c>
      <c r="U498" s="179" t="s">
        <v>3252</v>
      </c>
      <c r="V498" s="179" t="s">
        <v>3253</v>
      </c>
      <c r="W498" s="114" t="s">
        <v>3254</v>
      </c>
      <c r="X498" s="180">
        <v>32</v>
      </c>
      <c r="Y498" s="182" t="s">
        <v>1503</v>
      </c>
      <c r="Z498" s="183" t="s">
        <v>2774</v>
      </c>
      <c r="AA498" s="184"/>
      <c r="AB498" s="182"/>
      <c r="AC498" s="114">
        <v>6</v>
      </c>
      <c r="AD498" s="172" t="s">
        <v>887</v>
      </c>
      <c r="AE498" s="114"/>
      <c r="AF498" s="114"/>
      <c r="AG498" s="114"/>
      <c r="AH498" s="106"/>
      <c r="AI498" s="114"/>
      <c r="AJ498" s="106"/>
      <c r="AK498" s="114"/>
      <c r="AL498" s="106"/>
      <c r="AM498" s="114"/>
      <c r="AN498" s="106"/>
      <c r="AO498" s="114"/>
      <c r="AP498" s="106"/>
      <c r="AQ498" s="114"/>
      <c r="AR498" s="106"/>
      <c r="AS498" s="114"/>
      <c r="AT498" s="106"/>
      <c r="AU498" s="114"/>
      <c r="AV498" s="106"/>
      <c r="AW498" s="114"/>
      <c r="AX498" s="157"/>
      <c r="AY498" s="157"/>
      <c r="AZ498" s="157"/>
      <c r="BA498" s="157"/>
      <c r="BB498" s="157"/>
      <c r="BC498" s="157"/>
    </row>
    <row r="499" spans="1:55" x14ac:dyDescent="0.3">
      <c r="A499" s="114">
        <f t="shared" si="14"/>
        <v>495</v>
      </c>
      <c r="B499" s="179" t="s">
        <v>3255</v>
      </c>
      <c r="C499" s="114">
        <v>0</v>
      </c>
      <c r="D499" s="114" t="s">
        <v>991</v>
      </c>
      <c r="E499" s="114" t="s">
        <v>944</v>
      </c>
      <c r="F499" s="114" t="s">
        <v>909</v>
      </c>
      <c r="G499" s="114"/>
      <c r="H499" s="114"/>
      <c r="I499" s="114"/>
      <c r="J499" s="114"/>
      <c r="K499" s="114"/>
      <c r="L499" s="114"/>
      <c r="M499" s="191" t="s">
        <v>874</v>
      </c>
      <c r="N499" s="114">
        <v>10</v>
      </c>
      <c r="O499" s="180" t="s">
        <v>1181</v>
      </c>
      <c r="P499" s="180" t="s">
        <v>1089</v>
      </c>
      <c r="Q499" s="180" t="s">
        <v>1181</v>
      </c>
      <c r="R499" s="180"/>
      <c r="S499" s="180"/>
      <c r="T499" s="181" t="s">
        <v>3256</v>
      </c>
      <c r="U499" s="179" t="s">
        <v>3257</v>
      </c>
      <c r="V499" s="179" t="s">
        <v>3258</v>
      </c>
      <c r="W499" s="114" t="s">
        <v>3259</v>
      </c>
      <c r="X499" s="180">
        <v>32</v>
      </c>
      <c r="Y499" s="182" t="s">
        <v>1503</v>
      </c>
      <c r="Z499" s="183" t="s">
        <v>2774</v>
      </c>
      <c r="AA499" s="184"/>
      <c r="AB499" s="182"/>
      <c r="AC499" s="114">
        <v>6</v>
      </c>
      <c r="AD499" s="172" t="s">
        <v>887</v>
      </c>
      <c r="AE499" s="114"/>
      <c r="AF499" s="114"/>
      <c r="AG499" s="114"/>
      <c r="AH499" s="106"/>
      <c r="AI499" s="114"/>
      <c r="AJ499" s="106"/>
      <c r="AK499" s="114"/>
      <c r="AL499" s="106"/>
      <c r="AM499" s="114"/>
      <c r="AN499" s="106"/>
      <c r="AO499" s="114"/>
      <c r="AP499" s="106"/>
      <c r="AQ499" s="114"/>
      <c r="AR499" s="106"/>
      <c r="AS499" s="114"/>
      <c r="AT499" s="106"/>
      <c r="AU499" s="114"/>
      <c r="AV499" s="106"/>
      <c r="AW499" s="114"/>
      <c r="AX499" s="157"/>
      <c r="AY499" s="157"/>
      <c r="AZ499" s="157"/>
      <c r="BA499" s="157"/>
      <c r="BB499" s="157"/>
      <c r="BC499" s="157"/>
    </row>
    <row r="500" spans="1:55" x14ac:dyDescent="0.3">
      <c r="A500" s="114">
        <f t="shared" si="14"/>
        <v>496</v>
      </c>
      <c r="B500" s="179" t="s">
        <v>3260</v>
      </c>
      <c r="C500" s="114">
        <v>0</v>
      </c>
      <c r="D500" s="114" t="s">
        <v>991</v>
      </c>
      <c r="E500" s="114" t="s">
        <v>966</v>
      </c>
      <c r="F500" s="114" t="s">
        <v>909</v>
      </c>
      <c r="G500" s="114"/>
      <c r="H500" s="114"/>
      <c r="I500" s="114"/>
      <c r="J500" s="114"/>
      <c r="K500" s="114"/>
      <c r="L500" s="114"/>
      <c r="M500" s="114"/>
      <c r="N500" s="114">
        <v>10</v>
      </c>
      <c r="O500" s="180">
        <v>-2147483648</v>
      </c>
      <c r="P500" s="180">
        <v>2147483647</v>
      </c>
      <c r="Q500" s="180">
        <v>0</v>
      </c>
      <c r="R500" s="180"/>
      <c r="S500" s="180"/>
      <c r="T500" s="181" t="s">
        <v>3261</v>
      </c>
      <c r="U500" s="179" t="s">
        <v>3262</v>
      </c>
      <c r="V500" s="179" t="s">
        <v>3263</v>
      </c>
      <c r="W500" s="114" t="s">
        <v>3264</v>
      </c>
      <c r="X500" s="180">
        <v>32</v>
      </c>
      <c r="Y500" s="182" t="s">
        <v>1503</v>
      </c>
      <c r="Z500" s="183" t="s">
        <v>2774</v>
      </c>
      <c r="AA500" s="184"/>
      <c r="AB500" s="182"/>
      <c r="AC500" s="114">
        <v>6</v>
      </c>
      <c r="AD500" s="172" t="s">
        <v>887</v>
      </c>
      <c r="AE500" s="114"/>
      <c r="AF500" s="114"/>
      <c r="AG500" s="114"/>
      <c r="AH500" s="106"/>
      <c r="AI500" s="114"/>
      <c r="AJ500" s="106"/>
      <c r="AK500" s="114"/>
      <c r="AL500" s="106"/>
      <c r="AM500" s="114"/>
      <c r="AN500" s="106"/>
      <c r="AO500" s="114"/>
      <c r="AP500" s="106"/>
      <c r="AQ500" s="114"/>
      <c r="AR500" s="106"/>
      <c r="AS500" s="114"/>
      <c r="AT500" s="106"/>
      <c r="AU500" s="114"/>
      <c r="AV500" s="106"/>
      <c r="AW500" s="114"/>
      <c r="AX500" s="157"/>
      <c r="AY500" s="157"/>
      <c r="AZ500" s="157"/>
      <c r="BA500" s="157"/>
      <c r="BB500" s="157"/>
      <c r="BC500" s="157"/>
    </row>
    <row r="501" spans="1:55" x14ac:dyDescent="0.3">
      <c r="A501" s="114">
        <f t="shared" si="14"/>
        <v>497</v>
      </c>
      <c r="B501" s="179" t="s">
        <v>3265</v>
      </c>
      <c r="C501" s="114">
        <v>0</v>
      </c>
      <c r="D501" s="114" t="s">
        <v>991</v>
      </c>
      <c r="E501" s="114" t="s">
        <v>944</v>
      </c>
      <c r="F501" s="114" t="s">
        <v>909</v>
      </c>
      <c r="G501" s="114"/>
      <c r="H501" s="114"/>
      <c r="I501" s="114"/>
      <c r="J501" s="114"/>
      <c r="K501" s="114"/>
      <c r="L501" s="114"/>
      <c r="M501" s="191" t="s">
        <v>874</v>
      </c>
      <c r="N501" s="114">
        <v>10</v>
      </c>
      <c r="O501" s="180" t="s">
        <v>1181</v>
      </c>
      <c r="P501" s="180" t="s">
        <v>1089</v>
      </c>
      <c r="Q501" s="180" t="s">
        <v>1181</v>
      </c>
      <c r="R501" s="180"/>
      <c r="S501" s="180"/>
      <c r="T501" s="181" t="s">
        <v>3266</v>
      </c>
      <c r="U501" s="179" t="s">
        <v>3267</v>
      </c>
      <c r="V501" s="179" t="s">
        <v>3268</v>
      </c>
      <c r="W501" s="114" t="s">
        <v>3269</v>
      </c>
      <c r="X501" s="180">
        <v>32</v>
      </c>
      <c r="Y501" s="182" t="s">
        <v>1503</v>
      </c>
      <c r="Z501" s="183" t="s">
        <v>2774</v>
      </c>
      <c r="AA501" s="184"/>
      <c r="AB501" s="182"/>
      <c r="AC501" s="114">
        <v>6</v>
      </c>
      <c r="AD501" s="172" t="s">
        <v>887</v>
      </c>
      <c r="AE501" s="114"/>
      <c r="AF501" s="114"/>
      <c r="AG501" s="114"/>
      <c r="AH501" s="106"/>
      <c r="AI501" s="114"/>
      <c r="AJ501" s="106"/>
      <c r="AK501" s="114"/>
      <c r="AL501" s="106"/>
      <c r="AM501" s="114"/>
      <c r="AN501" s="106"/>
      <c r="AO501" s="114"/>
      <c r="AP501" s="106"/>
      <c r="AQ501" s="114"/>
      <c r="AR501" s="106"/>
      <c r="AS501" s="114"/>
      <c r="AT501" s="106"/>
      <c r="AU501" s="114"/>
      <c r="AV501" s="106"/>
      <c r="AW501" s="114"/>
      <c r="AX501" s="157"/>
      <c r="AY501" s="157"/>
      <c r="AZ501" s="157"/>
      <c r="BA501" s="157"/>
      <c r="BB501" s="157"/>
      <c r="BC501" s="157"/>
    </row>
    <row r="502" spans="1:55" x14ac:dyDescent="0.3">
      <c r="A502" s="114">
        <f t="shared" si="14"/>
        <v>498</v>
      </c>
      <c r="B502" s="179" t="s">
        <v>3270</v>
      </c>
      <c r="C502" s="114">
        <v>0</v>
      </c>
      <c r="D502" s="114" t="s">
        <v>991</v>
      </c>
      <c r="E502" s="114" t="s">
        <v>966</v>
      </c>
      <c r="F502" s="114" t="s">
        <v>909</v>
      </c>
      <c r="G502" s="114"/>
      <c r="H502" s="114"/>
      <c r="I502" s="114"/>
      <c r="J502" s="114"/>
      <c r="K502" s="114"/>
      <c r="L502" s="114"/>
      <c r="M502" s="114"/>
      <c r="N502" s="114">
        <v>10</v>
      </c>
      <c r="O502" s="180">
        <v>-2147483648</v>
      </c>
      <c r="P502" s="180">
        <v>2147483647</v>
      </c>
      <c r="Q502" s="180">
        <v>0</v>
      </c>
      <c r="R502" s="180"/>
      <c r="S502" s="180"/>
      <c r="T502" s="181" t="s">
        <v>3271</v>
      </c>
      <c r="U502" s="179" t="s">
        <v>3272</v>
      </c>
      <c r="V502" s="179" t="s">
        <v>3273</v>
      </c>
      <c r="W502" s="114" t="s">
        <v>3274</v>
      </c>
      <c r="X502" s="180">
        <v>32</v>
      </c>
      <c r="Y502" s="182" t="s">
        <v>1503</v>
      </c>
      <c r="Z502" s="183" t="s">
        <v>2774</v>
      </c>
      <c r="AA502" s="184"/>
      <c r="AB502" s="182"/>
      <c r="AC502" s="114">
        <v>6</v>
      </c>
      <c r="AD502" s="172" t="s">
        <v>887</v>
      </c>
      <c r="AE502" s="114"/>
      <c r="AF502" s="114"/>
      <c r="AG502" s="114"/>
      <c r="AH502" s="106"/>
      <c r="AI502" s="114"/>
      <c r="AJ502" s="106"/>
      <c r="AK502" s="114"/>
      <c r="AL502" s="106"/>
      <c r="AM502" s="114"/>
      <c r="AN502" s="106"/>
      <c r="AO502" s="114"/>
      <c r="AP502" s="106"/>
      <c r="AQ502" s="114"/>
      <c r="AR502" s="106"/>
      <c r="AS502" s="114"/>
      <c r="AT502" s="106"/>
      <c r="AU502" s="114"/>
      <c r="AV502" s="106"/>
      <c r="AW502" s="114"/>
      <c r="AX502" s="157"/>
      <c r="AY502" s="157"/>
      <c r="AZ502" s="157"/>
      <c r="BA502" s="157"/>
      <c r="BB502" s="157"/>
      <c r="BC502" s="157"/>
    </row>
    <row r="503" spans="1:55" x14ac:dyDescent="0.3">
      <c r="A503" s="114">
        <f t="shared" si="14"/>
        <v>499</v>
      </c>
      <c r="B503" s="179" t="s">
        <v>3275</v>
      </c>
      <c r="C503" s="114">
        <v>0</v>
      </c>
      <c r="D503" s="114" t="s">
        <v>991</v>
      </c>
      <c r="E503" s="114" t="s">
        <v>944</v>
      </c>
      <c r="F503" s="114" t="s">
        <v>909</v>
      </c>
      <c r="G503" s="114"/>
      <c r="H503" s="114"/>
      <c r="I503" s="114"/>
      <c r="J503" s="114"/>
      <c r="K503" s="114"/>
      <c r="L503" s="114"/>
      <c r="M503" s="191" t="s">
        <v>874</v>
      </c>
      <c r="N503" s="114">
        <v>10</v>
      </c>
      <c r="O503" s="180" t="s">
        <v>1181</v>
      </c>
      <c r="P503" s="180" t="s">
        <v>1089</v>
      </c>
      <c r="Q503" s="180" t="s">
        <v>1181</v>
      </c>
      <c r="R503" s="180"/>
      <c r="S503" s="180"/>
      <c r="T503" s="181" t="s">
        <v>3276</v>
      </c>
      <c r="U503" s="179" t="s">
        <v>3277</v>
      </c>
      <c r="V503" s="179" t="s">
        <v>3278</v>
      </c>
      <c r="W503" s="114" t="s">
        <v>3279</v>
      </c>
      <c r="X503" s="180">
        <v>32</v>
      </c>
      <c r="Y503" s="182" t="s">
        <v>1503</v>
      </c>
      <c r="Z503" s="183" t="s">
        <v>2774</v>
      </c>
      <c r="AA503" s="184"/>
      <c r="AB503" s="182"/>
      <c r="AC503" s="114">
        <v>6</v>
      </c>
      <c r="AD503" s="172" t="s">
        <v>887</v>
      </c>
      <c r="AE503" s="114"/>
      <c r="AF503" s="114"/>
      <c r="AG503" s="114"/>
      <c r="AH503" s="106"/>
      <c r="AI503" s="114"/>
      <c r="AJ503" s="106"/>
      <c r="AK503" s="114"/>
      <c r="AL503" s="106"/>
      <c r="AM503" s="114"/>
      <c r="AN503" s="106"/>
      <c r="AO503" s="114"/>
      <c r="AP503" s="106"/>
      <c r="AQ503" s="114"/>
      <c r="AR503" s="106"/>
      <c r="AS503" s="114" t="s">
        <v>915</v>
      </c>
      <c r="AT503" s="106"/>
      <c r="AU503" s="114"/>
      <c r="AV503" s="106"/>
      <c r="AW503" s="114"/>
      <c r="AX503" s="157"/>
      <c r="AY503" s="157"/>
      <c r="AZ503" s="157"/>
      <c r="BA503" s="157"/>
      <c r="BB503" s="157"/>
      <c r="BC503" s="157"/>
    </row>
    <row r="504" spans="1:55" x14ac:dyDescent="0.3">
      <c r="A504" s="114">
        <f t="shared" si="14"/>
        <v>500</v>
      </c>
      <c r="B504" s="179" t="s">
        <v>3280</v>
      </c>
      <c r="C504" s="114">
        <v>0</v>
      </c>
      <c r="D504" s="114" t="s">
        <v>991</v>
      </c>
      <c r="E504" s="114" t="s">
        <v>966</v>
      </c>
      <c r="F504" s="114" t="s">
        <v>909</v>
      </c>
      <c r="G504" s="114"/>
      <c r="H504" s="114"/>
      <c r="I504" s="114"/>
      <c r="J504" s="114"/>
      <c r="K504" s="114"/>
      <c r="L504" s="114"/>
      <c r="M504" s="114"/>
      <c r="N504" s="114">
        <v>10</v>
      </c>
      <c r="O504" s="180">
        <v>-2147483648</v>
      </c>
      <c r="P504" s="180">
        <v>2147483647</v>
      </c>
      <c r="Q504" s="180">
        <v>0</v>
      </c>
      <c r="R504" s="180"/>
      <c r="S504" s="180"/>
      <c r="T504" s="181" t="s">
        <v>3281</v>
      </c>
      <c r="U504" s="179" t="s">
        <v>3282</v>
      </c>
      <c r="V504" s="179" t="s">
        <v>3283</v>
      </c>
      <c r="W504" s="114" t="s">
        <v>3284</v>
      </c>
      <c r="X504" s="180">
        <v>32</v>
      </c>
      <c r="Y504" s="182" t="s">
        <v>1503</v>
      </c>
      <c r="Z504" s="183" t="s">
        <v>2774</v>
      </c>
      <c r="AA504" s="184"/>
      <c r="AB504" s="182"/>
      <c r="AC504" s="114">
        <v>6</v>
      </c>
      <c r="AD504" s="172" t="s">
        <v>887</v>
      </c>
      <c r="AE504" s="114"/>
      <c r="AF504" s="114"/>
      <c r="AG504" s="114"/>
      <c r="AH504" s="106"/>
      <c r="AI504" s="114"/>
      <c r="AJ504" s="106"/>
      <c r="AK504" s="114"/>
      <c r="AL504" s="106"/>
      <c r="AM504" s="114"/>
      <c r="AN504" s="106"/>
      <c r="AO504" s="114"/>
      <c r="AP504" s="106"/>
      <c r="AQ504" s="114"/>
      <c r="AR504" s="106"/>
      <c r="AS504" s="114" t="s">
        <v>915</v>
      </c>
      <c r="AT504" s="106"/>
      <c r="AU504" s="114"/>
      <c r="AV504" s="106"/>
      <c r="AW504" s="114"/>
      <c r="AX504" s="157"/>
      <c r="AY504" s="157"/>
      <c r="AZ504" s="157"/>
      <c r="BA504" s="157"/>
      <c r="BB504" s="157"/>
      <c r="BC504" s="157"/>
    </row>
    <row r="505" spans="1:55" x14ac:dyDescent="0.3">
      <c r="A505" s="114">
        <f t="shared" si="14"/>
        <v>501</v>
      </c>
      <c r="B505" s="179" t="s">
        <v>3285</v>
      </c>
      <c r="C505" s="114">
        <v>0</v>
      </c>
      <c r="D505" s="114" t="s">
        <v>991</v>
      </c>
      <c r="E505" s="114" t="s">
        <v>944</v>
      </c>
      <c r="F505" s="114" t="s">
        <v>909</v>
      </c>
      <c r="G505" s="114"/>
      <c r="H505" s="114"/>
      <c r="I505" s="114"/>
      <c r="J505" s="114"/>
      <c r="K505" s="114"/>
      <c r="L505" s="114"/>
      <c r="M505" s="191" t="s">
        <v>874</v>
      </c>
      <c r="N505" s="114">
        <v>10</v>
      </c>
      <c r="O505" s="180" t="s">
        <v>1181</v>
      </c>
      <c r="P505" s="180" t="s">
        <v>1089</v>
      </c>
      <c r="Q505" s="180" t="s">
        <v>1181</v>
      </c>
      <c r="R505" s="180"/>
      <c r="S505" s="180"/>
      <c r="T505" s="181" t="s">
        <v>3286</v>
      </c>
      <c r="U505" s="179" t="s">
        <v>3287</v>
      </c>
      <c r="V505" s="179" t="s">
        <v>3288</v>
      </c>
      <c r="W505" s="114" t="s">
        <v>3289</v>
      </c>
      <c r="X505" s="180">
        <v>32</v>
      </c>
      <c r="Y505" s="182" t="s">
        <v>1503</v>
      </c>
      <c r="Z505" s="183" t="s">
        <v>2774</v>
      </c>
      <c r="AA505" s="184"/>
      <c r="AB505" s="182"/>
      <c r="AC505" s="114">
        <v>6</v>
      </c>
      <c r="AD505" s="172" t="s">
        <v>887</v>
      </c>
      <c r="AE505" s="114"/>
      <c r="AF505" s="114"/>
      <c r="AG505" s="114"/>
      <c r="AH505" s="106"/>
      <c r="AI505" s="114"/>
      <c r="AJ505" s="106"/>
      <c r="AK505" s="114"/>
      <c r="AL505" s="106"/>
      <c r="AM505" s="114"/>
      <c r="AN505" s="106"/>
      <c r="AO505" s="114"/>
      <c r="AP505" s="106"/>
      <c r="AQ505" s="114"/>
      <c r="AR505" s="106"/>
      <c r="AS505" s="114" t="s">
        <v>915</v>
      </c>
      <c r="AT505" s="106"/>
      <c r="AU505" s="114"/>
      <c r="AV505" s="106"/>
      <c r="AW505" s="114"/>
      <c r="AX505" s="157"/>
      <c r="AY505" s="157"/>
      <c r="AZ505" s="157"/>
      <c r="BA505" s="157"/>
      <c r="BB505" s="157"/>
      <c r="BC505" s="157"/>
    </row>
    <row r="506" spans="1:55" x14ac:dyDescent="0.3">
      <c r="A506" s="114">
        <f t="shared" si="14"/>
        <v>502</v>
      </c>
      <c r="B506" s="179" t="s">
        <v>3290</v>
      </c>
      <c r="C506" s="114">
        <v>0</v>
      </c>
      <c r="D506" s="114" t="s">
        <v>991</v>
      </c>
      <c r="E506" s="114" t="s">
        <v>966</v>
      </c>
      <c r="F506" s="114" t="s">
        <v>909</v>
      </c>
      <c r="G506" s="114"/>
      <c r="H506" s="114"/>
      <c r="I506" s="114"/>
      <c r="J506" s="114"/>
      <c r="K506" s="114"/>
      <c r="L506" s="114"/>
      <c r="M506" s="114"/>
      <c r="N506" s="114">
        <v>10</v>
      </c>
      <c r="O506" s="180">
        <v>-2147483648</v>
      </c>
      <c r="P506" s="180">
        <v>2147483647</v>
      </c>
      <c r="Q506" s="180">
        <v>0</v>
      </c>
      <c r="R506" s="180"/>
      <c r="S506" s="180"/>
      <c r="T506" s="181" t="s">
        <v>3291</v>
      </c>
      <c r="U506" s="179" t="s">
        <v>3292</v>
      </c>
      <c r="V506" s="179" t="s">
        <v>3293</v>
      </c>
      <c r="W506" s="114" t="s">
        <v>3294</v>
      </c>
      <c r="X506" s="180">
        <v>32</v>
      </c>
      <c r="Y506" s="182" t="s">
        <v>1503</v>
      </c>
      <c r="Z506" s="183" t="s">
        <v>2774</v>
      </c>
      <c r="AA506" s="184"/>
      <c r="AB506" s="182"/>
      <c r="AC506" s="114">
        <v>6</v>
      </c>
      <c r="AD506" s="172" t="s">
        <v>887</v>
      </c>
      <c r="AE506" s="114"/>
      <c r="AF506" s="114"/>
      <c r="AG506" s="114"/>
      <c r="AH506" s="106"/>
      <c r="AI506" s="114"/>
      <c r="AJ506" s="106"/>
      <c r="AK506" s="114"/>
      <c r="AL506" s="106"/>
      <c r="AM506" s="114"/>
      <c r="AN506" s="106"/>
      <c r="AO506" s="114"/>
      <c r="AP506" s="106"/>
      <c r="AQ506" s="114"/>
      <c r="AR506" s="106"/>
      <c r="AS506" s="114" t="s">
        <v>915</v>
      </c>
      <c r="AT506" s="106"/>
      <c r="AU506" s="114"/>
      <c r="AV506" s="106"/>
      <c r="AW506" s="114"/>
      <c r="AX506" s="157"/>
      <c r="AY506" s="157"/>
      <c r="AZ506" s="157"/>
      <c r="BA506" s="157"/>
      <c r="BB506" s="157"/>
      <c r="BC506" s="157"/>
    </row>
    <row r="507" spans="1:55" x14ac:dyDescent="0.3">
      <c r="A507" s="114">
        <f t="shared" si="14"/>
        <v>503</v>
      </c>
      <c r="B507" s="179" t="s">
        <v>3295</v>
      </c>
      <c r="C507" s="114">
        <v>0</v>
      </c>
      <c r="D507" s="114" t="s">
        <v>991</v>
      </c>
      <c r="E507" s="114" t="s">
        <v>944</v>
      </c>
      <c r="F507" s="114" t="s">
        <v>909</v>
      </c>
      <c r="G507" s="114"/>
      <c r="H507" s="114"/>
      <c r="I507" s="114"/>
      <c r="J507" s="114"/>
      <c r="K507" s="114"/>
      <c r="L507" s="114"/>
      <c r="M507" s="191" t="s">
        <v>874</v>
      </c>
      <c r="N507" s="114">
        <v>10</v>
      </c>
      <c r="O507" s="180" t="s">
        <v>1181</v>
      </c>
      <c r="P507" s="180" t="s">
        <v>1089</v>
      </c>
      <c r="Q507" s="180" t="s">
        <v>1181</v>
      </c>
      <c r="R507" s="180"/>
      <c r="S507" s="180"/>
      <c r="T507" s="181" t="s">
        <v>3296</v>
      </c>
      <c r="U507" s="179" t="s">
        <v>3297</v>
      </c>
      <c r="V507" s="179" t="s">
        <v>3298</v>
      </c>
      <c r="W507" s="114" t="s">
        <v>3299</v>
      </c>
      <c r="X507" s="180">
        <v>32</v>
      </c>
      <c r="Y507" s="182" t="s">
        <v>1503</v>
      </c>
      <c r="Z507" s="183" t="s">
        <v>2774</v>
      </c>
      <c r="AA507" s="184"/>
      <c r="AB507" s="182"/>
      <c r="AC507" s="114">
        <v>6</v>
      </c>
      <c r="AD507" s="172" t="s">
        <v>887</v>
      </c>
      <c r="AE507" s="114"/>
      <c r="AF507" s="114"/>
      <c r="AG507" s="114"/>
      <c r="AH507" s="106"/>
      <c r="AI507" s="114"/>
      <c r="AJ507" s="106"/>
      <c r="AK507" s="114"/>
      <c r="AL507" s="106"/>
      <c r="AM507" s="114"/>
      <c r="AN507" s="106"/>
      <c r="AO507" s="114"/>
      <c r="AP507" s="106"/>
      <c r="AQ507" s="114"/>
      <c r="AR507" s="106"/>
      <c r="AS507" s="114" t="s">
        <v>915</v>
      </c>
      <c r="AT507" s="106"/>
      <c r="AU507" s="114"/>
      <c r="AV507" s="106"/>
      <c r="AW507" s="114"/>
      <c r="AX507" s="157"/>
      <c r="AY507" s="157"/>
      <c r="AZ507" s="157"/>
      <c r="BA507" s="157"/>
      <c r="BB507" s="157"/>
      <c r="BC507" s="157"/>
    </row>
    <row r="508" spans="1:55" x14ac:dyDescent="0.3">
      <c r="A508" s="114">
        <f t="shared" si="14"/>
        <v>504</v>
      </c>
      <c r="B508" s="179" t="s">
        <v>3300</v>
      </c>
      <c r="C508" s="114">
        <v>0</v>
      </c>
      <c r="D508" s="114" t="s">
        <v>991</v>
      </c>
      <c r="E508" s="114" t="s">
        <v>966</v>
      </c>
      <c r="F508" s="114" t="s">
        <v>909</v>
      </c>
      <c r="G508" s="114"/>
      <c r="H508" s="114"/>
      <c r="I508" s="114"/>
      <c r="J508" s="114"/>
      <c r="K508" s="114"/>
      <c r="L508" s="114"/>
      <c r="M508" s="114"/>
      <c r="N508" s="114">
        <v>10</v>
      </c>
      <c r="O508" s="180">
        <v>-2147483648</v>
      </c>
      <c r="P508" s="180">
        <v>2147483647</v>
      </c>
      <c r="Q508" s="180">
        <v>0</v>
      </c>
      <c r="R508" s="180"/>
      <c r="S508" s="180"/>
      <c r="T508" s="181" t="s">
        <v>3301</v>
      </c>
      <c r="U508" s="179" t="s">
        <v>3302</v>
      </c>
      <c r="V508" s="179" t="s">
        <v>3303</v>
      </c>
      <c r="W508" s="114" t="s">
        <v>3304</v>
      </c>
      <c r="X508" s="180">
        <v>32</v>
      </c>
      <c r="Y508" s="182" t="s">
        <v>1503</v>
      </c>
      <c r="Z508" s="183" t="s">
        <v>2774</v>
      </c>
      <c r="AA508" s="184"/>
      <c r="AB508" s="182"/>
      <c r="AC508" s="114">
        <v>6</v>
      </c>
      <c r="AD508" s="172" t="s">
        <v>887</v>
      </c>
      <c r="AE508" s="114"/>
      <c r="AF508" s="114"/>
      <c r="AG508" s="114"/>
      <c r="AH508" s="106"/>
      <c r="AI508" s="114"/>
      <c r="AJ508" s="106"/>
      <c r="AK508" s="114"/>
      <c r="AL508" s="106"/>
      <c r="AM508" s="114"/>
      <c r="AN508" s="106"/>
      <c r="AO508" s="114"/>
      <c r="AP508" s="106"/>
      <c r="AQ508" s="114"/>
      <c r="AR508" s="106"/>
      <c r="AS508" s="114" t="s">
        <v>915</v>
      </c>
      <c r="AT508" s="106"/>
      <c r="AU508" s="114"/>
      <c r="AV508" s="106"/>
      <c r="AW508" s="114"/>
      <c r="AX508" s="157"/>
      <c r="AY508" s="157"/>
      <c r="AZ508" s="157"/>
      <c r="BA508" s="157"/>
      <c r="BB508" s="157"/>
      <c r="BC508" s="157"/>
    </row>
    <row r="509" spans="1:55" x14ac:dyDescent="0.3">
      <c r="A509" s="114">
        <f t="shared" si="14"/>
        <v>505</v>
      </c>
      <c r="B509" s="179" t="s">
        <v>3305</v>
      </c>
      <c r="C509" s="114">
        <v>0</v>
      </c>
      <c r="D509" s="114" t="s">
        <v>991</v>
      </c>
      <c r="E509" s="114" t="s">
        <v>944</v>
      </c>
      <c r="F509" s="114" t="s">
        <v>909</v>
      </c>
      <c r="G509" s="114"/>
      <c r="H509" s="114"/>
      <c r="I509" s="114"/>
      <c r="J509" s="114"/>
      <c r="K509" s="114"/>
      <c r="L509" s="114"/>
      <c r="M509" s="191" t="s">
        <v>874</v>
      </c>
      <c r="N509" s="114">
        <v>10</v>
      </c>
      <c r="O509" s="180" t="s">
        <v>1181</v>
      </c>
      <c r="P509" s="180" t="s">
        <v>1089</v>
      </c>
      <c r="Q509" s="180" t="s">
        <v>1181</v>
      </c>
      <c r="R509" s="180"/>
      <c r="S509" s="180"/>
      <c r="T509" s="181" t="s">
        <v>3306</v>
      </c>
      <c r="U509" s="179" t="s">
        <v>3307</v>
      </c>
      <c r="V509" s="179" t="s">
        <v>3308</v>
      </c>
      <c r="W509" s="114" t="s">
        <v>3309</v>
      </c>
      <c r="X509" s="180">
        <v>32</v>
      </c>
      <c r="Y509" s="182" t="s">
        <v>1503</v>
      </c>
      <c r="Z509" s="183" t="s">
        <v>2774</v>
      </c>
      <c r="AA509" s="184"/>
      <c r="AB509" s="182"/>
      <c r="AC509" s="114">
        <v>6</v>
      </c>
      <c r="AD509" s="172" t="s">
        <v>887</v>
      </c>
      <c r="AE509" s="114"/>
      <c r="AF509" s="114"/>
      <c r="AG509" s="114"/>
      <c r="AH509" s="106"/>
      <c r="AI509" s="114"/>
      <c r="AJ509" s="106"/>
      <c r="AK509" s="114"/>
      <c r="AL509" s="106"/>
      <c r="AM509" s="114"/>
      <c r="AN509" s="106"/>
      <c r="AO509" s="114"/>
      <c r="AP509" s="106"/>
      <c r="AQ509" s="114"/>
      <c r="AR509" s="106"/>
      <c r="AS509" s="114" t="s">
        <v>915</v>
      </c>
      <c r="AT509" s="106"/>
      <c r="AU509" s="114"/>
      <c r="AV509" s="106"/>
      <c r="AW509" s="114"/>
      <c r="AX509" s="157"/>
      <c r="AY509" s="157"/>
      <c r="AZ509" s="157"/>
      <c r="BA509" s="157"/>
      <c r="BB509" s="157"/>
      <c r="BC509" s="157"/>
    </row>
    <row r="510" spans="1:55" x14ac:dyDescent="0.3">
      <c r="A510" s="114">
        <f>A509+1</f>
        <v>506</v>
      </c>
      <c r="B510" s="179" t="s">
        <v>3310</v>
      </c>
      <c r="C510" s="114">
        <v>0</v>
      </c>
      <c r="D510" s="114" t="s">
        <v>991</v>
      </c>
      <c r="E510" s="114" t="s">
        <v>966</v>
      </c>
      <c r="F510" s="114" t="s">
        <v>909</v>
      </c>
      <c r="G510" s="114"/>
      <c r="H510" s="114"/>
      <c r="I510" s="114"/>
      <c r="J510" s="114"/>
      <c r="K510" s="114"/>
      <c r="L510" s="114"/>
      <c r="M510" s="114"/>
      <c r="N510" s="114">
        <v>10</v>
      </c>
      <c r="O510" s="180">
        <v>-2147483648</v>
      </c>
      <c r="P510" s="180">
        <v>2147483647</v>
      </c>
      <c r="Q510" s="180">
        <v>0</v>
      </c>
      <c r="R510" s="180"/>
      <c r="S510" s="180"/>
      <c r="T510" s="181" t="s">
        <v>3311</v>
      </c>
      <c r="U510" s="179" t="s">
        <v>3312</v>
      </c>
      <c r="V510" s="179" t="s">
        <v>3313</v>
      </c>
      <c r="W510" s="114" t="s">
        <v>3314</v>
      </c>
      <c r="X510" s="180">
        <v>32</v>
      </c>
      <c r="Y510" s="182" t="s">
        <v>1503</v>
      </c>
      <c r="Z510" s="183" t="s">
        <v>2774</v>
      </c>
      <c r="AA510" s="184"/>
      <c r="AB510" s="182"/>
      <c r="AC510" s="114">
        <v>6</v>
      </c>
      <c r="AD510" s="172" t="s">
        <v>887</v>
      </c>
      <c r="AE510" s="114"/>
      <c r="AF510" s="114"/>
      <c r="AG510" s="114"/>
      <c r="AH510" s="106"/>
      <c r="AI510" s="114"/>
      <c r="AJ510" s="106"/>
      <c r="AK510" s="114"/>
      <c r="AL510" s="106"/>
      <c r="AM510" s="114"/>
      <c r="AN510" s="106"/>
      <c r="AO510" s="114"/>
      <c r="AP510" s="106"/>
      <c r="AQ510" s="114"/>
      <c r="AR510" s="106"/>
      <c r="AS510" s="114" t="s">
        <v>915</v>
      </c>
      <c r="AT510" s="106"/>
      <c r="AU510" s="114"/>
      <c r="AV510" s="106"/>
      <c r="AW510" s="114"/>
      <c r="AX510" s="157"/>
      <c r="AY510" s="157"/>
      <c r="AZ510" s="157"/>
      <c r="BA510" s="157"/>
      <c r="BB510" s="157"/>
      <c r="BC510" s="157"/>
    </row>
    <row r="511" spans="1:55" x14ac:dyDescent="0.3">
      <c r="A511" s="114">
        <f t="shared" ref="A511:A522" si="15">A510+1</f>
        <v>507</v>
      </c>
      <c r="B511" s="179" t="s">
        <v>3315</v>
      </c>
      <c r="C511" s="114">
        <v>0</v>
      </c>
      <c r="D511" s="114" t="s">
        <v>991</v>
      </c>
      <c r="E511" s="114" t="s">
        <v>944</v>
      </c>
      <c r="F511" s="114" t="s">
        <v>909</v>
      </c>
      <c r="G511" s="114"/>
      <c r="H511" s="114"/>
      <c r="I511" s="114"/>
      <c r="J511" s="114"/>
      <c r="K511" s="114"/>
      <c r="L511" s="114"/>
      <c r="M511" s="191" t="s">
        <v>874</v>
      </c>
      <c r="N511" s="114">
        <v>10</v>
      </c>
      <c r="O511" s="180" t="s">
        <v>1181</v>
      </c>
      <c r="P511" s="180" t="s">
        <v>1089</v>
      </c>
      <c r="Q511" s="180" t="s">
        <v>1181</v>
      </c>
      <c r="R511" s="180"/>
      <c r="S511" s="180"/>
      <c r="T511" s="181" t="s">
        <v>3316</v>
      </c>
      <c r="U511" s="179" t="s">
        <v>3317</v>
      </c>
      <c r="V511" s="179" t="s">
        <v>3318</v>
      </c>
      <c r="W511" s="114" t="s">
        <v>3319</v>
      </c>
      <c r="X511" s="180">
        <v>32</v>
      </c>
      <c r="Y511" s="182" t="s">
        <v>1503</v>
      </c>
      <c r="Z511" s="183" t="s">
        <v>2774</v>
      </c>
      <c r="AA511" s="184"/>
      <c r="AB511" s="182"/>
      <c r="AC511" s="114">
        <v>6</v>
      </c>
      <c r="AD511" s="172" t="s">
        <v>887</v>
      </c>
      <c r="AE511" s="114"/>
      <c r="AF511" s="114"/>
      <c r="AG511" s="114"/>
      <c r="AH511" s="106"/>
      <c r="AI511" s="114"/>
      <c r="AJ511" s="106"/>
      <c r="AK511" s="114"/>
      <c r="AL511" s="106"/>
      <c r="AM511" s="114"/>
      <c r="AN511" s="106"/>
      <c r="AO511" s="114"/>
      <c r="AP511" s="106"/>
      <c r="AQ511" s="114"/>
      <c r="AR511" s="106"/>
      <c r="AS511" s="114" t="s">
        <v>915</v>
      </c>
      <c r="AT511" s="106"/>
      <c r="AU511" s="114"/>
      <c r="AV511" s="106"/>
      <c r="AW511" s="114"/>
      <c r="AX511" s="157"/>
      <c r="AY511" s="157"/>
      <c r="AZ511" s="157"/>
      <c r="BA511" s="157"/>
      <c r="BB511" s="157"/>
      <c r="BC511" s="157"/>
    </row>
    <row r="512" spans="1:55" x14ac:dyDescent="0.3">
      <c r="A512" s="114">
        <f t="shared" si="15"/>
        <v>508</v>
      </c>
      <c r="B512" s="179" t="s">
        <v>3320</v>
      </c>
      <c r="C512" s="114">
        <v>0</v>
      </c>
      <c r="D512" s="114" t="s">
        <v>991</v>
      </c>
      <c r="E512" s="114" t="s">
        <v>966</v>
      </c>
      <c r="F512" s="114" t="s">
        <v>909</v>
      </c>
      <c r="G512" s="114"/>
      <c r="H512" s="114"/>
      <c r="I512" s="114"/>
      <c r="J512" s="114"/>
      <c r="K512" s="114"/>
      <c r="L512" s="114"/>
      <c r="M512" s="114"/>
      <c r="N512" s="114">
        <v>10</v>
      </c>
      <c r="O512" s="180">
        <v>-2147483648</v>
      </c>
      <c r="P512" s="180">
        <v>2147483647</v>
      </c>
      <c r="Q512" s="180">
        <v>0</v>
      </c>
      <c r="R512" s="180"/>
      <c r="S512" s="180"/>
      <c r="T512" s="181" t="s">
        <v>3321</v>
      </c>
      <c r="U512" s="179" t="s">
        <v>3322</v>
      </c>
      <c r="V512" s="179" t="s">
        <v>3323</v>
      </c>
      <c r="W512" s="114" t="s">
        <v>3324</v>
      </c>
      <c r="X512" s="180">
        <v>32</v>
      </c>
      <c r="Y512" s="182" t="s">
        <v>1503</v>
      </c>
      <c r="Z512" s="183" t="s">
        <v>2774</v>
      </c>
      <c r="AA512" s="184"/>
      <c r="AB512" s="182"/>
      <c r="AC512" s="114">
        <v>6</v>
      </c>
      <c r="AD512" s="172" t="s">
        <v>887</v>
      </c>
      <c r="AE512" s="114"/>
      <c r="AF512" s="114"/>
      <c r="AG512" s="114"/>
      <c r="AH512" s="106"/>
      <c r="AI512" s="114"/>
      <c r="AJ512" s="106"/>
      <c r="AK512" s="114"/>
      <c r="AL512" s="106"/>
      <c r="AM512" s="114"/>
      <c r="AN512" s="106"/>
      <c r="AO512" s="114"/>
      <c r="AP512" s="106"/>
      <c r="AQ512" s="114"/>
      <c r="AR512" s="106"/>
      <c r="AS512" s="114" t="s">
        <v>915</v>
      </c>
      <c r="AT512" s="106"/>
      <c r="AU512" s="114"/>
      <c r="AV512" s="106"/>
      <c r="AW512" s="114"/>
      <c r="AX512" s="157"/>
      <c r="AY512" s="157"/>
      <c r="AZ512" s="157"/>
      <c r="BA512" s="157"/>
      <c r="BB512" s="157"/>
      <c r="BC512" s="157"/>
    </row>
    <row r="513" spans="1:55" x14ac:dyDescent="0.3">
      <c r="A513" s="114">
        <f t="shared" si="15"/>
        <v>509</v>
      </c>
      <c r="B513" s="179" t="s">
        <v>3325</v>
      </c>
      <c r="C513" s="114">
        <v>0</v>
      </c>
      <c r="D513" s="114" t="s">
        <v>991</v>
      </c>
      <c r="E513" s="114" t="s">
        <v>944</v>
      </c>
      <c r="F513" s="114" t="s">
        <v>909</v>
      </c>
      <c r="G513" s="114"/>
      <c r="H513" s="114"/>
      <c r="I513" s="114"/>
      <c r="J513" s="114"/>
      <c r="K513" s="114"/>
      <c r="L513" s="114"/>
      <c r="M513" s="191" t="s">
        <v>874</v>
      </c>
      <c r="N513" s="114">
        <v>10</v>
      </c>
      <c r="O513" s="180" t="s">
        <v>1181</v>
      </c>
      <c r="P513" s="180" t="s">
        <v>1089</v>
      </c>
      <c r="Q513" s="180" t="s">
        <v>1181</v>
      </c>
      <c r="R513" s="180"/>
      <c r="S513" s="180"/>
      <c r="T513" s="181" t="s">
        <v>3326</v>
      </c>
      <c r="U513" s="179" t="s">
        <v>3327</v>
      </c>
      <c r="V513" s="179" t="s">
        <v>3328</v>
      </c>
      <c r="W513" s="114" t="s">
        <v>3329</v>
      </c>
      <c r="X513" s="180">
        <v>32</v>
      </c>
      <c r="Y513" s="182" t="s">
        <v>1503</v>
      </c>
      <c r="Z513" s="183" t="s">
        <v>2774</v>
      </c>
      <c r="AA513" s="184"/>
      <c r="AB513" s="182"/>
      <c r="AC513" s="114">
        <v>6</v>
      </c>
      <c r="AD513" s="172" t="s">
        <v>887</v>
      </c>
      <c r="AE513" s="114"/>
      <c r="AF513" s="114"/>
      <c r="AG513" s="114"/>
      <c r="AH513" s="106"/>
      <c r="AI513" s="114"/>
      <c r="AJ513" s="106"/>
      <c r="AK513" s="114"/>
      <c r="AL513" s="106"/>
      <c r="AM513" s="114"/>
      <c r="AN513" s="106"/>
      <c r="AO513" s="114"/>
      <c r="AP513" s="106"/>
      <c r="AQ513" s="114"/>
      <c r="AR513" s="106"/>
      <c r="AS513" s="114" t="s">
        <v>915</v>
      </c>
      <c r="AT513" s="106"/>
      <c r="AU513" s="114"/>
      <c r="AV513" s="106"/>
      <c r="AW513" s="114"/>
      <c r="AX513" s="157"/>
      <c r="AY513" s="157"/>
      <c r="AZ513" s="157"/>
      <c r="BA513" s="157"/>
      <c r="BB513" s="157"/>
      <c r="BC513" s="157"/>
    </row>
    <row r="514" spans="1:55" x14ac:dyDescent="0.3">
      <c r="A514" s="114">
        <f t="shared" si="15"/>
        <v>510</v>
      </c>
      <c r="B514" s="179" t="s">
        <v>3330</v>
      </c>
      <c r="C514" s="114">
        <v>0</v>
      </c>
      <c r="D514" s="114" t="s">
        <v>991</v>
      </c>
      <c r="E514" s="114" t="s">
        <v>966</v>
      </c>
      <c r="F514" s="114" t="s">
        <v>909</v>
      </c>
      <c r="G514" s="114"/>
      <c r="H514" s="114"/>
      <c r="I514" s="114"/>
      <c r="J514" s="114"/>
      <c r="K514" s="114"/>
      <c r="L514" s="114"/>
      <c r="M514" s="114"/>
      <c r="N514" s="114">
        <v>10</v>
      </c>
      <c r="O514" s="180">
        <v>-2147483648</v>
      </c>
      <c r="P514" s="180">
        <v>2147483647</v>
      </c>
      <c r="Q514" s="180">
        <v>0</v>
      </c>
      <c r="R514" s="180"/>
      <c r="S514" s="180"/>
      <c r="T514" s="181" t="s">
        <v>3331</v>
      </c>
      <c r="U514" s="179" t="s">
        <v>3332</v>
      </c>
      <c r="V514" s="179" t="s">
        <v>3333</v>
      </c>
      <c r="W514" s="114" t="s">
        <v>3334</v>
      </c>
      <c r="X514" s="180">
        <v>32</v>
      </c>
      <c r="Y514" s="182" t="s">
        <v>1503</v>
      </c>
      <c r="Z514" s="183" t="s">
        <v>2774</v>
      </c>
      <c r="AA514" s="184"/>
      <c r="AB514" s="182"/>
      <c r="AC514" s="114">
        <v>6</v>
      </c>
      <c r="AD514" s="172" t="s">
        <v>887</v>
      </c>
      <c r="AE514" s="114"/>
      <c r="AF514" s="114"/>
      <c r="AG514" s="114"/>
      <c r="AH514" s="106"/>
      <c r="AI514" s="114"/>
      <c r="AJ514" s="106"/>
      <c r="AK514" s="114"/>
      <c r="AL514" s="106"/>
      <c r="AM514" s="114"/>
      <c r="AN514" s="106"/>
      <c r="AO514" s="114"/>
      <c r="AP514" s="106"/>
      <c r="AQ514" s="114"/>
      <c r="AR514" s="106"/>
      <c r="AS514" s="114" t="s">
        <v>915</v>
      </c>
      <c r="AT514" s="106"/>
      <c r="AU514" s="114"/>
      <c r="AV514" s="106"/>
      <c r="AW514" s="114"/>
      <c r="AX514" s="157"/>
      <c r="AY514" s="157"/>
      <c r="AZ514" s="157"/>
      <c r="BA514" s="157"/>
      <c r="BB514" s="157"/>
      <c r="BC514" s="157"/>
    </row>
    <row r="515" spans="1:55" x14ac:dyDescent="0.3">
      <c r="A515" s="114">
        <f t="shared" si="15"/>
        <v>511</v>
      </c>
      <c r="B515" s="179" t="s">
        <v>3335</v>
      </c>
      <c r="C515" s="114">
        <v>0</v>
      </c>
      <c r="D515" s="114" t="s">
        <v>991</v>
      </c>
      <c r="E515" s="114" t="s">
        <v>944</v>
      </c>
      <c r="F515" s="114" t="s">
        <v>909</v>
      </c>
      <c r="G515" s="114"/>
      <c r="H515" s="114"/>
      <c r="I515" s="114"/>
      <c r="J515" s="114"/>
      <c r="K515" s="114"/>
      <c r="L515" s="114"/>
      <c r="M515" s="191" t="s">
        <v>874</v>
      </c>
      <c r="N515" s="114">
        <v>10</v>
      </c>
      <c r="O515" s="180" t="s">
        <v>1181</v>
      </c>
      <c r="P515" s="180" t="s">
        <v>1089</v>
      </c>
      <c r="Q515" s="180" t="s">
        <v>1181</v>
      </c>
      <c r="R515" s="180"/>
      <c r="S515" s="180"/>
      <c r="T515" s="181" t="s">
        <v>3336</v>
      </c>
      <c r="U515" s="179" t="s">
        <v>3337</v>
      </c>
      <c r="V515" s="179" t="s">
        <v>3338</v>
      </c>
      <c r="W515" s="114" t="s">
        <v>3339</v>
      </c>
      <c r="X515" s="180">
        <v>32</v>
      </c>
      <c r="Y515" s="182" t="s">
        <v>1503</v>
      </c>
      <c r="Z515" s="183" t="s">
        <v>2774</v>
      </c>
      <c r="AA515" s="184"/>
      <c r="AB515" s="182"/>
      <c r="AC515" s="114">
        <v>6</v>
      </c>
      <c r="AD515" s="172" t="s">
        <v>887</v>
      </c>
      <c r="AE515" s="114"/>
      <c r="AF515" s="114"/>
      <c r="AG515" s="114"/>
      <c r="AH515" s="106"/>
      <c r="AI515" s="114"/>
      <c r="AJ515" s="106"/>
      <c r="AK515" s="114"/>
      <c r="AL515" s="106"/>
      <c r="AM515" s="114"/>
      <c r="AN515" s="106"/>
      <c r="AO515" s="114"/>
      <c r="AP515" s="106"/>
      <c r="AQ515" s="114"/>
      <c r="AR515" s="106"/>
      <c r="AS515" s="114" t="s">
        <v>915</v>
      </c>
      <c r="AT515" s="106"/>
      <c r="AU515" s="114"/>
      <c r="AV515" s="106"/>
      <c r="AW515" s="114"/>
      <c r="AX515" s="157"/>
      <c r="AY515" s="157"/>
      <c r="AZ515" s="157"/>
      <c r="BA515" s="157"/>
      <c r="BB515" s="157"/>
      <c r="BC515" s="157"/>
    </row>
    <row r="516" spans="1:55" x14ac:dyDescent="0.3">
      <c r="A516" s="114">
        <f t="shared" si="15"/>
        <v>512</v>
      </c>
      <c r="B516" s="179" t="s">
        <v>3340</v>
      </c>
      <c r="C516" s="114">
        <v>0</v>
      </c>
      <c r="D516" s="114" t="s">
        <v>991</v>
      </c>
      <c r="E516" s="114" t="s">
        <v>966</v>
      </c>
      <c r="F516" s="114" t="s">
        <v>909</v>
      </c>
      <c r="G516" s="114"/>
      <c r="H516" s="114"/>
      <c r="I516" s="114"/>
      <c r="J516" s="114"/>
      <c r="K516" s="114"/>
      <c r="L516" s="114"/>
      <c r="M516" s="114"/>
      <c r="N516" s="114">
        <v>10</v>
      </c>
      <c r="O516" s="180">
        <v>-2147483648</v>
      </c>
      <c r="P516" s="180">
        <v>2147483647</v>
      </c>
      <c r="Q516" s="180">
        <v>0</v>
      </c>
      <c r="R516" s="180"/>
      <c r="S516" s="180"/>
      <c r="T516" s="181" t="s">
        <v>3341</v>
      </c>
      <c r="U516" s="179" t="s">
        <v>3342</v>
      </c>
      <c r="V516" s="179" t="s">
        <v>3343</v>
      </c>
      <c r="W516" s="114" t="s">
        <v>3344</v>
      </c>
      <c r="X516" s="180">
        <v>32</v>
      </c>
      <c r="Y516" s="182" t="s">
        <v>1503</v>
      </c>
      <c r="Z516" s="183" t="s">
        <v>2774</v>
      </c>
      <c r="AA516" s="184"/>
      <c r="AB516" s="182"/>
      <c r="AC516" s="114">
        <v>6</v>
      </c>
      <c r="AD516" s="172" t="s">
        <v>887</v>
      </c>
      <c r="AE516" s="114"/>
      <c r="AF516" s="114"/>
      <c r="AG516" s="114"/>
      <c r="AH516" s="106"/>
      <c r="AI516" s="114"/>
      <c r="AJ516" s="106"/>
      <c r="AK516" s="114"/>
      <c r="AL516" s="106"/>
      <c r="AM516" s="114"/>
      <c r="AN516" s="106"/>
      <c r="AO516" s="114"/>
      <c r="AP516" s="106"/>
      <c r="AQ516" s="114"/>
      <c r="AR516" s="106"/>
      <c r="AS516" s="114" t="s">
        <v>915</v>
      </c>
      <c r="AT516" s="106"/>
      <c r="AU516" s="114"/>
      <c r="AV516" s="106"/>
      <c r="AW516" s="114"/>
      <c r="AX516" s="157"/>
      <c r="AY516" s="157"/>
      <c r="AZ516" s="157"/>
      <c r="BA516" s="157"/>
      <c r="BB516" s="157"/>
      <c r="BC516" s="157"/>
    </row>
    <row r="517" spans="1:55" x14ac:dyDescent="0.3">
      <c r="A517" s="114">
        <f t="shared" si="15"/>
        <v>513</v>
      </c>
      <c r="B517" s="179" t="s">
        <v>3345</v>
      </c>
      <c r="C517" s="114">
        <v>0</v>
      </c>
      <c r="D517" s="114" t="s">
        <v>991</v>
      </c>
      <c r="E517" s="114" t="s">
        <v>944</v>
      </c>
      <c r="F517" s="114" t="s">
        <v>909</v>
      </c>
      <c r="G517" s="114"/>
      <c r="H517" s="114"/>
      <c r="I517" s="114"/>
      <c r="J517" s="114"/>
      <c r="K517" s="114"/>
      <c r="L517" s="114"/>
      <c r="M517" s="191" t="s">
        <v>874</v>
      </c>
      <c r="N517" s="114">
        <v>10</v>
      </c>
      <c r="O517" s="180" t="s">
        <v>1181</v>
      </c>
      <c r="P517" s="180" t="s">
        <v>1089</v>
      </c>
      <c r="Q517" s="180" t="s">
        <v>1181</v>
      </c>
      <c r="R517" s="180"/>
      <c r="S517" s="180"/>
      <c r="T517" s="181" t="s">
        <v>3346</v>
      </c>
      <c r="U517" s="179" t="s">
        <v>3347</v>
      </c>
      <c r="V517" s="179" t="s">
        <v>3348</v>
      </c>
      <c r="W517" s="114" t="s">
        <v>3349</v>
      </c>
      <c r="X517" s="180">
        <v>32</v>
      </c>
      <c r="Y517" s="182" t="s">
        <v>1503</v>
      </c>
      <c r="Z517" s="183" t="s">
        <v>2774</v>
      </c>
      <c r="AA517" s="184"/>
      <c r="AB517" s="182"/>
      <c r="AC517" s="114">
        <v>6</v>
      </c>
      <c r="AD517" s="172" t="s">
        <v>887</v>
      </c>
      <c r="AE517" s="114"/>
      <c r="AF517" s="114"/>
      <c r="AG517" s="114"/>
      <c r="AH517" s="106"/>
      <c r="AI517" s="114"/>
      <c r="AJ517" s="106"/>
      <c r="AK517" s="114"/>
      <c r="AL517" s="106"/>
      <c r="AM517" s="114"/>
      <c r="AN517" s="106"/>
      <c r="AO517" s="114"/>
      <c r="AP517" s="106"/>
      <c r="AQ517" s="114"/>
      <c r="AR517" s="106"/>
      <c r="AS517" s="114" t="s">
        <v>915</v>
      </c>
      <c r="AT517" s="106"/>
      <c r="AU517" s="114"/>
      <c r="AV517" s="106"/>
      <c r="AW517" s="114"/>
      <c r="AX517" s="157"/>
      <c r="AY517" s="157"/>
      <c r="AZ517" s="157"/>
      <c r="BA517" s="157"/>
      <c r="BB517" s="157"/>
      <c r="BC517" s="157"/>
    </row>
    <row r="518" spans="1:55" x14ac:dyDescent="0.3">
      <c r="A518" s="114">
        <f t="shared" si="15"/>
        <v>514</v>
      </c>
      <c r="B518" s="179" t="s">
        <v>3350</v>
      </c>
      <c r="C518" s="114">
        <v>0</v>
      </c>
      <c r="D518" s="114" t="s">
        <v>991</v>
      </c>
      <c r="E518" s="114" t="s">
        <v>966</v>
      </c>
      <c r="F518" s="114" t="s">
        <v>909</v>
      </c>
      <c r="G518" s="114"/>
      <c r="H518" s="114"/>
      <c r="I518" s="114"/>
      <c r="J518" s="114"/>
      <c r="K518" s="114"/>
      <c r="L518" s="114"/>
      <c r="M518" s="114"/>
      <c r="N518" s="114">
        <v>10</v>
      </c>
      <c r="O518" s="180">
        <v>-2147483648</v>
      </c>
      <c r="P518" s="180">
        <v>2147483647</v>
      </c>
      <c r="Q518" s="180">
        <v>0</v>
      </c>
      <c r="R518" s="180"/>
      <c r="S518" s="180"/>
      <c r="T518" s="181" t="s">
        <v>3351</v>
      </c>
      <c r="U518" s="179" t="s">
        <v>3352</v>
      </c>
      <c r="V518" s="179" t="s">
        <v>3353</v>
      </c>
      <c r="W518" s="114" t="s">
        <v>3354</v>
      </c>
      <c r="X518" s="180">
        <v>32</v>
      </c>
      <c r="Y518" s="182" t="s">
        <v>1503</v>
      </c>
      <c r="Z518" s="183" t="s">
        <v>2774</v>
      </c>
      <c r="AA518" s="184"/>
      <c r="AB518" s="182"/>
      <c r="AC518" s="114">
        <v>6</v>
      </c>
      <c r="AD518" s="172" t="s">
        <v>887</v>
      </c>
      <c r="AE518" s="114"/>
      <c r="AF518" s="114"/>
      <c r="AG518" s="114"/>
      <c r="AH518" s="106"/>
      <c r="AI518" s="114"/>
      <c r="AJ518" s="106"/>
      <c r="AK518" s="114"/>
      <c r="AL518" s="106"/>
      <c r="AM518" s="114"/>
      <c r="AN518" s="106"/>
      <c r="AO518" s="114"/>
      <c r="AP518" s="106"/>
      <c r="AQ518" s="114"/>
      <c r="AR518" s="106"/>
      <c r="AS518" s="114" t="s">
        <v>915</v>
      </c>
      <c r="AT518" s="106"/>
      <c r="AU518" s="114"/>
      <c r="AV518" s="106"/>
      <c r="AW518" s="114"/>
      <c r="AX518" s="157"/>
      <c r="AY518" s="157"/>
      <c r="AZ518" s="157"/>
      <c r="BA518" s="157"/>
      <c r="BB518" s="157"/>
      <c r="BC518" s="157"/>
    </row>
    <row r="519" spans="1:55" x14ac:dyDescent="0.3">
      <c r="A519" s="114">
        <f t="shared" si="15"/>
        <v>515</v>
      </c>
      <c r="B519" s="179" t="s">
        <v>3355</v>
      </c>
      <c r="C519" s="114">
        <v>0</v>
      </c>
      <c r="D519" s="114" t="s">
        <v>991</v>
      </c>
      <c r="E519" s="114" t="s">
        <v>944</v>
      </c>
      <c r="F519" s="114" t="s">
        <v>909</v>
      </c>
      <c r="G519" s="114"/>
      <c r="H519" s="114"/>
      <c r="I519" s="114"/>
      <c r="J519" s="114"/>
      <c r="K519" s="114"/>
      <c r="L519" s="114"/>
      <c r="M519" s="191" t="s">
        <v>874</v>
      </c>
      <c r="N519" s="114">
        <v>10</v>
      </c>
      <c r="O519" s="180" t="s">
        <v>1181</v>
      </c>
      <c r="P519" s="180" t="s">
        <v>1089</v>
      </c>
      <c r="Q519" s="180" t="s">
        <v>1181</v>
      </c>
      <c r="R519" s="180"/>
      <c r="S519" s="180"/>
      <c r="T519" s="181" t="s">
        <v>3356</v>
      </c>
      <c r="U519" s="179" t="s">
        <v>3357</v>
      </c>
      <c r="V519" s="179" t="s">
        <v>3358</v>
      </c>
      <c r="W519" s="114" t="s">
        <v>3359</v>
      </c>
      <c r="X519" s="180">
        <v>32</v>
      </c>
      <c r="Y519" s="182" t="s">
        <v>1503</v>
      </c>
      <c r="Z519" s="183" t="s">
        <v>2774</v>
      </c>
      <c r="AA519" s="184"/>
      <c r="AB519" s="182"/>
      <c r="AC519" s="114">
        <v>6</v>
      </c>
      <c r="AD519" s="172" t="s">
        <v>887</v>
      </c>
      <c r="AE519" s="114"/>
      <c r="AF519" s="114"/>
      <c r="AG519" s="114"/>
      <c r="AH519" s="106"/>
      <c r="AI519" s="114"/>
      <c r="AJ519" s="106"/>
      <c r="AK519" s="114"/>
      <c r="AL519" s="106"/>
      <c r="AM519" s="114"/>
      <c r="AN519" s="106"/>
      <c r="AO519" s="114"/>
      <c r="AP519" s="106"/>
      <c r="AQ519" s="114"/>
      <c r="AR519" s="106"/>
      <c r="AS519" s="114" t="s">
        <v>915</v>
      </c>
      <c r="AT519" s="106"/>
      <c r="AU519" s="114"/>
      <c r="AV519" s="106"/>
      <c r="AW519" s="114"/>
      <c r="AX519" s="157"/>
      <c r="AY519" s="157"/>
      <c r="AZ519" s="157"/>
      <c r="BA519" s="157"/>
      <c r="BB519" s="157"/>
      <c r="BC519" s="157"/>
    </row>
    <row r="520" spans="1:55" x14ac:dyDescent="0.3">
      <c r="A520" s="114">
        <f t="shared" si="15"/>
        <v>516</v>
      </c>
      <c r="B520" s="179" t="s">
        <v>3360</v>
      </c>
      <c r="C520" s="114">
        <v>0</v>
      </c>
      <c r="D520" s="114" t="s">
        <v>991</v>
      </c>
      <c r="E520" s="114" t="s">
        <v>966</v>
      </c>
      <c r="F520" s="114" t="s">
        <v>909</v>
      </c>
      <c r="G520" s="114"/>
      <c r="H520" s="114"/>
      <c r="I520" s="114"/>
      <c r="J520" s="114"/>
      <c r="K520" s="114"/>
      <c r="L520" s="114"/>
      <c r="M520" s="114"/>
      <c r="N520" s="114">
        <v>10</v>
      </c>
      <c r="O520" s="180">
        <v>-2147483648</v>
      </c>
      <c r="P520" s="180">
        <v>2147483647</v>
      </c>
      <c r="Q520" s="180">
        <v>0</v>
      </c>
      <c r="R520" s="180"/>
      <c r="S520" s="180"/>
      <c r="T520" s="181" t="s">
        <v>3361</v>
      </c>
      <c r="U520" s="179" t="s">
        <v>3362</v>
      </c>
      <c r="V520" s="179" t="s">
        <v>3363</v>
      </c>
      <c r="W520" s="114" t="s">
        <v>3364</v>
      </c>
      <c r="X520" s="180">
        <v>32</v>
      </c>
      <c r="Y520" s="182" t="s">
        <v>1503</v>
      </c>
      <c r="Z520" s="183" t="s">
        <v>2774</v>
      </c>
      <c r="AA520" s="184"/>
      <c r="AB520" s="182"/>
      <c r="AC520" s="114">
        <v>6</v>
      </c>
      <c r="AD520" s="172" t="s">
        <v>887</v>
      </c>
      <c r="AE520" s="114"/>
      <c r="AF520" s="114"/>
      <c r="AG520" s="114"/>
      <c r="AH520" s="106"/>
      <c r="AI520" s="114"/>
      <c r="AJ520" s="106"/>
      <c r="AK520" s="114"/>
      <c r="AL520" s="106"/>
      <c r="AM520" s="114"/>
      <c r="AN520" s="106"/>
      <c r="AO520" s="114"/>
      <c r="AP520" s="106"/>
      <c r="AQ520" s="114"/>
      <c r="AR520" s="106"/>
      <c r="AS520" s="114" t="s">
        <v>915</v>
      </c>
      <c r="AT520" s="106"/>
      <c r="AU520" s="114"/>
      <c r="AV520" s="106"/>
      <c r="AW520" s="114"/>
      <c r="AX520" s="157"/>
      <c r="AY520" s="157"/>
      <c r="AZ520" s="157"/>
      <c r="BA520" s="157"/>
      <c r="BB520" s="157"/>
      <c r="BC520" s="157"/>
    </row>
    <row r="521" spans="1:55" x14ac:dyDescent="0.3">
      <c r="A521" s="114">
        <f t="shared" si="15"/>
        <v>517</v>
      </c>
      <c r="B521" s="179" t="s">
        <v>3365</v>
      </c>
      <c r="C521" s="114">
        <v>0</v>
      </c>
      <c r="D521" s="114" t="s">
        <v>991</v>
      </c>
      <c r="E521" s="114" t="s">
        <v>944</v>
      </c>
      <c r="F521" s="114" t="s">
        <v>909</v>
      </c>
      <c r="G521" s="114"/>
      <c r="H521" s="114"/>
      <c r="I521" s="114"/>
      <c r="J521" s="114"/>
      <c r="K521" s="114"/>
      <c r="L521" s="114"/>
      <c r="M521" s="191" t="s">
        <v>874</v>
      </c>
      <c r="N521" s="114">
        <v>10</v>
      </c>
      <c r="O521" s="180" t="s">
        <v>1181</v>
      </c>
      <c r="P521" s="180" t="s">
        <v>1089</v>
      </c>
      <c r="Q521" s="180" t="s">
        <v>1181</v>
      </c>
      <c r="R521" s="180"/>
      <c r="S521" s="180"/>
      <c r="T521" s="181" t="s">
        <v>3366</v>
      </c>
      <c r="U521" s="179" t="s">
        <v>3367</v>
      </c>
      <c r="V521" s="179" t="s">
        <v>3368</v>
      </c>
      <c r="W521" s="114" t="s">
        <v>3369</v>
      </c>
      <c r="X521" s="180">
        <v>32</v>
      </c>
      <c r="Y521" s="182" t="s">
        <v>1503</v>
      </c>
      <c r="Z521" s="183" t="s">
        <v>2774</v>
      </c>
      <c r="AA521" s="184"/>
      <c r="AB521" s="182"/>
      <c r="AC521" s="114">
        <v>6</v>
      </c>
      <c r="AD521" s="172" t="s">
        <v>887</v>
      </c>
      <c r="AE521" s="114"/>
      <c r="AF521" s="114"/>
      <c r="AG521" s="114"/>
      <c r="AH521" s="106"/>
      <c r="AI521" s="114"/>
      <c r="AJ521" s="106"/>
      <c r="AK521" s="114"/>
      <c r="AL521" s="106"/>
      <c r="AM521" s="114"/>
      <c r="AN521" s="106"/>
      <c r="AO521" s="114"/>
      <c r="AP521" s="106"/>
      <c r="AQ521" s="114"/>
      <c r="AR521" s="106"/>
      <c r="AS521" s="114" t="s">
        <v>915</v>
      </c>
      <c r="AT521" s="106"/>
      <c r="AU521" s="114"/>
      <c r="AV521" s="106"/>
      <c r="AW521" s="114"/>
      <c r="AX521" s="157"/>
      <c r="AY521" s="157"/>
      <c r="AZ521" s="157"/>
      <c r="BA521" s="157"/>
      <c r="BB521" s="157"/>
      <c r="BC521" s="157"/>
    </row>
    <row r="522" spans="1:55" x14ac:dyDescent="0.3">
      <c r="A522" s="114">
        <f t="shared" si="15"/>
        <v>518</v>
      </c>
      <c r="B522" s="179" t="s">
        <v>3370</v>
      </c>
      <c r="C522" s="114">
        <v>0</v>
      </c>
      <c r="D522" s="114" t="s">
        <v>991</v>
      </c>
      <c r="E522" s="114" t="s">
        <v>966</v>
      </c>
      <c r="F522" s="114" t="s">
        <v>909</v>
      </c>
      <c r="G522" s="114"/>
      <c r="H522" s="114"/>
      <c r="I522" s="114"/>
      <c r="J522" s="114"/>
      <c r="K522" s="114"/>
      <c r="L522" s="114"/>
      <c r="M522" s="114"/>
      <c r="N522" s="114">
        <v>10</v>
      </c>
      <c r="O522" s="180">
        <v>-2147483648</v>
      </c>
      <c r="P522" s="180">
        <v>2147483647</v>
      </c>
      <c r="Q522" s="180">
        <v>0</v>
      </c>
      <c r="R522" s="180"/>
      <c r="S522" s="180"/>
      <c r="T522" s="181" t="s">
        <v>3371</v>
      </c>
      <c r="U522" s="179" t="s">
        <v>3372</v>
      </c>
      <c r="V522" s="179" t="s">
        <v>3373</v>
      </c>
      <c r="W522" s="114" t="s">
        <v>3374</v>
      </c>
      <c r="X522" s="180">
        <v>32</v>
      </c>
      <c r="Y522" s="182" t="s">
        <v>1503</v>
      </c>
      <c r="Z522" s="183" t="s">
        <v>2774</v>
      </c>
      <c r="AA522" s="184"/>
      <c r="AB522" s="182"/>
      <c r="AC522" s="114">
        <v>6</v>
      </c>
      <c r="AD522" s="172" t="s">
        <v>887</v>
      </c>
      <c r="AE522" s="114"/>
      <c r="AF522" s="114"/>
      <c r="AG522" s="114"/>
      <c r="AH522" s="106"/>
      <c r="AI522" s="114"/>
      <c r="AJ522" s="106"/>
      <c r="AK522" s="114"/>
      <c r="AL522" s="106"/>
      <c r="AM522" s="114"/>
      <c r="AN522" s="106"/>
      <c r="AO522" s="114"/>
      <c r="AP522" s="106"/>
      <c r="AQ522" s="114"/>
      <c r="AR522" s="106"/>
      <c r="AS522" s="114" t="s">
        <v>915</v>
      </c>
      <c r="AT522" s="106"/>
      <c r="AU522" s="114"/>
      <c r="AV522" s="106"/>
      <c r="AW522" s="114"/>
      <c r="AX522" s="157"/>
      <c r="AY522" s="157"/>
      <c r="AZ522" s="157"/>
      <c r="BA522" s="157"/>
      <c r="BB522" s="157"/>
      <c r="BC522" s="157"/>
    </row>
    <row r="523" spans="1:55" x14ac:dyDescent="0.3">
      <c r="A523" s="114">
        <f>A522+1</f>
        <v>519</v>
      </c>
      <c r="B523" s="179" t="s">
        <v>3375</v>
      </c>
      <c r="C523" s="114">
        <v>0</v>
      </c>
      <c r="D523" s="114" t="s">
        <v>991</v>
      </c>
      <c r="E523" s="114" t="s">
        <v>944</v>
      </c>
      <c r="F523" s="114" t="s">
        <v>909</v>
      </c>
      <c r="G523" s="114"/>
      <c r="H523" s="114"/>
      <c r="I523" s="114"/>
      <c r="J523" s="114"/>
      <c r="K523" s="114"/>
      <c r="L523" s="114"/>
      <c r="M523" s="191" t="s">
        <v>874</v>
      </c>
      <c r="N523" s="114">
        <v>10</v>
      </c>
      <c r="O523" s="180" t="s">
        <v>1181</v>
      </c>
      <c r="P523" s="180" t="s">
        <v>1089</v>
      </c>
      <c r="Q523" s="180" t="s">
        <v>1181</v>
      </c>
      <c r="R523" s="180"/>
      <c r="S523" s="180"/>
      <c r="T523" s="181" t="s">
        <v>3376</v>
      </c>
      <c r="U523" s="179" t="s">
        <v>3377</v>
      </c>
      <c r="V523" s="179" t="s">
        <v>3378</v>
      </c>
      <c r="W523" s="114" t="s">
        <v>3379</v>
      </c>
      <c r="X523" s="180">
        <v>32</v>
      </c>
      <c r="Y523" s="182" t="s">
        <v>1503</v>
      </c>
      <c r="Z523" s="183" t="s">
        <v>2774</v>
      </c>
      <c r="AA523" s="184"/>
      <c r="AB523" s="182"/>
      <c r="AC523" s="114">
        <v>6</v>
      </c>
      <c r="AD523" s="172" t="s">
        <v>887</v>
      </c>
      <c r="AE523" s="114"/>
      <c r="AF523" s="114"/>
      <c r="AG523" s="114"/>
      <c r="AH523" s="106"/>
      <c r="AI523" s="114"/>
      <c r="AJ523" s="106"/>
      <c r="AK523" s="114"/>
      <c r="AL523" s="106"/>
      <c r="AM523" s="114"/>
      <c r="AN523" s="106"/>
      <c r="AO523" s="114"/>
      <c r="AP523" s="106"/>
      <c r="AQ523" s="114"/>
      <c r="AR523" s="106"/>
      <c r="AS523" s="114" t="s">
        <v>915</v>
      </c>
      <c r="AT523" s="106"/>
      <c r="AU523" s="114"/>
      <c r="AV523" s="106"/>
      <c r="AW523" s="114"/>
      <c r="AX523" s="157"/>
      <c r="AY523" s="157"/>
      <c r="AZ523" s="157"/>
      <c r="BA523" s="157"/>
      <c r="BB523" s="157"/>
      <c r="BC523" s="157"/>
    </row>
    <row r="524" spans="1:55" x14ac:dyDescent="0.3">
      <c r="A524" s="114">
        <f t="shared" ref="A524:A537" si="16">A523+1</f>
        <v>520</v>
      </c>
      <c r="B524" s="179" t="s">
        <v>3380</v>
      </c>
      <c r="C524" s="114">
        <v>0</v>
      </c>
      <c r="D524" s="114" t="s">
        <v>991</v>
      </c>
      <c r="E524" s="114" t="s">
        <v>966</v>
      </c>
      <c r="F524" s="114" t="s">
        <v>909</v>
      </c>
      <c r="G524" s="114"/>
      <c r="H524" s="114"/>
      <c r="I524" s="114"/>
      <c r="J524" s="114"/>
      <c r="K524" s="114"/>
      <c r="L524" s="114"/>
      <c r="M524" s="114"/>
      <c r="N524" s="114">
        <v>10</v>
      </c>
      <c r="O524" s="180">
        <v>-2147483648</v>
      </c>
      <c r="P524" s="180">
        <v>2147483647</v>
      </c>
      <c r="Q524" s="180">
        <v>0</v>
      </c>
      <c r="R524" s="180"/>
      <c r="S524" s="180"/>
      <c r="T524" s="181" t="s">
        <v>3381</v>
      </c>
      <c r="U524" s="179" t="s">
        <v>3382</v>
      </c>
      <c r="V524" s="179" t="s">
        <v>3383</v>
      </c>
      <c r="W524" s="114" t="s">
        <v>3384</v>
      </c>
      <c r="X524" s="180">
        <v>32</v>
      </c>
      <c r="Y524" s="182" t="s">
        <v>1503</v>
      </c>
      <c r="Z524" s="183" t="s">
        <v>2774</v>
      </c>
      <c r="AA524" s="184"/>
      <c r="AB524" s="182"/>
      <c r="AC524" s="114">
        <v>6</v>
      </c>
      <c r="AD524" s="172" t="s">
        <v>887</v>
      </c>
      <c r="AE524" s="114"/>
      <c r="AF524" s="114"/>
      <c r="AG524" s="114"/>
      <c r="AH524" s="106"/>
      <c r="AI524" s="114"/>
      <c r="AJ524" s="106"/>
      <c r="AK524" s="114"/>
      <c r="AL524" s="106"/>
      <c r="AM524" s="114"/>
      <c r="AN524" s="106"/>
      <c r="AO524" s="114"/>
      <c r="AP524" s="106"/>
      <c r="AQ524" s="114"/>
      <c r="AR524" s="106"/>
      <c r="AS524" s="114" t="s">
        <v>915</v>
      </c>
      <c r="AT524" s="106"/>
      <c r="AU524" s="114"/>
      <c r="AV524" s="106"/>
      <c r="AW524" s="114"/>
      <c r="AX524" s="157"/>
      <c r="AY524" s="157"/>
      <c r="AZ524" s="157"/>
      <c r="BA524" s="157"/>
      <c r="BB524" s="157"/>
      <c r="BC524" s="157"/>
    </row>
    <row r="525" spans="1:55" x14ac:dyDescent="0.3">
      <c r="A525" s="114">
        <f t="shared" si="16"/>
        <v>521</v>
      </c>
      <c r="B525" s="179" t="s">
        <v>3385</v>
      </c>
      <c r="C525" s="114">
        <v>0</v>
      </c>
      <c r="D525" s="114" t="s">
        <v>991</v>
      </c>
      <c r="E525" s="114" t="s">
        <v>944</v>
      </c>
      <c r="F525" s="114" t="s">
        <v>909</v>
      </c>
      <c r="G525" s="114"/>
      <c r="H525" s="114"/>
      <c r="I525" s="114"/>
      <c r="J525" s="114"/>
      <c r="K525" s="114"/>
      <c r="L525" s="114"/>
      <c r="M525" s="191" t="s">
        <v>874</v>
      </c>
      <c r="N525" s="114">
        <v>10</v>
      </c>
      <c r="O525" s="180" t="s">
        <v>1181</v>
      </c>
      <c r="P525" s="180" t="s">
        <v>1089</v>
      </c>
      <c r="Q525" s="180" t="s">
        <v>1181</v>
      </c>
      <c r="R525" s="180"/>
      <c r="S525" s="180"/>
      <c r="T525" s="181" t="s">
        <v>3386</v>
      </c>
      <c r="U525" s="179" t="s">
        <v>3387</v>
      </c>
      <c r="V525" s="179" t="s">
        <v>3388</v>
      </c>
      <c r="W525" s="114" t="s">
        <v>3389</v>
      </c>
      <c r="X525" s="180">
        <v>32</v>
      </c>
      <c r="Y525" s="182" t="s">
        <v>1503</v>
      </c>
      <c r="Z525" s="183" t="s">
        <v>2774</v>
      </c>
      <c r="AA525" s="184"/>
      <c r="AB525" s="182"/>
      <c r="AC525" s="114">
        <v>6</v>
      </c>
      <c r="AD525" s="172" t="s">
        <v>887</v>
      </c>
      <c r="AE525" s="114"/>
      <c r="AF525" s="114"/>
      <c r="AG525" s="114"/>
      <c r="AH525" s="106"/>
      <c r="AI525" s="114"/>
      <c r="AJ525" s="106"/>
      <c r="AK525" s="114"/>
      <c r="AL525" s="106"/>
      <c r="AM525" s="114"/>
      <c r="AN525" s="106"/>
      <c r="AO525" s="114"/>
      <c r="AP525" s="106"/>
      <c r="AQ525" s="114"/>
      <c r="AR525" s="106"/>
      <c r="AS525" s="114" t="s">
        <v>915</v>
      </c>
      <c r="AT525" s="106"/>
      <c r="AU525" s="114"/>
      <c r="AV525" s="106"/>
      <c r="AW525" s="114"/>
      <c r="AX525" s="157"/>
      <c r="AY525" s="157"/>
      <c r="AZ525" s="157"/>
      <c r="BA525" s="157"/>
      <c r="BB525" s="157"/>
      <c r="BC525" s="157"/>
    </row>
    <row r="526" spans="1:55" x14ac:dyDescent="0.3">
      <c r="A526" s="114">
        <f t="shared" si="16"/>
        <v>522</v>
      </c>
      <c r="B526" s="179" t="s">
        <v>3390</v>
      </c>
      <c r="C526" s="114">
        <v>0</v>
      </c>
      <c r="D526" s="114" t="s">
        <v>991</v>
      </c>
      <c r="E526" s="114" t="s">
        <v>966</v>
      </c>
      <c r="F526" s="114" t="s">
        <v>909</v>
      </c>
      <c r="G526" s="114"/>
      <c r="H526" s="114"/>
      <c r="I526" s="114"/>
      <c r="J526" s="114"/>
      <c r="K526" s="114"/>
      <c r="L526" s="114"/>
      <c r="M526" s="114"/>
      <c r="N526" s="114">
        <v>10</v>
      </c>
      <c r="O526" s="180">
        <v>-2147483648</v>
      </c>
      <c r="P526" s="180">
        <v>2147483647</v>
      </c>
      <c r="Q526" s="180">
        <v>0</v>
      </c>
      <c r="R526" s="180"/>
      <c r="S526" s="180"/>
      <c r="T526" s="181" t="s">
        <v>3391</v>
      </c>
      <c r="U526" s="179" t="s">
        <v>3392</v>
      </c>
      <c r="V526" s="179" t="s">
        <v>3393</v>
      </c>
      <c r="W526" s="114" t="s">
        <v>3394</v>
      </c>
      <c r="X526" s="180">
        <v>32</v>
      </c>
      <c r="Y526" s="182" t="s">
        <v>1503</v>
      </c>
      <c r="Z526" s="183" t="s">
        <v>2774</v>
      </c>
      <c r="AA526" s="184"/>
      <c r="AB526" s="182"/>
      <c r="AC526" s="114">
        <v>6</v>
      </c>
      <c r="AD526" s="172" t="s">
        <v>887</v>
      </c>
      <c r="AE526" s="114"/>
      <c r="AF526" s="114"/>
      <c r="AG526" s="114"/>
      <c r="AH526" s="106"/>
      <c r="AI526" s="114"/>
      <c r="AJ526" s="106"/>
      <c r="AK526" s="114"/>
      <c r="AL526" s="106"/>
      <c r="AM526" s="114"/>
      <c r="AN526" s="106"/>
      <c r="AO526" s="114"/>
      <c r="AP526" s="106"/>
      <c r="AQ526" s="114"/>
      <c r="AR526" s="106"/>
      <c r="AS526" s="114" t="s">
        <v>915</v>
      </c>
      <c r="AT526" s="106"/>
      <c r="AU526" s="114"/>
      <c r="AV526" s="106"/>
      <c r="AW526" s="114"/>
      <c r="AX526" s="157"/>
      <c r="AY526" s="157"/>
      <c r="AZ526" s="157"/>
      <c r="BA526" s="157"/>
      <c r="BB526" s="157"/>
      <c r="BC526" s="157"/>
    </row>
    <row r="527" spans="1:55" x14ac:dyDescent="0.3">
      <c r="A527" s="114">
        <f t="shared" si="16"/>
        <v>523</v>
      </c>
      <c r="B527" s="179" t="s">
        <v>3395</v>
      </c>
      <c r="C527" s="114">
        <v>0</v>
      </c>
      <c r="D527" s="114" t="s">
        <v>991</v>
      </c>
      <c r="E527" s="114" t="s">
        <v>944</v>
      </c>
      <c r="F527" s="114" t="s">
        <v>909</v>
      </c>
      <c r="G527" s="114"/>
      <c r="H527" s="114"/>
      <c r="I527" s="114"/>
      <c r="J527" s="114"/>
      <c r="K527" s="114"/>
      <c r="L527" s="114"/>
      <c r="M527" s="191" t="s">
        <v>874</v>
      </c>
      <c r="N527" s="114">
        <v>10</v>
      </c>
      <c r="O527" s="180" t="s">
        <v>1181</v>
      </c>
      <c r="P527" s="180" t="s">
        <v>1089</v>
      </c>
      <c r="Q527" s="180" t="s">
        <v>1181</v>
      </c>
      <c r="R527" s="180"/>
      <c r="S527" s="180"/>
      <c r="T527" s="181" t="s">
        <v>3396</v>
      </c>
      <c r="U527" s="179" t="s">
        <v>3397</v>
      </c>
      <c r="V527" s="179" t="s">
        <v>3398</v>
      </c>
      <c r="W527" s="114" t="s">
        <v>3399</v>
      </c>
      <c r="X527" s="180">
        <v>32</v>
      </c>
      <c r="Y527" s="182" t="s">
        <v>1503</v>
      </c>
      <c r="Z527" s="183" t="s">
        <v>2774</v>
      </c>
      <c r="AA527" s="184"/>
      <c r="AB527" s="182"/>
      <c r="AC527" s="114">
        <v>6</v>
      </c>
      <c r="AD527" s="172" t="s">
        <v>887</v>
      </c>
      <c r="AE527" s="114"/>
      <c r="AF527" s="114"/>
      <c r="AG527" s="114"/>
      <c r="AH527" s="106"/>
      <c r="AI527" s="114"/>
      <c r="AJ527" s="106"/>
      <c r="AK527" s="114"/>
      <c r="AL527" s="106"/>
      <c r="AM527" s="114"/>
      <c r="AN527" s="106"/>
      <c r="AO527" s="114"/>
      <c r="AP527" s="106"/>
      <c r="AQ527" s="114"/>
      <c r="AR527" s="106"/>
      <c r="AS527" s="114" t="s">
        <v>915</v>
      </c>
      <c r="AT527" s="106"/>
      <c r="AU527" s="114"/>
      <c r="AV527" s="106"/>
      <c r="AW527" s="114"/>
      <c r="AX527" s="157"/>
      <c r="AY527" s="157"/>
      <c r="AZ527" s="157"/>
      <c r="BA527" s="157"/>
      <c r="BB527" s="157"/>
      <c r="BC527" s="157"/>
    </row>
    <row r="528" spans="1:55" x14ac:dyDescent="0.3">
      <c r="A528" s="114">
        <f t="shared" si="16"/>
        <v>524</v>
      </c>
      <c r="B528" s="179" t="s">
        <v>3400</v>
      </c>
      <c r="C528" s="114">
        <v>0</v>
      </c>
      <c r="D528" s="114" t="s">
        <v>991</v>
      </c>
      <c r="E528" s="114" t="s">
        <v>966</v>
      </c>
      <c r="F528" s="114" t="s">
        <v>909</v>
      </c>
      <c r="G528" s="114"/>
      <c r="H528" s="114"/>
      <c r="I528" s="114"/>
      <c r="J528" s="114"/>
      <c r="K528" s="114"/>
      <c r="L528" s="114"/>
      <c r="M528" s="114"/>
      <c r="N528" s="114">
        <v>10</v>
      </c>
      <c r="O528" s="180">
        <v>-2147483648</v>
      </c>
      <c r="P528" s="180">
        <v>2147483647</v>
      </c>
      <c r="Q528" s="180">
        <v>0</v>
      </c>
      <c r="R528" s="180"/>
      <c r="S528" s="180"/>
      <c r="T528" s="181" t="s">
        <v>3401</v>
      </c>
      <c r="U528" s="179" t="s">
        <v>3402</v>
      </c>
      <c r="V528" s="179" t="s">
        <v>3403</v>
      </c>
      <c r="W528" s="114" t="s">
        <v>3404</v>
      </c>
      <c r="X528" s="180">
        <v>32</v>
      </c>
      <c r="Y528" s="182" t="s">
        <v>1503</v>
      </c>
      <c r="Z528" s="183" t="s">
        <v>2774</v>
      </c>
      <c r="AA528" s="184"/>
      <c r="AB528" s="182"/>
      <c r="AC528" s="114">
        <v>6</v>
      </c>
      <c r="AD528" s="172" t="s">
        <v>887</v>
      </c>
      <c r="AE528" s="114"/>
      <c r="AF528" s="114"/>
      <c r="AG528" s="114"/>
      <c r="AH528" s="106"/>
      <c r="AI528" s="114"/>
      <c r="AJ528" s="106"/>
      <c r="AK528" s="114"/>
      <c r="AL528" s="106"/>
      <c r="AM528" s="114"/>
      <c r="AN528" s="106"/>
      <c r="AO528" s="114"/>
      <c r="AP528" s="106"/>
      <c r="AQ528" s="114"/>
      <c r="AR528" s="106"/>
      <c r="AS528" s="114" t="s">
        <v>915</v>
      </c>
      <c r="AT528" s="106"/>
      <c r="AU528" s="114"/>
      <c r="AV528" s="106"/>
      <c r="AW528" s="114"/>
      <c r="AX528" s="157"/>
      <c r="AY528" s="157"/>
      <c r="AZ528" s="157"/>
      <c r="BA528" s="157"/>
      <c r="BB528" s="157"/>
      <c r="BC528" s="157"/>
    </row>
    <row r="529" spans="1:55" x14ac:dyDescent="0.3">
      <c r="A529" s="114">
        <f t="shared" si="16"/>
        <v>525</v>
      </c>
      <c r="B529" s="179" t="s">
        <v>3405</v>
      </c>
      <c r="C529" s="114">
        <v>0</v>
      </c>
      <c r="D529" s="114" t="s">
        <v>991</v>
      </c>
      <c r="E529" s="114" t="s">
        <v>944</v>
      </c>
      <c r="F529" s="114" t="s">
        <v>909</v>
      </c>
      <c r="G529" s="114"/>
      <c r="H529" s="114"/>
      <c r="I529" s="114"/>
      <c r="J529" s="114"/>
      <c r="K529" s="114"/>
      <c r="L529" s="114"/>
      <c r="M529" s="191" t="s">
        <v>874</v>
      </c>
      <c r="N529" s="114">
        <v>10</v>
      </c>
      <c r="O529" s="180" t="s">
        <v>1181</v>
      </c>
      <c r="P529" s="180" t="s">
        <v>1089</v>
      </c>
      <c r="Q529" s="180" t="s">
        <v>1181</v>
      </c>
      <c r="R529" s="180"/>
      <c r="S529" s="180"/>
      <c r="T529" s="181" t="s">
        <v>3406</v>
      </c>
      <c r="U529" s="179" t="s">
        <v>3407</v>
      </c>
      <c r="V529" s="179" t="s">
        <v>3408</v>
      </c>
      <c r="W529" s="114" t="s">
        <v>3409</v>
      </c>
      <c r="X529" s="180">
        <v>32</v>
      </c>
      <c r="Y529" s="182" t="s">
        <v>1503</v>
      </c>
      <c r="Z529" s="183" t="s">
        <v>2774</v>
      </c>
      <c r="AA529" s="184"/>
      <c r="AB529" s="182"/>
      <c r="AC529" s="114">
        <v>6</v>
      </c>
      <c r="AD529" s="172" t="s">
        <v>887</v>
      </c>
      <c r="AE529" s="114"/>
      <c r="AF529" s="114"/>
      <c r="AG529" s="114"/>
      <c r="AH529" s="106"/>
      <c r="AI529" s="114"/>
      <c r="AJ529" s="106"/>
      <c r="AK529" s="114"/>
      <c r="AL529" s="106"/>
      <c r="AM529" s="114"/>
      <c r="AN529" s="106"/>
      <c r="AO529" s="114"/>
      <c r="AP529" s="106"/>
      <c r="AQ529" s="114"/>
      <c r="AR529" s="106"/>
      <c r="AS529" s="114"/>
      <c r="AT529" s="106"/>
      <c r="AU529" s="114"/>
      <c r="AV529" s="106"/>
      <c r="AW529" s="114"/>
      <c r="AX529" s="157"/>
      <c r="AY529" s="157"/>
      <c r="AZ529" s="157"/>
      <c r="BA529" s="157"/>
      <c r="BB529" s="157"/>
      <c r="BC529" s="157"/>
    </row>
    <row r="530" spans="1:55" x14ac:dyDescent="0.3">
      <c r="A530" s="114">
        <f t="shared" si="16"/>
        <v>526</v>
      </c>
      <c r="B530" s="179" t="s">
        <v>3410</v>
      </c>
      <c r="C530" s="114">
        <v>0</v>
      </c>
      <c r="D530" s="114" t="s">
        <v>991</v>
      </c>
      <c r="E530" s="114" t="s">
        <v>966</v>
      </c>
      <c r="F530" s="114" t="s">
        <v>909</v>
      </c>
      <c r="G530" s="114"/>
      <c r="H530" s="114"/>
      <c r="I530" s="114"/>
      <c r="J530" s="114"/>
      <c r="K530" s="114"/>
      <c r="L530" s="114"/>
      <c r="M530" s="114"/>
      <c r="N530" s="114">
        <v>10</v>
      </c>
      <c r="O530" s="180">
        <v>-2147483648</v>
      </c>
      <c r="P530" s="180">
        <v>2147483647</v>
      </c>
      <c r="Q530" s="180">
        <v>0</v>
      </c>
      <c r="R530" s="180"/>
      <c r="S530" s="180"/>
      <c r="T530" s="181" t="s">
        <v>3411</v>
      </c>
      <c r="U530" s="179" t="s">
        <v>3412</v>
      </c>
      <c r="V530" s="179" t="s">
        <v>3413</v>
      </c>
      <c r="W530" s="114" t="s">
        <v>3414</v>
      </c>
      <c r="X530" s="180">
        <v>32</v>
      </c>
      <c r="Y530" s="182" t="s">
        <v>1503</v>
      </c>
      <c r="Z530" s="183" t="s">
        <v>2774</v>
      </c>
      <c r="AA530" s="184"/>
      <c r="AB530" s="182"/>
      <c r="AC530" s="114">
        <v>6</v>
      </c>
      <c r="AD530" s="172" t="s">
        <v>887</v>
      </c>
      <c r="AE530" s="114"/>
      <c r="AF530" s="114"/>
      <c r="AG530" s="114"/>
      <c r="AH530" s="106"/>
      <c r="AI530" s="114"/>
      <c r="AJ530" s="106"/>
      <c r="AK530" s="114"/>
      <c r="AL530" s="106"/>
      <c r="AM530" s="114"/>
      <c r="AN530" s="106"/>
      <c r="AO530" s="114"/>
      <c r="AP530" s="106"/>
      <c r="AQ530" s="114"/>
      <c r="AR530" s="106"/>
      <c r="AS530" s="114"/>
      <c r="AT530" s="106"/>
      <c r="AU530" s="114"/>
      <c r="AV530" s="106"/>
      <c r="AW530" s="114"/>
      <c r="AX530" s="157"/>
      <c r="AY530" s="157"/>
      <c r="AZ530" s="157"/>
      <c r="BA530" s="157"/>
      <c r="BB530" s="157"/>
      <c r="BC530" s="157"/>
    </row>
    <row r="531" spans="1:55" x14ac:dyDescent="0.3">
      <c r="A531" s="114">
        <f t="shared" si="16"/>
        <v>527</v>
      </c>
      <c r="B531" s="179" t="s">
        <v>3415</v>
      </c>
      <c r="C531" s="114">
        <v>0</v>
      </c>
      <c r="D531" s="114" t="s">
        <v>991</v>
      </c>
      <c r="E531" s="114" t="s">
        <v>944</v>
      </c>
      <c r="F531" s="114" t="s">
        <v>909</v>
      </c>
      <c r="G531" s="114"/>
      <c r="H531" s="114"/>
      <c r="I531" s="114"/>
      <c r="J531" s="114"/>
      <c r="K531" s="114"/>
      <c r="L531" s="114"/>
      <c r="M531" s="191" t="s">
        <v>874</v>
      </c>
      <c r="N531" s="114">
        <v>10</v>
      </c>
      <c r="O531" s="180" t="s">
        <v>1181</v>
      </c>
      <c r="P531" s="180" t="s">
        <v>1089</v>
      </c>
      <c r="Q531" s="180" t="s">
        <v>1181</v>
      </c>
      <c r="R531" s="180"/>
      <c r="S531" s="180"/>
      <c r="T531" s="181" t="s">
        <v>3416</v>
      </c>
      <c r="U531" s="179" t="s">
        <v>3417</v>
      </c>
      <c r="V531" s="179" t="s">
        <v>3418</v>
      </c>
      <c r="W531" s="114" t="s">
        <v>3419</v>
      </c>
      <c r="X531" s="180">
        <v>32</v>
      </c>
      <c r="Y531" s="182" t="s">
        <v>1503</v>
      </c>
      <c r="Z531" s="183" t="s">
        <v>2774</v>
      </c>
      <c r="AA531" s="184"/>
      <c r="AB531" s="182"/>
      <c r="AC531" s="114">
        <v>6</v>
      </c>
      <c r="AD531" s="172" t="s">
        <v>887</v>
      </c>
      <c r="AE531" s="114"/>
      <c r="AF531" s="114"/>
      <c r="AG531" s="114"/>
      <c r="AH531" s="106"/>
      <c r="AI531" s="114"/>
      <c r="AJ531" s="106"/>
      <c r="AK531" s="114"/>
      <c r="AL531" s="106"/>
      <c r="AM531" s="114"/>
      <c r="AN531" s="106"/>
      <c r="AO531" s="114"/>
      <c r="AP531" s="106"/>
      <c r="AQ531" s="114"/>
      <c r="AR531" s="106"/>
      <c r="AS531" s="114"/>
      <c r="AT531" s="106"/>
      <c r="AU531" s="114"/>
      <c r="AV531" s="106"/>
      <c r="AW531" s="114"/>
      <c r="AX531" s="157"/>
      <c r="AY531" s="157"/>
      <c r="AZ531" s="157"/>
      <c r="BA531" s="157"/>
      <c r="BB531" s="157"/>
      <c r="BC531" s="157"/>
    </row>
    <row r="532" spans="1:55" x14ac:dyDescent="0.3">
      <c r="A532" s="114">
        <f t="shared" si="16"/>
        <v>528</v>
      </c>
      <c r="B532" s="179" t="s">
        <v>3420</v>
      </c>
      <c r="C532" s="114">
        <v>0</v>
      </c>
      <c r="D532" s="114" t="s">
        <v>991</v>
      </c>
      <c r="E532" s="114" t="s">
        <v>966</v>
      </c>
      <c r="F532" s="114" t="s">
        <v>909</v>
      </c>
      <c r="G532" s="114"/>
      <c r="H532" s="114"/>
      <c r="I532" s="114"/>
      <c r="J532" s="114"/>
      <c r="K532" s="114"/>
      <c r="L532" s="114"/>
      <c r="M532" s="114"/>
      <c r="N532" s="114">
        <v>10</v>
      </c>
      <c r="O532" s="180">
        <v>-2147483648</v>
      </c>
      <c r="P532" s="180">
        <v>2147483647</v>
      </c>
      <c r="Q532" s="180">
        <v>0</v>
      </c>
      <c r="R532" s="180"/>
      <c r="S532" s="180"/>
      <c r="T532" s="181" t="s">
        <v>3421</v>
      </c>
      <c r="U532" s="179" t="s">
        <v>3422</v>
      </c>
      <c r="V532" s="179" t="s">
        <v>3423</v>
      </c>
      <c r="W532" s="114" t="s">
        <v>3424</v>
      </c>
      <c r="X532" s="180">
        <v>32</v>
      </c>
      <c r="Y532" s="182" t="s">
        <v>1503</v>
      </c>
      <c r="Z532" s="183" t="s">
        <v>2774</v>
      </c>
      <c r="AA532" s="184"/>
      <c r="AB532" s="182"/>
      <c r="AC532" s="114">
        <v>6</v>
      </c>
      <c r="AD532" s="172" t="s">
        <v>887</v>
      </c>
      <c r="AE532" s="114"/>
      <c r="AF532" s="114"/>
      <c r="AG532" s="114"/>
      <c r="AH532" s="106"/>
      <c r="AI532" s="114"/>
      <c r="AJ532" s="106"/>
      <c r="AK532" s="114"/>
      <c r="AL532" s="106"/>
      <c r="AM532" s="114"/>
      <c r="AN532" s="106"/>
      <c r="AO532" s="114"/>
      <c r="AP532" s="106"/>
      <c r="AQ532" s="114"/>
      <c r="AR532" s="106"/>
      <c r="AS532" s="114"/>
      <c r="AT532" s="106"/>
      <c r="AU532" s="114"/>
      <c r="AV532" s="106"/>
      <c r="AW532" s="114"/>
      <c r="AX532" s="157"/>
      <c r="AY532" s="157"/>
      <c r="AZ532" s="157"/>
      <c r="BA532" s="157"/>
      <c r="BB532" s="157"/>
      <c r="BC532" s="157"/>
    </row>
    <row r="533" spans="1:55" x14ac:dyDescent="0.3">
      <c r="A533" s="114">
        <f t="shared" si="16"/>
        <v>529</v>
      </c>
      <c r="B533" s="179" t="s">
        <v>3425</v>
      </c>
      <c r="C533" s="114">
        <v>0</v>
      </c>
      <c r="D533" s="114" t="s">
        <v>991</v>
      </c>
      <c r="E533" s="114" t="s">
        <v>944</v>
      </c>
      <c r="F533" s="114" t="s">
        <v>909</v>
      </c>
      <c r="G533" s="114"/>
      <c r="H533" s="114"/>
      <c r="I533" s="114"/>
      <c r="J533" s="114"/>
      <c r="K533" s="114"/>
      <c r="L533" s="114"/>
      <c r="M533" s="191" t="s">
        <v>874</v>
      </c>
      <c r="N533" s="114">
        <v>10</v>
      </c>
      <c r="O533" s="180" t="s">
        <v>1181</v>
      </c>
      <c r="P533" s="180" t="s">
        <v>1089</v>
      </c>
      <c r="Q533" s="180" t="s">
        <v>1181</v>
      </c>
      <c r="R533" s="180"/>
      <c r="S533" s="180"/>
      <c r="T533" s="181" t="s">
        <v>3426</v>
      </c>
      <c r="U533" s="179" t="s">
        <v>3427</v>
      </c>
      <c r="V533" s="179" t="s">
        <v>3428</v>
      </c>
      <c r="W533" s="114" t="s">
        <v>3429</v>
      </c>
      <c r="X533" s="180">
        <v>32</v>
      </c>
      <c r="Y533" s="182" t="s">
        <v>1503</v>
      </c>
      <c r="Z533" s="183" t="s">
        <v>2774</v>
      </c>
      <c r="AA533" s="184"/>
      <c r="AB533" s="182"/>
      <c r="AC533" s="114">
        <v>6</v>
      </c>
      <c r="AD533" s="172" t="s">
        <v>887</v>
      </c>
      <c r="AE533" s="114"/>
      <c r="AF533" s="114"/>
      <c r="AG533" s="114"/>
      <c r="AH533" s="106"/>
      <c r="AI533" s="114"/>
      <c r="AJ533" s="106"/>
      <c r="AK533" s="114"/>
      <c r="AL533" s="106"/>
      <c r="AM533" s="114"/>
      <c r="AN533" s="106"/>
      <c r="AO533" s="114"/>
      <c r="AP533" s="106"/>
      <c r="AQ533" s="114"/>
      <c r="AR533" s="106"/>
      <c r="AS533" s="114"/>
      <c r="AT533" s="106"/>
      <c r="AU533" s="114"/>
      <c r="AV533" s="106"/>
      <c r="AW533" s="114"/>
      <c r="AX533" s="157"/>
      <c r="AY533" s="157"/>
      <c r="AZ533" s="157"/>
      <c r="BA533" s="157"/>
      <c r="BB533" s="157"/>
      <c r="BC533" s="157"/>
    </row>
    <row r="534" spans="1:55" x14ac:dyDescent="0.3">
      <c r="A534" s="114">
        <f t="shared" si="16"/>
        <v>530</v>
      </c>
      <c r="B534" s="179" t="s">
        <v>3430</v>
      </c>
      <c r="C534" s="114">
        <v>0</v>
      </c>
      <c r="D534" s="114" t="s">
        <v>991</v>
      </c>
      <c r="E534" s="114" t="s">
        <v>966</v>
      </c>
      <c r="F534" s="114" t="s">
        <v>909</v>
      </c>
      <c r="G534" s="114"/>
      <c r="H534" s="114"/>
      <c r="I534" s="114"/>
      <c r="J534" s="114"/>
      <c r="K534" s="114"/>
      <c r="L534" s="114"/>
      <c r="M534" s="114"/>
      <c r="N534" s="114">
        <v>10</v>
      </c>
      <c r="O534" s="180">
        <v>-2147483648</v>
      </c>
      <c r="P534" s="180">
        <v>2147483647</v>
      </c>
      <c r="Q534" s="180">
        <v>0</v>
      </c>
      <c r="R534" s="180"/>
      <c r="S534" s="180"/>
      <c r="T534" s="181" t="s">
        <v>3431</v>
      </c>
      <c r="U534" s="179" t="s">
        <v>3432</v>
      </c>
      <c r="V534" s="179" t="s">
        <v>3433</v>
      </c>
      <c r="W534" s="114" t="s">
        <v>3434</v>
      </c>
      <c r="X534" s="180">
        <v>32</v>
      </c>
      <c r="Y534" s="182" t="s">
        <v>1503</v>
      </c>
      <c r="Z534" s="183" t="s">
        <v>2774</v>
      </c>
      <c r="AA534" s="184"/>
      <c r="AB534" s="182"/>
      <c r="AC534" s="114">
        <v>6</v>
      </c>
      <c r="AD534" s="172" t="s">
        <v>887</v>
      </c>
      <c r="AE534" s="114"/>
      <c r="AF534" s="114"/>
      <c r="AG534" s="114"/>
      <c r="AH534" s="106"/>
      <c r="AI534" s="114"/>
      <c r="AJ534" s="106"/>
      <c r="AK534" s="114"/>
      <c r="AL534" s="106"/>
      <c r="AM534" s="114"/>
      <c r="AN534" s="106"/>
      <c r="AO534" s="114"/>
      <c r="AP534" s="106"/>
      <c r="AQ534" s="114"/>
      <c r="AR534" s="106"/>
      <c r="AS534" s="114"/>
      <c r="AT534" s="106"/>
      <c r="AU534" s="114"/>
      <c r="AV534" s="106"/>
      <c r="AW534" s="114"/>
      <c r="AX534" s="157"/>
      <c r="AY534" s="157"/>
      <c r="AZ534" s="157"/>
      <c r="BA534" s="157"/>
      <c r="BB534" s="157"/>
      <c r="BC534" s="157"/>
    </row>
    <row r="535" spans="1:55" x14ac:dyDescent="0.3">
      <c r="A535" s="114">
        <f t="shared" si="16"/>
        <v>531</v>
      </c>
      <c r="B535" s="179" t="s">
        <v>3435</v>
      </c>
      <c r="C535" s="114">
        <v>0</v>
      </c>
      <c r="D535" s="114" t="s">
        <v>991</v>
      </c>
      <c r="E535" s="114" t="s">
        <v>944</v>
      </c>
      <c r="F535" s="114" t="s">
        <v>909</v>
      </c>
      <c r="G535" s="114"/>
      <c r="H535" s="114"/>
      <c r="I535" s="114"/>
      <c r="J535" s="114"/>
      <c r="K535" s="114"/>
      <c r="L535" s="114"/>
      <c r="M535" s="191" t="s">
        <v>874</v>
      </c>
      <c r="N535" s="114">
        <v>10</v>
      </c>
      <c r="O535" s="180" t="s">
        <v>1181</v>
      </c>
      <c r="P535" s="180" t="s">
        <v>1089</v>
      </c>
      <c r="Q535" s="180" t="s">
        <v>1181</v>
      </c>
      <c r="R535" s="180"/>
      <c r="S535" s="180"/>
      <c r="T535" s="181" t="s">
        <v>3436</v>
      </c>
      <c r="U535" s="179" t="s">
        <v>3437</v>
      </c>
      <c r="V535" s="179" t="s">
        <v>3438</v>
      </c>
      <c r="W535" s="114" t="s">
        <v>3439</v>
      </c>
      <c r="X535" s="180">
        <v>32</v>
      </c>
      <c r="Y535" s="182" t="s">
        <v>1503</v>
      </c>
      <c r="Z535" s="183" t="s">
        <v>2774</v>
      </c>
      <c r="AA535" s="184"/>
      <c r="AB535" s="182"/>
      <c r="AC535" s="114">
        <v>6</v>
      </c>
      <c r="AD535" s="172" t="s">
        <v>887</v>
      </c>
      <c r="AE535" s="114"/>
      <c r="AF535" s="114"/>
      <c r="AG535" s="114"/>
      <c r="AH535" s="106"/>
      <c r="AI535" s="114"/>
      <c r="AJ535" s="106"/>
      <c r="AK535" s="114"/>
      <c r="AL535" s="106"/>
      <c r="AM535" s="114"/>
      <c r="AN535" s="106"/>
      <c r="AO535" s="114"/>
      <c r="AP535" s="106"/>
      <c r="AQ535" s="114"/>
      <c r="AR535" s="106"/>
      <c r="AS535" s="114"/>
      <c r="AT535" s="106"/>
      <c r="AU535" s="114"/>
      <c r="AV535" s="106"/>
      <c r="AW535" s="114"/>
      <c r="AX535" s="157"/>
      <c r="AY535" s="157"/>
      <c r="AZ535" s="157"/>
      <c r="BA535" s="157"/>
      <c r="BB535" s="157"/>
      <c r="BC535" s="157"/>
    </row>
    <row r="536" spans="1:55" x14ac:dyDescent="0.3">
      <c r="A536" s="114">
        <f t="shared" si="16"/>
        <v>532</v>
      </c>
      <c r="B536" s="179" t="s">
        <v>3440</v>
      </c>
      <c r="C536" s="114">
        <v>0</v>
      </c>
      <c r="D536" s="114" t="s">
        <v>991</v>
      </c>
      <c r="E536" s="114" t="s">
        <v>966</v>
      </c>
      <c r="F536" s="114" t="s">
        <v>909</v>
      </c>
      <c r="G536" s="114"/>
      <c r="H536" s="114"/>
      <c r="I536" s="114"/>
      <c r="J536" s="114"/>
      <c r="K536" s="114"/>
      <c r="L536" s="114"/>
      <c r="M536" s="114"/>
      <c r="N536" s="114">
        <v>10</v>
      </c>
      <c r="O536" s="180">
        <v>-2147483648</v>
      </c>
      <c r="P536" s="180">
        <v>2147483647</v>
      </c>
      <c r="Q536" s="180">
        <v>0</v>
      </c>
      <c r="R536" s="180"/>
      <c r="S536" s="180"/>
      <c r="T536" s="181" t="s">
        <v>3441</v>
      </c>
      <c r="U536" s="179" t="s">
        <v>3442</v>
      </c>
      <c r="V536" s="179" t="s">
        <v>3443</v>
      </c>
      <c r="W536" s="114" t="s">
        <v>3444</v>
      </c>
      <c r="X536" s="180">
        <v>32</v>
      </c>
      <c r="Y536" s="182" t="s">
        <v>1503</v>
      </c>
      <c r="Z536" s="183" t="s">
        <v>2774</v>
      </c>
      <c r="AA536" s="184"/>
      <c r="AB536" s="182"/>
      <c r="AC536" s="114">
        <v>6</v>
      </c>
      <c r="AD536" s="172" t="s">
        <v>887</v>
      </c>
      <c r="AE536" s="114"/>
      <c r="AF536" s="114"/>
      <c r="AG536" s="114"/>
      <c r="AH536" s="106"/>
      <c r="AI536" s="114"/>
      <c r="AJ536" s="106"/>
      <c r="AK536" s="114"/>
      <c r="AL536" s="106"/>
      <c r="AM536" s="114"/>
      <c r="AN536" s="106"/>
      <c r="AO536" s="114"/>
      <c r="AP536" s="106"/>
      <c r="AQ536" s="114"/>
      <c r="AR536" s="106"/>
      <c r="AS536" s="114"/>
      <c r="AT536" s="106"/>
      <c r="AU536" s="114"/>
      <c r="AV536" s="106"/>
      <c r="AW536" s="114"/>
      <c r="AX536" s="157"/>
      <c r="AY536" s="157"/>
      <c r="AZ536" s="157"/>
      <c r="BA536" s="157"/>
      <c r="BB536" s="157"/>
      <c r="BC536" s="157"/>
    </row>
    <row r="537" spans="1:55" x14ac:dyDescent="0.3">
      <c r="A537" s="114">
        <f t="shared" si="16"/>
        <v>533</v>
      </c>
      <c r="B537" s="179" t="s">
        <v>3445</v>
      </c>
      <c r="C537" s="114">
        <v>0</v>
      </c>
      <c r="D537" s="114" t="s">
        <v>991</v>
      </c>
      <c r="E537" s="114" t="s">
        <v>944</v>
      </c>
      <c r="F537" s="114" t="s">
        <v>909</v>
      </c>
      <c r="G537" s="114"/>
      <c r="H537" s="114"/>
      <c r="I537" s="114"/>
      <c r="J537" s="114"/>
      <c r="K537" s="114"/>
      <c r="L537" s="114"/>
      <c r="M537" s="191" t="s">
        <v>874</v>
      </c>
      <c r="N537" s="114">
        <v>10</v>
      </c>
      <c r="O537" s="180" t="s">
        <v>1181</v>
      </c>
      <c r="P537" s="180" t="s">
        <v>1089</v>
      </c>
      <c r="Q537" s="180" t="s">
        <v>1181</v>
      </c>
      <c r="R537" s="180"/>
      <c r="S537" s="180"/>
      <c r="T537" s="181" t="s">
        <v>3446</v>
      </c>
      <c r="U537" s="179" t="s">
        <v>3447</v>
      </c>
      <c r="V537" s="179" t="s">
        <v>3448</v>
      </c>
      <c r="W537" s="114" t="s">
        <v>3449</v>
      </c>
      <c r="X537" s="180">
        <v>32</v>
      </c>
      <c r="Y537" s="182" t="s">
        <v>1503</v>
      </c>
      <c r="Z537" s="183" t="s">
        <v>2774</v>
      </c>
      <c r="AA537" s="184"/>
      <c r="AB537" s="182"/>
      <c r="AC537" s="114">
        <v>6</v>
      </c>
      <c r="AD537" s="172" t="s">
        <v>887</v>
      </c>
      <c r="AE537" s="114"/>
      <c r="AF537" s="114"/>
      <c r="AG537" s="114"/>
      <c r="AH537" s="106"/>
      <c r="AI537" s="114"/>
      <c r="AJ537" s="106"/>
      <c r="AK537" s="114"/>
      <c r="AL537" s="106"/>
      <c r="AM537" s="114"/>
      <c r="AN537" s="106"/>
      <c r="AO537" s="114"/>
      <c r="AP537" s="106"/>
      <c r="AQ537" s="114"/>
      <c r="AR537" s="106"/>
      <c r="AS537" s="114"/>
      <c r="AT537" s="106"/>
      <c r="AU537" s="114"/>
      <c r="AV537" s="106"/>
      <c r="AW537" s="114"/>
      <c r="AX537" s="157"/>
      <c r="AY537" s="157"/>
      <c r="AZ537" s="157"/>
      <c r="BA537" s="157"/>
      <c r="BB537" s="157"/>
      <c r="BC537" s="157"/>
    </row>
    <row r="538" spans="1:55" x14ac:dyDescent="0.3">
      <c r="A538" s="114">
        <f>A537+1</f>
        <v>534</v>
      </c>
      <c r="B538" s="179" t="s">
        <v>3450</v>
      </c>
      <c r="C538" s="114">
        <v>0</v>
      </c>
      <c r="D538" s="114" t="s">
        <v>991</v>
      </c>
      <c r="E538" s="114" t="s">
        <v>966</v>
      </c>
      <c r="F538" s="114" t="s">
        <v>909</v>
      </c>
      <c r="G538" s="114"/>
      <c r="H538" s="114"/>
      <c r="I538" s="114"/>
      <c r="J538" s="114"/>
      <c r="K538" s="114"/>
      <c r="L538" s="114"/>
      <c r="M538" s="114"/>
      <c r="N538" s="114">
        <v>10</v>
      </c>
      <c r="O538" s="180">
        <v>-2147483648</v>
      </c>
      <c r="P538" s="180">
        <v>2147483647</v>
      </c>
      <c r="Q538" s="180">
        <v>0</v>
      </c>
      <c r="R538" s="180"/>
      <c r="S538" s="180"/>
      <c r="T538" s="181" t="s">
        <v>3451</v>
      </c>
      <c r="U538" s="179" t="s">
        <v>3452</v>
      </c>
      <c r="V538" s="179" t="s">
        <v>3453</v>
      </c>
      <c r="W538" s="114" t="s">
        <v>3454</v>
      </c>
      <c r="X538" s="180">
        <v>32</v>
      </c>
      <c r="Y538" s="182" t="s">
        <v>1503</v>
      </c>
      <c r="Z538" s="183" t="s">
        <v>2774</v>
      </c>
      <c r="AA538" s="184"/>
      <c r="AB538" s="182"/>
      <c r="AC538" s="114">
        <v>6</v>
      </c>
      <c r="AD538" s="172" t="s">
        <v>887</v>
      </c>
      <c r="AE538" s="114"/>
      <c r="AF538" s="114"/>
      <c r="AG538" s="114"/>
      <c r="AH538" s="106"/>
      <c r="AI538" s="114"/>
      <c r="AJ538" s="106"/>
      <c r="AK538" s="114"/>
      <c r="AL538" s="106"/>
      <c r="AM538" s="114"/>
      <c r="AN538" s="106"/>
      <c r="AO538" s="114"/>
      <c r="AP538" s="106"/>
      <c r="AQ538" s="114"/>
      <c r="AR538" s="106"/>
      <c r="AS538" s="114"/>
      <c r="AT538" s="106"/>
      <c r="AU538" s="114"/>
      <c r="AV538" s="106"/>
      <c r="AW538" s="114"/>
      <c r="AX538" s="157"/>
      <c r="AY538" s="157"/>
      <c r="AZ538" s="157"/>
      <c r="BA538" s="157"/>
      <c r="BB538" s="157"/>
      <c r="BC538" s="157"/>
    </row>
    <row r="539" spans="1:55" x14ac:dyDescent="0.3">
      <c r="A539" s="114">
        <f t="shared" ref="A539:A549" si="17">A538+1</f>
        <v>535</v>
      </c>
      <c r="B539" s="179" t="s">
        <v>3455</v>
      </c>
      <c r="C539" s="114">
        <v>0</v>
      </c>
      <c r="D539" s="114" t="s">
        <v>991</v>
      </c>
      <c r="E539" s="114" t="s">
        <v>944</v>
      </c>
      <c r="F539" s="114" t="s">
        <v>909</v>
      </c>
      <c r="G539" s="114"/>
      <c r="H539" s="114"/>
      <c r="I539" s="114"/>
      <c r="J539" s="114"/>
      <c r="K539" s="114"/>
      <c r="L539" s="114"/>
      <c r="M539" s="191" t="s">
        <v>874</v>
      </c>
      <c r="N539" s="114">
        <v>10</v>
      </c>
      <c r="O539" s="180" t="s">
        <v>1181</v>
      </c>
      <c r="P539" s="180" t="s">
        <v>1089</v>
      </c>
      <c r="Q539" s="180" t="s">
        <v>1181</v>
      </c>
      <c r="R539" s="180"/>
      <c r="S539" s="180"/>
      <c r="T539" s="181" t="s">
        <v>3456</v>
      </c>
      <c r="U539" s="179" t="s">
        <v>3457</v>
      </c>
      <c r="V539" s="179" t="s">
        <v>3458</v>
      </c>
      <c r="W539" s="114" t="s">
        <v>3459</v>
      </c>
      <c r="X539" s="180">
        <v>32</v>
      </c>
      <c r="Y539" s="182" t="s">
        <v>1503</v>
      </c>
      <c r="Z539" s="183" t="s">
        <v>2774</v>
      </c>
      <c r="AA539" s="184"/>
      <c r="AB539" s="182"/>
      <c r="AC539" s="114">
        <v>6</v>
      </c>
      <c r="AD539" s="172" t="s">
        <v>887</v>
      </c>
      <c r="AE539" s="114"/>
      <c r="AF539" s="114"/>
      <c r="AG539" s="114"/>
      <c r="AH539" s="106"/>
      <c r="AI539" s="114"/>
      <c r="AJ539" s="106"/>
      <c r="AK539" s="114"/>
      <c r="AL539" s="106"/>
      <c r="AM539" s="114"/>
      <c r="AN539" s="106"/>
      <c r="AO539" s="114"/>
      <c r="AP539" s="106"/>
      <c r="AQ539" s="114"/>
      <c r="AR539" s="106"/>
      <c r="AS539" s="114"/>
      <c r="AT539" s="106"/>
      <c r="AU539" s="114"/>
      <c r="AV539" s="106"/>
      <c r="AW539" s="114"/>
      <c r="AX539" s="157"/>
      <c r="AY539" s="157"/>
      <c r="AZ539" s="157"/>
      <c r="BA539" s="157"/>
      <c r="BB539" s="157"/>
      <c r="BC539" s="157"/>
    </row>
    <row r="540" spans="1:55" x14ac:dyDescent="0.3">
      <c r="A540" s="114">
        <f t="shared" si="17"/>
        <v>536</v>
      </c>
      <c r="B540" s="179" t="s">
        <v>3460</v>
      </c>
      <c r="C540" s="114">
        <v>0</v>
      </c>
      <c r="D540" s="114" t="s">
        <v>991</v>
      </c>
      <c r="E540" s="114" t="s">
        <v>966</v>
      </c>
      <c r="F540" s="114" t="s">
        <v>909</v>
      </c>
      <c r="G540" s="114"/>
      <c r="H540" s="114"/>
      <c r="I540" s="114"/>
      <c r="J540" s="114"/>
      <c r="K540" s="114"/>
      <c r="L540" s="114"/>
      <c r="M540" s="114"/>
      <c r="N540" s="114">
        <v>10</v>
      </c>
      <c r="O540" s="180">
        <v>-2147483648</v>
      </c>
      <c r="P540" s="180">
        <v>2147483647</v>
      </c>
      <c r="Q540" s="180">
        <v>0</v>
      </c>
      <c r="R540" s="180"/>
      <c r="S540" s="180"/>
      <c r="T540" s="181" t="s">
        <v>3461</v>
      </c>
      <c r="U540" s="179" t="s">
        <v>3462</v>
      </c>
      <c r="V540" s="179" t="s">
        <v>3463</v>
      </c>
      <c r="W540" s="114" t="s">
        <v>3464</v>
      </c>
      <c r="X540" s="180">
        <v>32</v>
      </c>
      <c r="Y540" s="182" t="s">
        <v>1503</v>
      </c>
      <c r="Z540" s="183" t="s">
        <v>2774</v>
      </c>
      <c r="AA540" s="184"/>
      <c r="AB540" s="182"/>
      <c r="AC540" s="114">
        <v>6</v>
      </c>
      <c r="AD540" s="172" t="s">
        <v>887</v>
      </c>
      <c r="AE540" s="114"/>
      <c r="AF540" s="114"/>
      <c r="AG540" s="114"/>
      <c r="AH540" s="106"/>
      <c r="AI540" s="114"/>
      <c r="AJ540" s="106"/>
      <c r="AK540" s="114"/>
      <c r="AL540" s="106"/>
      <c r="AM540" s="114"/>
      <c r="AN540" s="106"/>
      <c r="AO540" s="114"/>
      <c r="AP540" s="106"/>
      <c r="AQ540" s="114"/>
      <c r="AR540" s="106"/>
      <c r="AS540" s="114"/>
      <c r="AT540" s="106"/>
      <c r="AU540" s="114"/>
      <c r="AV540" s="106"/>
      <c r="AW540" s="114"/>
      <c r="AX540" s="157"/>
      <c r="AY540" s="157"/>
      <c r="AZ540" s="157"/>
      <c r="BA540" s="157"/>
      <c r="BB540" s="157"/>
      <c r="BC540" s="157"/>
    </row>
    <row r="541" spans="1:55" x14ac:dyDescent="0.3">
      <c r="A541" s="114">
        <f t="shared" si="17"/>
        <v>537</v>
      </c>
      <c r="B541" s="179" t="s">
        <v>3465</v>
      </c>
      <c r="C541" s="114">
        <v>0</v>
      </c>
      <c r="D541" s="114" t="s">
        <v>991</v>
      </c>
      <c r="E541" s="114" t="s">
        <v>944</v>
      </c>
      <c r="F541" s="114" t="s">
        <v>909</v>
      </c>
      <c r="G541" s="114"/>
      <c r="H541" s="114"/>
      <c r="I541" s="114"/>
      <c r="J541" s="114"/>
      <c r="K541" s="114"/>
      <c r="L541" s="114"/>
      <c r="M541" s="191" t="s">
        <v>874</v>
      </c>
      <c r="N541" s="114">
        <v>10</v>
      </c>
      <c r="O541" s="180" t="s">
        <v>1181</v>
      </c>
      <c r="P541" s="180" t="s">
        <v>1089</v>
      </c>
      <c r="Q541" s="180" t="s">
        <v>1181</v>
      </c>
      <c r="R541" s="180"/>
      <c r="S541" s="180"/>
      <c r="T541" s="181" t="s">
        <v>3466</v>
      </c>
      <c r="U541" s="179" t="s">
        <v>3467</v>
      </c>
      <c r="V541" s="179" t="s">
        <v>3468</v>
      </c>
      <c r="W541" s="114" t="s">
        <v>3469</v>
      </c>
      <c r="X541" s="180">
        <v>32</v>
      </c>
      <c r="Y541" s="182" t="s">
        <v>1503</v>
      </c>
      <c r="Z541" s="183" t="s">
        <v>2774</v>
      </c>
      <c r="AA541" s="184"/>
      <c r="AB541" s="182"/>
      <c r="AC541" s="114">
        <v>7</v>
      </c>
      <c r="AD541" s="172" t="s">
        <v>887</v>
      </c>
      <c r="AE541" s="114"/>
      <c r="AF541" s="114"/>
      <c r="AG541" s="114"/>
      <c r="AH541" s="106"/>
      <c r="AI541" s="114"/>
      <c r="AJ541" s="106"/>
      <c r="AK541" s="114"/>
      <c r="AL541" s="106"/>
      <c r="AM541" s="114"/>
      <c r="AN541" s="106"/>
      <c r="AO541" s="114"/>
      <c r="AP541" s="106"/>
      <c r="AQ541" s="114"/>
      <c r="AR541" s="106"/>
      <c r="AS541" s="114"/>
      <c r="AT541" s="106"/>
      <c r="AU541" s="114"/>
      <c r="AV541" s="106"/>
      <c r="AW541" s="114"/>
      <c r="AX541" s="157"/>
      <c r="AY541" s="157"/>
      <c r="AZ541" s="157"/>
      <c r="BA541" s="157"/>
      <c r="BB541" s="157"/>
      <c r="BC541" s="157"/>
    </row>
    <row r="542" spans="1:55" x14ac:dyDescent="0.3">
      <c r="A542" s="114">
        <f t="shared" si="17"/>
        <v>538</v>
      </c>
      <c r="B542" s="179" t="s">
        <v>3470</v>
      </c>
      <c r="C542" s="114">
        <v>0</v>
      </c>
      <c r="D542" s="114" t="s">
        <v>991</v>
      </c>
      <c r="E542" s="114" t="s">
        <v>966</v>
      </c>
      <c r="F542" s="114" t="s">
        <v>909</v>
      </c>
      <c r="G542" s="114"/>
      <c r="H542" s="114"/>
      <c r="I542" s="114"/>
      <c r="J542" s="114"/>
      <c r="K542" s="114"/>
      <c r="L542" s="114"/>
      <c r="M542" s="114"/>
      <c r="N542" s="114">
        <v>10</v>
      </c>
      <c r="O542" s="180">
        <v>-2147483648</v>
      </c>
      <c r="P542" s="180">
        <v>2147483647</v>
      </c>
      <c r="Q542" s="180">
        <v>0</v>
      </c>
      <c r="R542" s="180"/>
      <c r="S542" s="180"/>
      <c r="T542" s="181" t="s">
        <v>3471</v>
      </c>
      <c r="U542" s="179" t="s">
        <v>3472</v>
      </c>
      <c r="V542" s="179" t="s">
        <v>3473</v>
      </c>
      <c r="W542" s="114" t="s">
        <v>3474</v>
      </c>
      <c r="X542" s="180">
        <v>32</v>
      </c>
      <c r="Y542" s="182" t="s">
        <v>1503</v>
      </c>
      <c r="Z542" s="183" t="s">
        <v>2774</v>
      </c>
      <c r="AA542" s="184"/>
      <c r="AB542" s="182"/>
      <c r="AC542" s="114">
        <v>7</v>
      </c>
      <c r="AD542" s="172" t="s">
        <v>887</v>
      </c>
      <c r="AE542" s="114"/>
      <c r="AF542" s="114"/>
      <c r="AG542" s="114"/>
      <c r="AH542" s="106"/>
      <c r="AI542" s="114"/>
      <c r="AJ542" s="106"/>
      <c r="AK542" s="114"/>
      <c r="AL542" s="106"/>
      <c r="AM542" s="114"/>
      <c r="AN542" s="106"/>
      <c r="AO542" s="114"/>
      <c r="AP542" s="106"/>
      <c r="AQ542" s="114"/>
      <c r="AR542" s="106"/>
      <c r="AS542" s="114"/>
      <c r="AT542" s="106"/>
      <c r="AU542" s="114"/>
      <c r="AV542" s="106"/>
      <c r="AW542" s="114"/>
      <c r="AX542" s="157"/>
      <c r="AY542" s="157"/>
      <c r="AZ542" s="157"/>
      <c r="BA542" s="157"/>
      <c r="BB542" s="157"/>
      <c r="BC542" s="157"/>
    </row>
    <row r="543" spans="1:55" x14ac:dyDescent="0.3">
      <c r="A543" s="114">
        <f t="shared" si="17"/>
        <v>539</v>
      </c>
      <c r="B543" s="179" t="s">
        <v>3475</v>
      </c>
      <c r="C543" s="114">
        <v>0</v>
      </c>
      <c r="D543" s="114" t="s">
        <v>991</v>
      </c>
      <c r="E543" s="114" t="s">
        <v>944</v>
      </c>
      <c r="F543" s="114" t="s">
        <v>909</v>
      </c>
      <c r="G543" s="114"/>
      <c r="H543" s="114"/>
      <c r="I543" s="114"/>
      <c r="J543" s="114"/>
      <c r="K543" s="114"/>
      <c r="L543" s="114"/>
      <c r="M543" s="191" t="s">
        <v>874</v>
      </c>
      <c r="N543" s="114">
        <v>10</v>
      </c>
      <c r="O543" s="180" t="s">
        <v>1181</v>
      </c>
      <c r="P543" s="180" t="s">
        <v>1089</v>
      </c>
      <c r="Q543" s="180" t="s">
        <v>1181</v>
      </c>
      <c r="R543" s="180"/>
      <c r="S543" s="180"/>
      <c r="T543" s="181" t="s">
        <v>3476</v>
      </c>
      <c r="U543" s="179" t="s">
        <v>3477</v>
      </c>
      <c r="V543" s="179" t="s">
        <v>3478</v>
      </c>
      <c r="W543" s="114" t="s">
        <v>3479</v>
      </c>
      <c r="X543" s="180">
        <v>32</v>
      </c>
      <c r="Y543" s="182" t="s">
        <v>1503</v>
      </c>
      <c r="Z543" s="183" t="s">
        <v>2774</v>
      </c>
      <c r="AA543" s="184"/>
      <c r="AB543" s="182"/>
      <c r="AC543" s="114">
        <v>7</v>
      </c>
      <c r="AD543" s="172" t="s">
        <v>887</v>
      </c>
      <c r="AE543" s="114"/>
      <c r="AF543" s="114"/>
      <c r="AG543" s="114"/>
      <c r="AH543" s="106"/>
      <c r="AI543" s="114"/>
      <c r="AJ543" s="106"/>
      <c r="AK543" s="114"/>
      <c r="AL543" s="106"/>
      <c r="AM543" s="114"/>
      <c r="AN543" s="106"/>
      <c r="AO543" s="114"/>
      <c r="AP543" s="106"/>
      <c r="AQ543" s="114"/>
      <c r="AR543" s="106"/>
      <c r="AS543" s="114"/>
      <c r="AT543" s="106"/>
      <c r="AU543" s="114"/>
      <c r="AV543" s="106"/>
      <c r="AW543" s="114"/>
      <c r="AX543" s="157"/>
      <c r="AY543" s="157"/>
      <c r="AZ543" s="157"/>
      <c r="BA543" s="157"/>
      <c r="BB543" s="157"/>
      <c r="BC543" s="157"/>
    </row>
    <row r="544" spans="1:55" x14ac:dyDescent="0.3">
      <c r="A544" s="114">
        <f t="shared" si="17"/>
        <v>540</v>
      </c>
      <c r="B544" s="179" t="s">
        <v>3480</v>
      </c>
      <c r="C544" s="114">
        <v>0</v>
      </c>
      <c r="D544" s="114" t="s">
        <v>991</v>
      </c>
      <c r="E544" s="114" t="s">
        <v>966</v>
      </c>
      <c r="F544" s="114" t="s">
        <v>909</v>
      </c>
      <c r="G544" s="114"/>
      <c r="H544" s="114"/>
      <c r="I544" s="114"/>
      <c r="J544" s="114"/>
      <c r="K544" s="114"/>
      <c r="L544" s="114"/>
      <c r="M544" s="114"/>
      <c r="N544" s="114">
        <v>10</v>
      </c>
      <c r="O544" s="180">
        <v>-2147483648</v>
      </c>
      <c r="P544" s="180">
        <v>2147483647</v>
      </c>
      <c r="Q544" s="180">
        <v>0</v>
      </c>
      <c r="R544" s="180"/>
      <c r="S544" s="180"/>
      <c r="T544" s="181" t="s">
        <v>3481</v>
      </c>
      <c r="U544" s="179" t="s">
        <v>3482</v>
      </c>
      <c r="V544" s="179" t="s">
        <v>3483</v>
      </c>
      <c r="W544" s="114" t="s">
        <v>3484</v>
      </c>
      <c r="X544" s="180">
        <v>32</v>
      </c>
      <c r="Y544" s="182" t="s">
        <v>1503</v>
      </c>
      <c r="Z544" s="183" t="s">
        <v>2774</v>
      </c>
      <c r="AA544" s="184"/>
      <c r="AB544" s="182"/>
      <c r="AC544" s="114">
        <v>7</v>
      </c>
      <c r="AD544" s="172" t="s">
        <v>887</v>
      </c>
      <c r="AE544" s="114"/>
      <c r="AF544" s="114"/>
      <c r="AG544" s="114"/>
      <c r="AH544" s="106"/>
      <c r="AI544" s="114"/>
      <c r="AJ544" s="106"/>
      <c r="AK544" s="114"/>
      <c r="AL544" s="106"/>
      <c r="AM544" s="114"/>
      <c r="AN544" s="106"/>
      <c r="AO544" s="114"/>
      <c r="AP544" s="106"/>
      <c r="AQ544" s="114"/>
      <c r="AR544" s="106"/>
      <c r="AS544" s="114"/>
      <c r="AT544" s="106"/>
      <c r="AU544" s="114"/>
      <c r="AV544" s="106"/>
      <c r="AW544" s="114"/>
      <c r="AX544" s="157"/>
      <c r="AY544" s="157"/>
      <c r="AZ544" s="157"/>
      <c r="BA544" s="157"/>
      <c r="BB544" s="157"/>
      <c r="BC544" s="157"/>
    </row>
    <row r="545" spans="1:55" x14ac:dyDescent="0.3">
      <c r="A545" s="114">
        <f t="shared" si="17"/>
        <v>541</v>
      </c>
      <c r="B545" s="179" t="s">
        <v>3485</v>
      </c>
      <c r="C545" s="114">
        <v>0</v>
      </c>
      <c r="D545" s="114" t="s">
        <v>991</v>
      </c>
      <c r="E545" s="114" t="s">
        <v>944</v>
      </c>
      <c r="F545" s="114" t="s">
        <v>909</v>
      </c>
      <c r="G545" s="114"/>
      <c r="H545" s="114"/>
      <c r="I545" s="114"/>
      <c r="J545" s="114"/>
      <c r="K545" s="114"/>
      <c r="L545" s="114"/>
      <c r="M545" s="191" t="s">
        <v>874</v>
      </c>
      <c r="N545" s="114">
        <v>10</v>
      </c>
      <c r="O545" s="180" t="s">
        <v>1181</v>
      </c>
      <c r="P545" s="180" t="s">
        <v>1089</v>
      </c>
      <c r="Q545" s="180" t="s">
        <v>1181</v>
      </c>
      <c r="R545" s="180"/>
      <c r="S545" s="180"/>
      <c r="T545" s="181" t="s">
        <v>3486</v>
      </c>
      <c r="U545" s="179" t="s">
        <v>3487</v>
      </c>
      <c r="V545" s="179" t="s">
        <v>3488</v>
      </c>
      <c r="W545" s="114" t="s">
        <v>3489</v>
      </c>
      <c r="X545" s="180">
        <v>32</v>
      </c>
      <c r="Y545" s="182" t="s">
        <v>1503</v>
      </c>
      <c r="Z545" s="183" t="s">
        <v>2774</v>
      </c>
      <c r="AA545" s="184"/>
      <c r="AB545" s="182"/>
      <c r="AC545" s="114">
        <v>7</v>
      </c>
      <c r="AD545" s="172" t="s">
        <v>887</v>
      </c>
      <c r="AE545" s="114"/>
      <c r="AF545" s="114"/>
      <c r="AG545" s="114"/>
      <c r="AH545" s="106"/>
      <c r="AI545" s="114"/>
      <c r="AJ545" s="106"/>
      <c r="AK545" s="114"/>
      <c r="AL545" s="106"/>
      <c r="AM545" s="114"/>
      <c r="AN545" s="106"/>
      <c r="AO545" s="114"/>
      <c r="AP545" s="106"/>
      <c r="AQ545" s="114"/>
      <c r="AR545" s="106"/>
      <c r="AS545" s="114"/>
      <c r="AT545" s="106"/>
      <c r="AU545" s="114"/>
      <c r="AV545" s="106"/>
      <c r="AW545" s="114"/>
      <c r="AX545" s="157"/>
      <c r="AY545" s="157"/>
      <c r="AZ545" s="157"/>
      <c r="BA545" s="157"/>
      <c r="BB545" s="157"/>
      <c r="BC545" s="157"/>
    </row>
    <row r="546" spans="1:55" x14ac:dyDescent="0.3">
      <c r="A546" s="114">
        <f t="shared" si="17"/>
        <v>542</v>
      </c>
      <c r="B546" s="179" t="s">
        <v>3490</v>
      </c>
      <c r="C546" s="114">
        <v>0</v>
      </c>
      <c r="D546" s="114" t="s">
        <v>991</v>
      </c>
      <c r="E546" s="114" t="s">
        <v>966</v>
      </c>
      <c r="F546" s="114" t="s">
        <v>909</v>
      </c>
      <c r="G546" s="114"/>
      <c r="H546" s="114"/>
      <c r="I546" s="114"/>
      <c r="J546" s="114"/>
      <c r="K546" s="114"/>
      <c r="L546" s="114"/>
      <c r="M546" s="114"/>
      <c r="N546" s="114">
        <v>10</v>
      </c>
      <c r="O546" s="180">
        <v>-2147483648</v>
      </c>
      <c r="P546" s="180">
        <v>2147483647</v>
      </c>
      <c r="Q546" s="180">
        <v>0</v>
      </c>
      <c r="R546" s="180"/>
      <c r="S546" s="180"/>
      <c r="T546" s="181" t="s">
        <v>3491</v>
      </c>
      <c r="U546" s="179" t="s">
        <v>3492</v>
      </c>
      <c r="V546" s="179" t="s">
        <v>3493</v>
      </c>
      <c r="W546" s="114" t="s">
        <v>3494</v>
      </c>
      <c r="X546" s="180">
        <v>32</v>
      </c>
      <c r="Y546" s="182" t="s">
        <v>1503</v>
      </c>
      <c r="Z546" s="183" t="s">
        <v>2774</v>
      </c>
      <c r="AA546" s="184"/>
      <c r="AB546" s="182"/>
      <c r="AC546" s="114">
        <v>7</v>
      </c>
      <c r="AD546" s="172" t="s">
        <v>887</v>
      </c>
      <c r="AE546" s="114"/>
      <c r="AF546" s="114"/>
      <c r="AG546" s="114"/>
      <c r="AH546" s="106"/>
      <c r="AI546" s="114"/>
      <c r="AJ546" s="106"/>
      <c r="AK546" s="114"/>
      <c r="AL546" s="106"/>
      <c r="AM546" s="114"/>
      <c r="AN546" s="106"/>
      <c r="AO546" s="114"/>
      <c r="AP546" s="106"/>
      <c r="AQ546" s="114"/>
      <c r="AR546" s="106"/>
      <c r="AS546" s="114"/>
      <c r="AT546" s="106"/>
      <c r="AU546" s="114"/>
      <c r="AV546" s="106"/>
      <c r="AW546" s="114"/>
      <c r="AX546" s="157"/>
      <c r="AY546" s="157"/>
      <c r="AZ546" s="157"/>
      <c r="BA546" s="157"/>
      <c r="BB546" s="157"/>
      <c r="BC546" s="157"/>
    </row>
    <row r="547" spans="1:55" x14ac:dyDescent="0.3">
      <c r="A547" s="114">
        <f t="shared" si="17"/>
        <v>543</v>
      </c>
      <c r="B547" s="179" t="s">
        <v>3495</v>
      </c>
      <c r="C547" s="114">
        <v>0</v>
      </c>
      <c r="D547" s="114" t="s">
        <v>991</v>
      </c>
      <c r="E547" s="114" t="s">
        <v>944</v>
      </c>
      <c r="F547" s="114" t="s">
        <v>909</v>
      </c>
      <c r="G547" s="114"/>
      <c r="H547" s="114"/>
      <c r="I547" s="114"/>
      <c r="J547" s="114"/>
      <c r="K547" s="114"/>
      <c r="L547" s="114"/>
      <c r="M547" s="191" t="s">
        <v>874</v>
      </c>
      <c r="N547" s="114">
        <v>10</v>
      </c>
      <c r="O547" s="180" t="s">
        <v>1181</v>
      </c>
      <c r="P547" s="180" t="s">
        <v>1089</v>
      </c>
      <c r="Q547" s="180" t="s">
        <v>1181</v>
      </c>
      <c r="R547" s="180"/>
      <c r="S547" s="180"/>
      <c r="T547" s="181" t="s">
        <v>3496</v>
      </c>
      <c r="U547" s="179" t="s">
        <v>3497</v>
      </c>
      <c r="V547" s="179" t="s">
        <v>3498</v>
      </c>
      <c r="W547" s="114" t="s">
        <v>3499</v>
      </c>
      <c r="X547" s="180">
        <v>32</v>
      </c>
      <c r="Y547" s="182" t="s">
        <v>1503</v>
      </c>
      <c r="Z547" s="183" t="s">
        <v>2774</v>
      </c>
      <c r="AA547" s="184"/>
      <c r="AB547" s="182"/>
      <c r="AC547" s="114">
        <v>7</v>
      </c>
      <c r="AD547" s="172" t="s">
        <v>887</v>
      </c>
      <c r="AE547" s="114"/>
      <c r="AF547" s="114"/>
      <c r="AG547" s="114"/>
      <c r="AH547" s="106"/>
      <c r="AI547" s="114"/>
      <c r="AJ547" s="106"/>
      <c r="AK547" s="114"/>
      <c r="AL547" s="106"/>
      <c r="AM547" s="114"/>
      <c r="AN547" s="106"/>
      <c r="AO547" s="114"/>
      <c r="AP547" s="106"/>
      <c r="AQ547" s="114"/>
      <c r="AR547" s="106"/>
      <c r="AS547" s="114"/>
      <c r="AT547" s="106"/>
      <c r="AU547" s="114"/>
      <c r="AV547" s="106"/>
      <c r="AW547" s="114"/>
      <c r="AX547" s="157"/>
      <c r="AY547" s="157"/>
      <c r="AZ547" s="157"/>
      <c r="BA547" s="157"/>
      <c r="BB547" s="157"/>
      <c r="BC547" s="157"/>
    </row>
    <row r="548" spans="1:55" x14ac:dyDescent="0.3">
      <c r="A548" s="114">
        <f t="shared" si="17"/>
        <v>544</v>
      </c>
      <c r="B548" s="179" t="s">
        <v>3500</v>
      </c>
      <c r="C548" s="114">
        <v>0</v>
      </c>
      <c r="D548" s="114" t="s">
        <v>991</v>
      </c>
      <c r="E548" s="114" t="s">
        <v>966</v>
      </c>
      <c r="F548" s="114" t="s">
        <v>909</v>
      </c>
      <c r="G548" s="114"/>
      <c r="H548" s="114"/>
      <c r="I548" s="114"/>
      <c r="J548" s="114"/>
      <c r="K548" s="114"/>
      <c r="L548" s="114"/>
      <c r="M548" s="114"/>
      <c r="N548" s="114">
        <v>10</v>
      </c>
      <c r="O548" s="180">
        <v>-2147483648</v>
      </c>
      <c r="P548" s="180">
        <v>2147483647</v>
      </c>
      <c r="Q548" s="180">
        <v>0</v>
      </c>
      <c r="R548" s="180"/>
      <c r="S548" s="180"/>
      <c r="T548" s="181" t="s">
        <v>3501</v>
      </c>
      <c r="U548" s="179" t="s">
        <v>3502</v>
      </c>
      <c r="V548" s="179" t="s">
        <v>3503</v>
      </c>
      <c r="W548" s="114" t="s">
        <v>3504</v>
      </c>
      <c r="X548" s="180">
        <v>32</v>
      </c>
      <c r="Y548" s="182" t="s">
        <v>1503</v>
      </c>
      <c r="Z548" s="183" t="s">
        <v>2774</v>
      </c>
      <c r="AA548" s="184"/>
      <c r="AB548" s="182"/>
      <c r="AC548" s="114">
        <v>7</v>
      </c>
      <c r="AD548" s="172" t="s">
        <v>887</v>
      </c>
      <c r="AE548" s="114"/>
      <c r="AF548" s="114"/>
      <c r="AG548" s="114"/>
      <c r="AH548" s="106"/>
      <c r="AI548" s="114"/>
      <c r="AJ548" s="106"/>
      <c r="AK548" s="114"/>
      <c r="AL548" s="106"/>
      <c r="AM548" s="114"/>
      <c r="AN548" s="106"/>
      <c r="AO548" s="114"/>
      <c r="AP548" s="106"/>
      <c r="AQ548" s="114"/>
      <c r="AR548" s="106"/>
      <c r="AS548" s="114"/>
      <c r="AT548" s="106"/>
      <c r="AU548" s="114"/>
      <c r="AV548" s="106"/>
      <c r="AW548" s="114"/>
      <c r="AX548" s="157"/>
      <c r="AY548" s="157"/>
      <c r="AZ548" s="157"/>
      <c r="BA548" s="157"/>
      <c r="BB548" s="157"/>
      <c r="BC548" s="157"/>
    </row>
    <row r="549" spans="1:55" x14ac:dyDescent="0.3">
      <c r="A549" s="114">
        <f t="shared" si="17"/>
        <v>545</v>
      </c>
      <c r="B549" s="179" t="s">
        <v>3505</v>
      </c>
      <c r="C549" s="114">
        <v>0</v>
      </c>
      <c r="D549" s="114" t="s">
        <v>991</v>
      </c>
      <c r="E549" s="114" t="s">
        <v>944</v>
      </c>
      <c r="F549" s="114" t="s">
        <v>909</v>
      </c>
      <c r="G549" s="114"/>
      <c r="H549" s="114"/>
      <c r="I549" s="114"/>
      <c r="J549" s="114"/>
      <c r="K549" s="114"/>
      <c r="L549" s="114"/>
      <c r="M549" s="191" t="s">
        <v>874</v>
      </c>
      <c r="N549" s="114">
        <v>10</v>
      </c>
      <c r="O549" s="180" t="s">
        <v>1181</v>
      </c>
      <c r="P549" s="180" t="s">
        <v>1089</v>
      </c>
      <c r="Q549" s="180" t="s">
        <v>1181</v>
      </c>
      <c r="R549" s="180"/>
      <c r="S549" s="180"/>
      <c r="T549" s="181" t="s">
        <v>3506</v>
      </c>
      <c r="U549" s="179" t="s">
        <v>3507</v>
      </c>
      <c r="V549" s="179" t="s">
        <v>3508</v>
      </c>
      <c r="W549" s="114" t="s">
        <v>3509</v>
      </c>
      <c r="X549" s="180">
        <v>32</v>
      </c>
      <c r="Y549" s="182" t="s">
        <v>1503</v>
      </c>
      <c r="Z549" s="183" t="s">
        <v>2774</v>
      </c>
      <c r="AA549" s="184"/>
      <c r="AB549" s="182"/>
      <c r="AC549" s="114">
        <v>7</v>
      </c>
      <c r="AD549" s="172" t="s">
        <v>887</v>
      </c>
      <c r="AE549" s="114"/>
      <c r="AF549" s="114"/>
      <c r="AG549" s="114"/>
      <c r="AH549" s="106"/>
      <c r="AI549" s="114"/>
      <c r="AJ549" s="106"/>
      <c r="AK549" s="114"/>
      <c r="AL549" s="106"/>
      <c r="AM549" s="114"/>
      <c r="AN549" s="106"/>
      <c r="AO549" s="114"/>
      <c r="AP549" s="106"/>
      <c r="AQ549" s="114"/>
      <c r="AR549" s="106"/>
      <c r="AS549" s="114"/>
      <c r="AT549" s="106"/>
      <c r="AU549" s="114"/>
      <c r="AV549" s="106"/>
      <c r="AW549" s="114"/>
      <c r="AX549" s="157"/>
      <c r="AY549" s="157"/>
      <c r="AZ549" s="157"/>
      <c r="BA549" s="157"/>
      <c r="BB549" s="157"/>
      <c r="BC549" s="157"/>
    </row>
    <row r="550" spans="1:55" x14ac:dyDescent="0.3">
      <c r="A550" s="114">
        <f>A549+1</f>
        <v>546</v>
      </c>
      <c r="B550" s="179" t="s">
        <v>3510</v>
      </c>
      <c r="C550" s="114">
        <v>0</v>
      </c>
      <c r="D550" s="114" t="s">
        <v>991</v>
      </c>
      <c r="E550" s="114" t="s">
        <v>966</v>
      </c>
      <c r="F550" s="114" t="s">
        <v>909</v>
      </c>
      <c r="G550" s="114"/>
      <c r="H550" s="114"/>
      <c r="I550" s="114"/>
      <c r="J550" s="114"/>
      <c r="K550" s="114"/>
      <c r="L550" s="114"/>
      <c r="M550" s="114"/>
      <c r="N550" s="114">
        <v>10</v>
      </c>
      <c r="O550" s="180">
        <v>-2147483648</v>
      </c>
      <c r="P550" s="180">
        <v>2147483647</v>
      </c>
      <c r="Q550" s="180">
        <v>0</v>
      </c>
      <c r="R550" s="180"/>
      <c r="S550" s="180"/>
      <c r="T550" s="181" t="s">
        <v>3511</v>
      </c>
      <c r="U550" s="179" t="s">
        <v>3512</v>
      </c>
      <c r="V550" s="179" t="s">
        <v>3513</v>
      </c>
      <c r="W550" s="114" t="s">
        <v>3514</v>
      </c>
      <c r="X550" s="180">
        <v>32</v>
      </c>
      <c r="Y550" s="182" t="s">
        <v>1503</v>
      </c>
      <c r="Z550" s="183" t="s">
        <v>2774</v>
      </c>
      <c r="AA550" s="184"/>
      <c r="AB550" s="182"/>
      <c r="AC550" s="114">
        <v>7</v>
      </c>
      <c r="AD550" s="172" t="s">
        <v>887</v>
      </c>
      <c r="AE550" s="114"/>
      <c r="AF550" s="114"/>
      <c r="AG550" s="114"/>
      <c r="AH550" s="106"/>
      <c r="AI550" s="114"/>
      <c r="AJ550" s="106"/>
      <c r="AK550" s="114"/>
      <c r="AL550" s="106"/>
      <c r="AM550" s="114"/>
      <c r="AN550" s="106"/>
      <c r="AO550" s="114"/>
      <c r="AP550" s="106"/>
      <c r="AQ550" s="114"/>
      <c r="AR550" s="106"/>
      <c r="AS550" s="114"/>
      <c r="AT550" s="106"/>
      <c r="AU550" s="114"/>
      <c r="AV550" s="106"/>
      <c r="AW550" s="114"/>
      <c r="AX550" s="157"/>
      <c r="AY550" s="157"/>
      <c r="AZ550" s="157"/>
      <c r="BA550" s="157"/>
      <c r="BB550" s="157"/>
      <c r="BC550" s="157"/>
    </row>
    <row r="551" spans="1:55" x14ac:dyDescent="0.3">
      <c r="A551" s="114">
        <f t="shared" ref="A551:A559" si="18">A550+1</f>
        <v>547</v>
      </c>
      <c r="B551" s="179" t="s">
        <v>3515</v>
      </c>
      <c r="C551" s="114">
        <v>0</v>
      </c>
      <c r="D551" s="114" t="s">
        <v>991</v>
      </c>
      <c r="E551" s="114" t="s">
        <v>944</v>
      </c>
      <c r="F551" s="114" t="s">
        <v>909</v>
      </c>
      <c r="G551" s="114"/>
      <c r="H551" s="114"/>
      <c r="I551" s="114"/>
      <c r="J551" s="114"/>
      <c r="K551" s="114"/>
      <c r="L551" s="114"/>
      <c r="M551" s="191" t="s">
        <v>874</v>
      </c>
      <c r="N551" s="114">
        <v>10</v>
      </c>
      <c r="O551" s="180" t="s">
        <v>1181</v>
      </c>
      <c r="P551" s="180" t="s">
        <v>1089</v>
      </c>
      <c r="Q551" s="180" t="s">
        <v>1181</v>
      </c>
      <c r="R551" s="180"/>
      <c r="S551" s="180"/>
      <c r="T551" s="181" t="s">
        <v>3516</v>
      </c>
      <c r="U551" s="179" t="s">
        <v>3517</v>
      </c>
      <c r="V551" s="179" t="s">
        <v>3518</v>
      </c>
      <c r="W551" s="114" t="s">
        <v>3519</v>
      </c>
      <c r="X551" s="180">
        <v>32</v>
      </c>
      <c r="Y551" s="182" t="s">
        <v>1503</v>
      </c>
      <c r="Z551" s="183" t="s">
        <v>2774</v>
      </c>
      <c r="AA551" s="184"/>
      <c r="AB551" s="182"/>
      <c r="AC551" s="114">
        <v>7</v>
      </c>
      <c r="AD551" s="172" t="s">
        <v>887</v>
      </c>
      <c r="AE551" s="114"/>
      <c r="AF551" s="114"/>
      <c r="AG551" s="114"/>
      <c r="AH551" s="106"/>
      <c r="AI551" s="114"/>
      <c r="AJ551" s="106"/>
      <c r="AK551" s="114"/>
      <c r="AL551" s="106"/>
      <c r="AM551" s="114"/>
      <c r="AN551" s="106"/>
      <c r="AO551" s="114"/>
      <c r="AP551" s="106"/>
      <c r="AQ551" s="114"/>
      <c r="AR551" s="106"/>
      <c r="AS551" s="114"/>
      <c r="AT551" s="106"/>
      <c r="AU551" s="114"/>
      <c r="AV551" s="106"/>
      <c r="AW551" s="114"/>
      <c r="AX551" s="157"/>
      <c r="AY551" s="157"/>
      <c r="AZ551" s="157"/>
      <c r="BA551" s="157"/>
      <c r="BB551" s="157"/>
      <c r="BC551" s="157"/>
    </row>
    <row r="552" spans="1:55" x14ac:dyDescent="0.3">
      <c r="A552" s="114">
        <f t="shared" si="18"/>
        <v>548</v>
      </c>
      <c r="B552" s="179" t="s">
        <v>3520</v>
      </c>
      <c r="C552" s="114">
        <v>0</v>
      </c>
      <c r="D552" s="114" t="s">
        <v>991</v>
      </c>
      <c r="E552" s="114" t="s">
        <v>966</v>
      </c>
      <c r="F552" s="114" t="s">
        <v>909</v>
      </c>
      <c r="G552" s="114"/>
      <c r="H552" s="114"/>
      <c r="I552" s="114"/>
      <c r="J552" s="114"/>
      <c r="K552" s="114"/>
      <c r="L552" s="114"/>
      <c r="M552" s="114"/>
      <c r="N552" s="114">
        <v>10</v>
      </c>
      <c r="O552" s="180">
        <v>-2147483648</v>
      </c>
      <c r="P552" s="180">
        <v>2147483647</v>
      </c>
      <c r="Q552" s="180">
        <v>0</v>
      </c>
      <c r="R552" s="180"/>
      <c r="S552" s="180"/>
      <c r="T552" s="181" t="s">
        <v>3521</v>
      </c>
      <c r="U552" s="179" t="s">
        <v>3522</v>
      </c>
      <c r="V552" s="179" t="s">
        <v>3523</v>
      </c>
      <c r="W552" s="114" t="s">
        <v>3524</v>
      </c>
      <c r="X552" s="180">
        <v>32</v>
      </c>
      <c r="Y552" s="182" t="s">
        <v>1503</v>
      </c>
      <c r="Z552" s="183" t="s">
        <v>2774</v>
      </c>
      <c r="AA552" s="184"/>
      <c r="AB552" s="182"/>
      <c r="AC552" s="114">
        <v>7</v>
      </c>
      <c r="AD552" s="172" t="s">
        <v>887</v>
      </c>
      <c r="AE552" s="114"/>
      <c r="AF552" s="114"/>
      <c r="AG552" s="114"/>
      <c r="AH552" s="106"/>
      <c r="AI552" s="114"/>
      <c r="AJ552" s="106"/>
      <c r="AK552" s="114"/>
      <c r="AL552" s="106"/>
      <c r="AM552" s="114"/>
      <c r="AN552" s="106"/>
      <c r="AO552" s="114"/>
      <c r="AP552" s="106"/>
      <c r="AQ552" s="114"/>
      <c r="AR552" s="106"/>
      <c r="AS552" s="114"/>
      <c r="AT552" s="106"/>
      <c r="AU552" s="114"/>
      <c r="AV552" s="106"/>
      <c r="AW552" s="114"/>
      <c r="AX552" s="157"/>
      <c r="AY552" s="157"/>
      <c r="AZ552" s="157"/>
      <c r="BA552" s="157"/>
      <c r="BB552" s="157"/>
      <c r="BC552" s="157"/>
    </row>
    <row r="553" spans="1:55" x14ac:dyDescent="0.3">
      <c r="A553" s="114">
        <f t="shared" si="18"/>
        <v>549</v>
      </c>
      <c r="B553" s="179" t="s">
        <v>3525</v>
      </c>
      <c r="C553" s="114">
        <v>0</v>
      </c>
      <c r="D553" s="114" t="s">
        <v>991</v>
      </c>
      <c r="E553" s="114" t="s">
        <v>944</v>
      </c>
      <c r="F553" s="114" t="s">
        <v>909</v>
      </c>
      <c r="G553" s="114"/>
      <c r="H553" s="114"/>
      <c r="I553" s="114"/>
      <c r="J553" s="114"/>
      <c r="K553" s="114"/>
      <c r="L553" s="114"/>
      <c r="M553" s="191" t="s">
        <v>874</v>
      </c>
      <c r="N553" s="114">
        <v>10</v>
      </c>
      <c r="O553" s="180" t="s">
        <v>1181</v>
      </c>
      <c r="P553" s="180" t="s">
        <v>1089</v>
      </c>
      <c r="Q553" s="180" t="s">
        <v>1181</v>
      </c>
      <c r="R553" s="180"/>
      <c r="S553" s="180"/>
      <c r="T553" s="181" t="s">
        <v>3526</v>
      </c>
      <c r="U553" s="179" t="s">
        <v>3527</v>
      </c>
      <c r="V553" s="179" t="s">
        <v>3528</v>
      </c>
      <c r="W553" s="114" t="s">
        <v>3529</v>
      </c>
      <c r="X553" s="180">
        <v>32</v>
      </c>
      <c r="Y553" s="182" t="s">
        <v>1503</v>
      </c>
      <c r="Z553" s="183" t="s">
        <v>2774</v>
      </c>
      <c r="AA553" s="184"/>
      <c r="AB553" s="182"/>
      <c r="AC553" s="114">
        <v>7</v>
      </c>
      <c r="AD553" s="172" t="s">
        <v>887</v>
      </c>
      <c r="AE553" s="114"/>
      <c r="AF553" s="114"/>
      <c r="AG553" s="114"/>
      <c r="AH553" s="106"/>
      <c r="AI553" s="114"/>
      <c r="AJ553" s="106"/>
      <c r="AK553" s="114"/>
      <c r="AL553" s="106"/>
      <c r="AM553" s="114"/>
      <c r="AN553" s="106"/>
      <c r="AO553" s="114"/>
      <c r="AP553" s="106"/>
      <c r="AQ553" s="114"/>
      <c r="AR553" s="106"/>
      <c r="AS553" s="114"/>
      <c r="AT553" s="106"/>
      <c r="AU553" s="114"/>
      <c r="AV553" s="106"/>
      <c r="AW553" s="114"/>
      <c r="AX553" s="157"/>
      <c r="AY553" s="157"/>
      <c r="AZ553" s="157"/>
      <c r="BA553" s="157"/>
      <c r="BB553" s="157"/>
      <c r="BC553" s="157"/>
    </row>
    <row r="554" spans="1:55" x14ac:dyDescent="0.3">
      <c r="A554" s="114">
        <f t="shared" si="18"/>
        <v>550</v>
      </c>
      <c r="B554" s="179" t="s">
        <v>3530</v>
      </c>
      <c r="C554" s="114">
        <v>0</v>
      </c>
      <c r="D554" s="114" t="s">
        <v>991</v>
      </c>
      <c r="E554" s="114" t="s">
        <v>966</v>
      </c>
      <c r="F554" s="114" t="s">
        <v>909</v>
      </c>
      <c r="G554" s="114"/>
      <c r="H554" s="114"/>
      <c r="I554" s="114"/>
      <c r="J554" s="114"/>
      <c r="K554" s="114"/>
      <c r="L554" s="114"/>
      <c r="M554" s="114"/>
      <c r="N554" s="114">
        <v>10</v>
      </c>
      <c r="O554" s="180">
        <v>-2147483648</v>
      </c>
      <c r="P554" s="180">
        <v>2147483647</v>
      </c>
      <c r="Q554" s="180">
        <v>0</v>
      </c>
      <c r="R554" s="180"/>
      <c r="S554" s="180"/>
      <c r="T554" s="181" t="s">
        <v>3531</v>
      </c>
      <c r="U554" s="179" t="s">
        <v>3532</v>
      </c>
      <c r="V554" s="179" t="s">
        <v>3533</v>
      </c>
      <c r="W554" s="114" t="s">
        <v>3534</v>
      </c>
      <c r="X554" s="180">
        <v>32</v>
      </c>
      <c r="Y554" s="182" t="s">
        <v>1503</v>
      </c>
      <c r="Z554" s="183" t="s">
        <v>2774</v>
      </c>
      <c r="AA554" s="184"/>
      <c r="AB554" s="182"/>
      <c r="AC554" s="114">
        <v>7</v>
      </c>
      <c r="AD554" s="172" t="s">
        <v>887</v>
      </c>
      <c r="AE554" s="114"/>
      <c r="AF554" s="114"/>
      <c r="AG554" s="114"/>
      <c r="AH554" s="106"/>
      <c r="AI554" s="114"/>
      <c r="AJ554" s="106"/>
      <c r="AK554" s="114"/>
      <c r="AL554" s="106"/>
      <c r="AM554" s="114"/>
      <c r="AN554" s="106"/>
      <c r="AO554" s="114"/>
      <c r="AP554" s="106"/>
      <c r="AQ554" s="114"/>
      <c r="AR554" s="106"/>
      <c r="AS554" s="114"/>
      <c r="AT554" s="106"/>
      <c r="AU554" s="114"/>
      <c r="AV554" s="106"/>
      <c r="AW554" s="114"/>
      <c r="AX554" s="157"/>
      <c r="AY554" s="157"/>
      <c r="AZ554" s="157"/>
      <c r="BA554" s="157"/>
      <c r="BB554" s="157"/>
      <c r="BC554" s="157"/>
    </row>
    <row r="555" spans="1:55" x14ac:dyDescent="0.3">
      <c r="A555" s="114">
        <f t="shared" si="18"/>
        <v>551</v>
      </c>
      <c r="B555" s="179" t="s">
        <v>3535</v>
      </c>
      <c r="C555" s="114">
        <v>0</v>
      </c>
      <c r="D555" s="114" t="s">
        <v>991</v>
      </c>
      <c r="E555" s="114" t="s">
        <v>944</v>
      </c>
      <c r="F555" s="114" t="s">
        <v>909</v>
      </c>
      <c r="G555" s="114"/>
      <c r="H555" s="114"/>
      <c r="I555" s="114"/>
      <c r="J555" s="114"/>
      <c r="K555" s="114"/>
      <c r="L555" s="114"/>
      <c r="M555" s="191" t="s">
        <v>874</v>
      </c>
      <c r="N555" s="114">
        <v>10</v>
      </c>
      <c r="O555" s="180" t="s">
        <v>1181</v>
      </c>
      <c r="P555" s="180" t="s">
        <v>1089</v>
      </c>
      <c r="Q555" s="180" t="s">
        <v>1181</v>
      </c>
      <c r="R555" s="180"/>
      <c r="S555" s="180"/>
      <c r="T555" s="181" t="s">
        <v>3536</v>
      </c>
      <c r="U555" s="179" t="s">
        <v>3537</v>
      </c>
      <c r="V555" s="179" t="s">
        <v>3538</v>
      </c>
      <c r="W555" s="114" t="s">
        <v>3539</v>
      </c>
      <c r="X555" s="180">
        <v>32</v>
      </c>
      <c r="Y555" s="182" t="s">
        <v>1503</v>
      </c>
      <c r="Z555" s="183" t="s">
        <v>2774</v>
      </c>
      <c r="AA555" s="184"/>
      <c r="AB555" s="182"/>
      <c r="AC555" s="114">
        <v>7</v>
      </c>
      <c r="AD555" s="172" t="s">
        <v>887</v>
      </c>
      <c r="AE555" s="114"/>
      <c r="AF555" s="114"/>
      <c r="AG555" s="114"/>
      <c r="AH555" s="106"/>
      <c r="AI555" s="114"/>
      <c r="AJ555" s="106"/>
      <c r="AK555" s="114"/>
      <c r="AL555" s="106"/>
      <c r="AM555" s="114"/>
      <c r="AN555" s="106"/>
      <c r="AO555" s="114"/>
      <c r="AP555" s="106"/>
      <c r="AQ555" s="114"/>
      <c r="AR555" s="106"/>
      <c r="AS555" s="114"/>
      <c r="AT555" s="106"/>
      <c r="AU555" s="114"/>
      <c r="AV555" s="106"/>
      <c r="AW555" s="114"/>
      <c r="AX555" s="157"/>
      <c r="AY555" s="157"/>
      <c r="AZ555" s="157"/>
      <c r="BA555" s="157"/>
      <c r="BB555" s="157"/>
      <c r="BC555" s="157"/>
    </row>
    <row r="556" spans="1:55" x14ac:dyDescent="0.3">
      <c r="A556" s="114">
        <f t="shared" si="18"/>
        <v>552</v>
      </c>
      <c r="B556" s="179" t="s">
        <v>3540</v>
      </c>
      <c r="C556" s="114">
        <v>0</v>
      </c>
      <c r="D556" s="114" t="s">
        <v>991</v>
      </c>
      <c r="E556" s="114" t="s">
        <v>966</v>
      </c>
      <c r="F556" s="114" t="s">
        <v>909</v>
      </c>
      <c r="G556" s="114"/>
      <c r="H556" s="114"/>
      <c r="I556" s="114"/>
      <c r="J556" s="114"/>
      <c r="K556" s="114"/>
      <c r="L556" s="114"/>
      <c r="M556" s="114"/>
      <c r="N556" s="114">
        <v>10</v>
      </c>
      <c r="O556" s="180">
        <v>-2147483648</v>
      </c>
      <c r="P556" s="180">
        <v>2147483647</v>
      </c>
      <c r="Q556" s="180">
        <v>0</v>
      </c>
      <c r="R556" s="180"/>
      <c r="S556" s="180"/>
      <c r="T556" s="181" t="s">
        <v>3541</v>
      </c>
      <c r="U556" s="179" t="s">
        <v>3542</v>
      </c>
      <c r="V556" s="179" t="s">
        <v>3543</v>
      </c>
      <c r="W556" s="114" t="s">
        <v>3544</v>
      </c>
      <c r="X556" s="180">
        <v>32</v>
      </c>
      <c r="Y556" s="182" t="s">
        <v>1503</v>
      </c>
      <c r="Z556" s="183" t="s">
        <v>2774</v>
      </c>
      <c r="AA556" s="184"/>
      <c r="AB556" s="182"/>
      <c r="AC556" s="114">
        <v>7</v>
      </c>
      <c r="AD556" s="172" t="s">
        <v>887</v>
      </c>
      <c r="AE556" s="114"/>
      <c r="AF556" s="114"/>
      <c r="AG556" s="114"/>
      <c r="AH556" s="106"/>
      <c r="AI556" s="114"/>
      <c r="AJ556" s="106"/>
      <c r="AK556" s="114"/>
      <c r="AL556" s="106"/>
      <c r="AM556" s="114"/>
      <c r="AN556" s="106"/>
      <c r="AO556" s="114"/>
      <c r="AP556" s="106"/>
      <c r="AQ556" s="114"/>
      <c r="AR556" s="106"/>
      <c r="AS556" s="114"/>
      <c r="AT556" s="106"/>
      <c r="AU556" s="114"/>
      <c r="AV556" s="106"/>
      <c r="AW556" s="114"/>
      <c r="AX556" s="157"/>
      <c r="AY556" s="157"/>
      <c r="AZ556" s="157"/>
      <c r="BA556" s="157"/>
      <c r="BB556" s="157"/>
      <c r="BC556" s="157"/>
    </row>
    <row r="557" spans="1:55" x14ac:dyDescent="0.3">
      <c r="A557" s="114">
        <f t="shared" si="18"/>
        <v>553</v>
      </c>
      <c r="B557" s="179" t="s">
        <v>3545</v>
      </c>
      <c r="C557" s="114">
        <v>0</v>
      </c>
      <c r="D557" s="114" t="s">
        <v>991</v>
      </c>
      <c r="E557" s="114" t="s">
        <v>944</v>
      </c>
      <c r="F557" s="114" t="s">
        <v>909</v>
      </c>
      <c r="G557" s="114"/>
      <c r="H557" s="114"/>
      <c r="I557" s="114"/>
      <c r="J557" s="114"/>
      <c r="K557" s="114"/>
      <c r="L557" s="114"/>
      <c r="M557" s="191" t="s">
        <v>874</v>
      </c>
      <c r="N557" s="114">
        <v>10</v>
      </c>
      <c r="O557" s="180" t="s">
        <v>1181</v>
      </c>
      <c r="P557" s="180" t="s">
        <v>1089</v>
      </c>
      <c r="Q557" s="180" t="s">
        <v>1181</v>
      </c>
      <c r="R557" s="180"/>
      <c r="S557" s="180"/>
      <c r="T557" s="181" t="s">
        <v>3546</v>
      </c>
      <c r="U557" s="179" t="s">
        <v>3547</v>
      </c>
      <c r="V557" s="179" t="s">
        <v>3548</v>
      </c>
      <c r="W557" s="114" t="s">
        <v>3549</v>
      </c>
      <c r="X557" s="180">
        <v>32</v>
      </c>
      <c r="Y557" s="182" t="s">
        <v>1503</v>
      </c>
      <c r="Z557" s="183" t="s">
        <v>2774</v>
      </c>
      <c r="AA557" s="184"/>
      <c r="AB557" s="182"/>
      <c r="AC557" s="114">
        <v>7</v>
      </c>
      <c r="AD557" s="172" t="s">
        <v>887</v>
      </c>
      <c r="AE557" s="114"/>
      <c r="AF557" s="114"/>
      <c r="AG557" s="114"/>
      <c r="AH557" s="106"/>
      <c r="AI557" s="114"/>
      <c r="AJ557" s="106"/>
      <c r="AK557" s="114"/>
      <c r="AL557" s="106"/>
      <c r="AM557" s="114"/>
      <c r="AN557" s="106"/>
      <c r="AO557" s="114"/>
      <c r="AP557" s="106"/>
      <c r="AQ557" s="114"/>
      <c r="AR557" s="106"/>
      <c r="AS557" s="114"/>
      <c r="AT557" s="106"/>
      <c r="AU557" s="114"/>
      <c r="AV557" s="106"/>
      <c r="AW557" s="114"/>
      <c r="AX557" s="157"/>
      <c r="AY557" s="157"/>
      <c r="AZ557" s="157"/>
      <c r="BA557" s="157"/>
      <c r="BB557" s="157"/>
      <c r="BC557" s="157"/>
    </row>
    <row r="558" spans="1:55" x14ac:dyDescent="0.3">
      <c r="A558" s="114">
        <f t="shared" si="18"/>
        <v>554</v>
      </c>
      <c r="B558" s="179" t="s">
        <v>3550</v>
      </c>
      <c r="C558" s="114">
        <v>0</v>
      </c>
      <c r="D558" s="114" t="s">
        <v>991</v>
      </c>
      <c r="E558" s="114" t="s">
        <v>966</v>
      </c>
      <c r="F558" s="114" t="s">
        <v>909</v>
      </c>
      <c r="G558" s="114"/>
      <c r="H558" s="114"/>
      <c r="I558" s="114"/>
      <c r="J558" s="114"/>
      <c r="K558" s="114"/>
      <c r="L558" s="114"/>
      <c r="M558" s="114"/>
      <c r="N558" s="114">
        <v>10</v>
      </c>
      <c r="O558" s="180">
        <v>-2147483648</v>
      </c>
      <c r="P558" s="180">
        <v>2147483647</v>
      </c>
      <c r="Q558" s="180">
        <v>0</v>
      </c>
      <c r="R558" s="180"/>
      <c r="S558" s="180"/>
      <c r="T558" s="181" t="s">
        <v>3551</v>
      </c>
      <c r="U558" s="179" t="s">
        <v>3552</v>
      </c>
      <c r="V558" s="179" t="s">
        <v>3553</v>
      </c>
      <c r="W558" s="114" t="s">
        <v>3554</v>
      </c>
      <c r="X558" s="180">
        <v>32</v>
      </c>
      <c r="Y558" s="182" t="s">
        <v>1503</v>
      </c>
      <c r="Z558" s="183" t="s">
        <v>2774</v>
      </c>
      <c r="AA558" s="184"/>
      <c r="AB558" s="182"/>
      <c r="AC558" s="114">
        <v>7</v>
      </c>
      <c r="AD558" s="172" t="s">
        <v>887</v>
      </c>
      <c r="AE558" s="114"/>
      <c r="AF558" s="114"/>
      <c r="AG558" s="114"/>
      <c r="AH558" s="106"/>
      <c r="AI558" s="114"/>
      <c r="AJ558" s="106"/>
      <c r="AK558" s="114"/>
      <c r="AL558" s="106"/>
      <c r="AM558" s="114"/>
      <c r="AN558" s="106"/>
      <c r="AO558" s="114"/>
      <c r="AP558" s="106"/>
      <c r="AQ558" s="114"/>
      <c r="AR558" s="106"/>
      <c r="AS558" s="114"/>
      <c r="AT558" s="106"/>
      <c r="AU558" s="114"/>
      <c r="AV558" s="106"/>
      <c r="AW558" s="114"/>
      <c r="AX558" s="157"/>
      <c r="AY558" s="157"/>
      <c r="AZ558" s="157"/>
      <c r="BA558" s="157"/>
      <c r="BB558" s="157"/>
      <c r="BC558" s="157"/>
    </row>
    <row r="559" spans="1:55" x14ac:dyDescent="0.3">
      <c r="A559" s="114">
        <f t="shared" si="18"/>
        <v>555</v>
      </c>
      <c r="B559" s="179" t="s">
        <v>3555</v>
      </c>
      <c r="C559" s="114">
        <v>0</v>
      </c>
      <c r="D559" s="114" t="s">
        <v>991</v>
      </c>
      <c r="E559" s="114" t="s">
        <v>944</v>
      </c>
      <c r="F559" s="114" t="s">
        <v>909</v>
      </c>
      <c r="G559" s="114"/>
      <c r="H559" s="114"/>
      <c r="I559" s="114"/>
      <c r="J559" s="114"/>
      <c r="K559" s="114"/>
      <c r="L559" s="114"/>
      <c r="M559" s="191" t="s">
        <v>874</v>
      </c>
      <c r="N559" s="114">
        <v>10</v>
      </c>
      <c r="O559" s="180" t="s">
        <v>1181</v>
      </c>
      <c r="P559" s="180" t="s">
        <v>1089</v>
      </c>
      <c r="Q559" s="180" t="s">
        <v>1181</v>
      </c>
      <c r="R559" s="180"/>
      <c r="S559" s="180"/>
      <c r="T559" s="181" t="s">
        <v>3556</v>
      </c>
      <c r="U559" s="179" t="s">
        <v>3557</v>
      </c>
      <c r="V559" s="179" t="s">
        <v>3558</v>
      </c>
      <c r="W559" s="114" t="s">
        <v>3559</v>
      </c>
      <c r="X559" s="180">
        <v>32</v>
      </c>
      <c r="Y559" s="182" t="s">
        <v>1503</v>
      </c>
      <c r="Z559" s="183" t="s">
        <v>2774</v>
      </c>
      <c r="AA559" s="184"/>
      <c r="AB559" s="182"/>
      <c r="AC559" s="114">
        <v>7</v>
      </c>
      <c r="AD559" s="172" t="s">
        <v>887</v>
      </c>
      <c r="AE559" s="114"/>
      <c r="AF559" s="114"/>
      <c r="AG559" s="114"/>
      <c r="AH559" s="106"/>
      <c r="AI559" s="114"/>
      <c r="AJ559" s="106"/>
      <c r="AK559" s="114"/>
      <c r="AL559" s="106"/>
      <c r="AM559" s="114"/>
      <c r="AN559" s="106"/>
      <c r="AO559" s="114"/>
      <c r="AP559" s="106"/>
      <c r="AQ559" s="114"/>
      <c r="AR559" s="106"/>
      <c r="AS559" s="114"/>
      <c r="AT559" s="106"/>
      <c r="AU559" s="114"/>
      <c r="AV559" s="106"/>
      <c r="AW559" s="114"/>
      <c r="AX559" s="157"/>
      <c r="AY559" s="157"/>
      <c r="AZ559" s="157"/>
      <c r="BA559" s="157"/>
      <c r="BB559" s="157"/>
      <c r="BC559" s="157"/>
    </row>
    <row r="560" spans="1:55" x14ac:dyDescent="0.3">
      <c r="A560" s="114">
        <f>A559+1</f>
        <v>556</v>
      </c>
      <c r="B560" s="179" t="s">
        <v>3560</v>
      </c>
      <c r="C560" s="114">
        <v>0</v>
      </c>
      <c r="D560" s="114" t="s">
        <v>991</v>
      </c>
      <c r="E560" s="114" t="s">
        <v>966</v>
      </c>
      <c r="F560" s="114" t="s">
        <v>909</v>
      </c>
      <c r="G560" s="114"/>
      <c r="H560" s="114"/>
      <c r="I560" s="114"/>
      <c r="J560" s="114"/>
      <c r="K560" s="114"/>
      <c r="L560" s="114"/>
      <c r="M560" s="114"/>
      <c r="N560" s="114">
        <v>10</v>
      </c>
      <c r="O560" s="180">
        <v>-2147483648</v>
      </c>
      <c r="P560" s="180">
        <v>2147483647</v>
      </c>
      <c r="Q560" s="180">
        <v>0</v>
      </c>
      <c r="R560" s="180"/>
      <c r="S560" s="180"/>
      <c r="T560" s="181" t="s">
        <v>3561</v>
      </c>
      <c r="U560" s="179" t="s">
        <v>3562</v>
      </c>
      <c r="V560" s="179" t="s">
        <v>3563</v>
      </c>
      <c r="W560" s="114" t="s">
        <v>3564</v>
      </c>
      <c r="X560" s="180">
        <v>32</v>
      </c>
      <c r="Y560" s="182" t="s">
        <v>1503</v>
      </c>
      <c r="Z560" s="183" t="s">
        <v>2774</v>
      </c>
      <c r="AA560" s="184"/>
      <c r="AB560" s="182"/>
      <c r="AC560" s="114">
        <v>7</v>
      </c>
      <c r="AD560" s="172" t="s">
        <v>887</v>
      </c>
      <c r="AE560" s="114"/>
      <c r="AF560" s="114"/>
      <c r="AG560" s="114"/>
      <c r="AH560" s="106"/>
      <c r="AI560" s="114"/>
      <c r="AJ560" s="106"/>
      <c r="AK560" s="114"/>
      <c r="AL560" s="106"/>
      <c r="AM560" s="114"/>
      <c r="AN560" s="106"/>
      <c r="AO560" s="114"/>
      <c r="AP560" s="106"/>
      <c r="AQ560" s="114"/>
      <c r="AR560" s="106"/>
      <c r="AS560" s="114"/>
      <c r="AT560" s="106"/>
      <c r="AU560" s="114"/>
      <c r="AV560" s="106"/>
      <c r="AW560" s="114"/>
      <c r="AX560" s="157"/>
      <c r="AY560" s="157"/>
      <c r="AZ560" s="157"/>
      <c r="BA560" s="157"/>
      <c r="BB560" s="157"/>
      <c r="BC560" s="157"/>
    </row>
    <row r="561" spans="1:55" x14ac:dyDescent="0.3">
      <c r="A561" s="114">
        <f t="shared" ref="A561:A570" si="19">A560+1</f>
        <v>557</v>
      </c>
      <c r="B561" s="179" t="s">
        <v>3565</v>
      </c>
      <c r="C561" s="114">
        <v>0</v>
      </c>
      <c r="D561" s="114" t="s">
        <v>991</v>
      </c>
      <c r="E561" s="114" t="s">
        <v>944</v>
      </c>
      <c r="F561" s="114" t="s">
        <v>909</v>
      </c>
      <c r="G561" s="114"/>
      <c r="H561" s="114"/>
      <c r="I561" s="114"/>
      <c r="J561" s="114"/>
      <c r="K561" s="114"/>
      <c r="L561" s="114"/>
      <c r="M561" s="191" t="s">
        <v>874</v>
      </c>
      <c r="N561" s="114">
        <v>10</v>
      </c>
      <c r="O561" s="180" t="s">
        <v>1181</v>
      </c>
      <c r="P561" s="180" t="s">
        <v>1089</v>
      </c>
      <c r="Q561" s="180" t="s">
        <v>1181</v>
      </c>
      <c r="R561" s="180"/>
      <c r="S561" s="180"/>
      <c r="T561" s="181" t="s">
        <v>3566</v>
      </c>
      <c r="U561" s="179" t="s">
        <v>3567</v>
      </c>
      <c r="V561" s="179" t="s">
        <v>3568</v>
      </c>
      <c r="W561" s="114" t="s">
        <v>3569</v>
      </c>
      <c r="X561" s="180">
        <v>32</v>
      </c>
      <c r="Y561" s="182" t="s">
        <v>1503</v>
      </c>
      <c r="Z561" s="183" t="s">
        <v>2774</v>
      </c>
      <c r="AA561" s="184"/>
      <c r="AB561" s="182"/>
      <c r="AC561" s="114">
        <v>7</v>
      </c>
      <c r="AD561" s="172" t="s">
        <v>887</v>
      </c>
      <c r="AE561" s="114"/>
      <c r="AF561" s="114"/>
      <c r="AG561" s="114"/>
      <c r="AH561" s="106"/>
      <c r="AI561" s="114"/>
      <c r="AJ561" s="106"/>
      <c r="AK561" s="114"/>
      <c r="AL561" s="106"/>
      <c r="AM561" s="114"/>
      <c r="AN561" s="106"/>
      <c r="AO561" s="114"/>
      <c r="AP561" s="106"/>
      <c r="AQ561" s="114"/>
      <c r="AR561" s="106"/>
      <c r="AS561" s="114"/>
      <c r="AT561" s="106"/>
      <c r="AU561" s="114"/>
      <c r="AV561" s="106"/>
      <c r="AW561" s="114"/>
      <c r="AX561" s="157"/>
      <c r="AY561" s="157"/>
      <c r="AZ561" s="157"/>
      <c r="BA561" s="157"/>
      <c r="BB561" s="157"/>
      <c r="BC561" s="157"/>
    </row>
    <row r="562" spans="1:55" x14ac:dyDescent="0.3">
      <c r="A562" s="114">
        <f t="shared" si="19"/>
        <v>558</v>
      </c>
      <c r="B562" s="179" t="s">
        <v>3570</v>
      </c>
      <c r="C562" s="114">
        <v>0</v>
      </c>
      <c r="D562" s="114" t="s">
        <v>991</v>
      </c>
      <c r="E562" s="114" t="s">
        <v>966</v>
      </c>
      <c r="F562" s="114" t="s">
        <v>909</v>
      </c>
      <c r="G562" s="114"/>
      <c r="H562" s="114"/>
      <c r="I562" s="114"/>
      <c r="J562" s="114"/>
      <c r="K562" s="114"/>
      <c r="L562" s="114"/>
      <c r="M562" s="114"/>
      <c r="N562" s="114">
        <v>10</v>
      </c>
      <c r="O562" s="180">
        <v>-2147483648</v>
      </c>
      <c r="P562" s="180">
        <v>2147483647</v>
      </c>
      <c r="Q562" s="180">
        <v>0</v>
      </c>
      <c r="R562" s="180"/>
      <c r="S562" s="180"/>
      <c r="T562" s="181" t="s">
        <v>3571</v>
      </c>
      <c r="U562" s="179" t="s">
        <v>3572</v>
      </c>
      <c r="V562" s="179" t="s">
        <v>3573</v>
      </c>
      <c r="W562" s="114" t="s">
        <v>3574</v>
      </c>
      <c r="X562" s="180">
        <v>32</v>
      </c>
      <c r="Y562" s="182" t="s">
        <v>1503</v>
      </c>
      <c r="Z562" s="183" t="s">
        <v>2774</v>
      </c>
      <c r="AA562" s="184"/>
      <c r="AB562" s="182"/>
      <c r="AC562" s="114">
        <v>7</v>
      </c>
      <c r="AD562" s="172" t="s">
        <v>887</v>
      </c>
      <c r="AE562" s="114"/>
      <c r="AF562" s="114"/>
      <c r="AG562" s="114"/>
      <c r="AH562" s="106"/>
      <c r="AI562" s="114"/>
      <c r="AJ562" s="106"/>
      <c r="AK562" s="114"/>
      <c r="AL562" s="106"/>
      <c r="AM562" s="114"/>
      <c r="AN562" s="106"/>
      <c r="AO562" s="114"/>
      <c r="AP562" s="106"/>
      <c r="AQ562" s="114"/>
      <c r="AR562" s="106"/>
      <c r="AS562" s="114"/>
      <c r="AT562" s="106"/>
      <c r="AU562" s="114"/>
      <c r="AV562" s="106"/>
      <c r="AW562" s="114"/>
      <c r="AX562" s="157"/>
      <c r="AY562" s="157"/>
      <c r="AZ562" s="157"/>
      <c r="BA562" s="157"/>
      <c r="BB562" s="157"/>
      <c r="BC562" s="157"/>
    </row>
    <row r="563" spans="1:55" x14ac:dyDescent="0.3">
      <c r="A563" s="114">
        <f t="shared" si="19"/>
        <v>559</v>
      </c>
      <c r="B563" s="179" t="s">
        <v>3575</v>
      </c>
      <c r="C563" s="114">
        <v>0</v>
      </c>
      <c r="D563" s="114" t="s">
        <v>991</v>
      </c>
      <c r="E563" s="114" t="s">
        <v>944</v>
      </c>
      <c r="F563" s="114" t="s">
        <v>909</v>
      </c>
      <c r="G563" s="114"/>
      <c r="H563" s="114"/>
      <c r="I563" s="114"/>
      <c r="J563" s="114"/>
      <c r="K563" s="114"/>
      <c r="L563" s="114"/>
      <c r="M563" s="191" t="s">
        <v>874</v>
      </c>
      <c r="N563" s="114">
        <v>10</v>
      </c>
      <c r="O563" s="180" t="s">
        <v>1181</v>
      </c>
      <c r="P563" s="180" t="s">
        <v>1089</v>
      </c>
      <c r="Q563" s="180" t="s">
        <v>1181</v>
      </c>
      <c r="R563" s="180"/>
      <c r="S563" s="180"/>
      <c r="T563" s="181" t="s">
        <v>3576</v>
      </c>
      <c r="U563" s="179" t="s">
        <v>3577</v>
      </c>
      <c r="V563" s="179" t="s">
        <v>3578</v>
      </c>
      <c r="W563" s="114" t="s">
        <v>3579</v>
      </c>
      <c r="X563" s="180">
        <v>32</v>
      </c>
      <c r="Y563" s="182" t="s">
        <v>1503</v>
      </c>
      <c r="Z563" s="183" t="s">
        <v>2774</v>
      </c>
      <c r="AA563" s="184"/>
      <c r="AB563" s="182"/>
      <c r="AC563" s="114">
        <v>7</v>
      </c>
      <c r="AD563" s="172" t="s">
        <v>887</v>
      </c>
      <c r="AE563" s="114"/>
      <c r="AF563" s="114"/>
      <c r="AG563" s="114"/>
      <c r="AH563" s="106"/>
      <c r="AI563" s="114"/>
      <c r="AJ563" s="106"/>
      <c r="AK563" s="114"/>
      <c r="AL563" s="106"/>
      <c r="AM563" s="114"/>
      <c r="AN563" s="106"/>
      <c r="AO563" s="114"/>
      <c r="AP563" s="106"/>
      <c r="AQ563" s="114"/>
      <c r="AR563" s="106"/>
      <c r="AS563" s="114"/>
      <c r="AT563" s="106"/>
      <c r="AU563" s="114"/>
      <c r="AV563" s="106"/>
      <c r="AW563" s="114"/>
      <c r="AX563" s="157"/>
      <c r="AY563" s="157"/>
      <c r="AZ563" s="157"/>
      <c r="BA563" s="157"/>
      <c r="BB563" s="157"/>
      <c r="BC563" s="157"/>
    </row>
    <row r="564" spans="1:55" x14ac:dyDescent="0.3">
      <c r="A564" s="114">
        <f t="shared" si="19"/>
        <v>560</v>
      </c>
      <c r="B564" s="179" t="s">
        <v>3580</v>
      </c>
      <c r="C564" s="114">
        <v>0</v>
      </c>
      <c r="D564" s="114" t="s">
        <v>991</v>
      </c>
      <c r="E564" s="114" t="s">
        <v>966</v>
      </c>
      <c r="F564" s="114" t="s">
        <v>909</v>
      </c>
      <c r="G564" s="114"/>
      <c r="H564" s="114"/>
      <c r="I564" s="114"/>
      <c r="J564" s="114"/>
      <c r="K564" s="114"/>
      <c r="L564" s="114"/>
      <c r="M564" s="114"/>
      <c r="N564" s="114">
        <v>10</v>
      </c>
      <c r="O564" s="180">
        <v>-2147483648</v>
      </c>
      <c r="P564" s="180">
        <v>2147483647</v>
      </c>
      <c r="Q564" s="180">
        <v>0</v>
      </c>
      <c r="R564" s="180"/>
      <c r="S564" s="180"/>
      <c r="T564" s="181" t="s">
        <v>3581</v>
      </c>
      <c r="U564" s="179" t="s">
        <v>3582</v>
      </c>
      <c r="V564" s="179" t="s">
        <v>3583</v>
      </c>
      <c r="W564" s="114" t="s">
        <v>3584</v>
      </c>
      <c r="X564" s="180">
        <v>32</v>
      </c>
      <c r="Y564" s="182" t="s">
        <v>1503</v>
      </c>
      <c r="Z564" s="183" t="s">
        <v>2774</v>
      </c>
      <c r="AA564" s="184"/>
      <c r="AB564" s="182"/>
      <c r="AC564" s="114">
        <v>7</v>
      </c>
      <c r="AD564" s="172" t="s">
        <v>887</v>
      </c>
      <c r="AE564" s="114"/>
      <c r="AF564" s="114"/>
      <c r="AG564" s="114"/>
      <c r="AH564" s="106"/>
      <c r="AI564" s="114"/>
      <c r="AJ564" s="106"/>
      <c r="AK564" s="114"/>
      <c r="AL564" s="106"/>
      <c r="AM564" s="114"/>
      <c r="AN564" s="106"/>
      <c r="AO564" s="114"/>
      <c r="AP564" s="106"/>
      <c r="AQ564" s="114"/>
      <c r="AR564" s="106"/>
      <c r="AS564" s="114"/>
      <c r="AT564" s="106"/>
      <c r="AU564" s="114"/>
      <c r="AV564" s="106"/>
      <c r="AW564" s="114"/>
      <c r="AX564" s="157"/>
      <c r="AY564" s="157"/>
      <c r="AZ564" s="157"/>
      <c r="BA564" s="157"/>
      <c r="BB564" s="157"/>
      <c r="BC564" s="157"/>
    </row>
    <row r="565" spans="1:55" x14ac:dyDescent="0.3">
      <c r="A565" s="114">
        <f t="shared" si="19"/>
        <v>561</v>
      </c>
      <c r="B565" s="179" t="s">
        <v>3585</v>
      </c>
      <c r="C565" s="114">
        <v>0</v>
      </c>
      <c r="D565" s="114" t="s">
        <v>991</v>
      </c>
      <c r="E565" s="114" t="s">
        <v>944</v>
      </c>
      <c r="F565" s="114" t="s">
        <v>909</v>
      </c>
      <c r="G565" s="114"/>
      <c r="H565" s="114"/>
      <c r="I565" s="114"/>
      <c r="J565" s="114"/>
      <c r="K565" s="114"/>
      <c r="L565" s="114"/>
      <c r="M565" s="191" t="s">
        <v>874</v>
      </c>
      <c r="N565" s="114">
        <v>10</v>
      </c>
      <c r="O565" s="180" t="s">
        <v>1181</v>
      </c>
      <c r="P565" s="180" t="s">
        <v>1089</v>
      </c>
      <c r="Q565" s="180" t="s">
        <v>1181</v>
      </c>
      <c r="R565" s="180"/>
      <c r="S565" s="180"/>
      <c r="T565" s="181" t="s">
        <v>3586</v>
      </c>
      <c r="U565" s="179" t="s">
        <v>3587</v>
      </c>
      <c r="V565" s="179" t="s">
        <v>3588</v>
      </c>
      <c r="W565" s="114" t="s">
        <v>3589</v>
      </c>
      <c r="X565" s="180">
        <v>32</v>
      </c>
      <c r="Y565" s="182" t="s">
        <v>1503</v>
      </c>
      <c r="Z565" s="183" t="s">
        <v>2774</v>
      </c>
      <c r="AA565" s="184"/>
      <c r="AB565" s="182"/>
      <c r="AC565" s="114">
        <v>7</v>
      </c>
      <c r="AD565" s="172" t="s">
        <v>887</v>
      </c>
      <c r="AE565" s="114"/>
      <c r="AF565" s="114"/>
      <c r="AG565" s="114"/>
      <c r="AH565" s="106"/>
      <c r="AI565" s="114"/>
      <c r="AJ565" s="106"/>
      <c r="AK565" s="114"/>
      <c r="AL565" s="106"/>
      <c r="AM565" s="114"/>
      <c r="AN565" s="106"/>
      <c r="AO565" s="114"/>
      <c r="AP565" s="106"/>
      <c r="AQ565" s="114"/>
      <c r="AR565" s="106"/>
      <c r="AS565" s="114"/>
      <c r="AT565" s="106"/>
      <c r="AU565" s="114"/>
      <c r="AV565" s="106"/>
      <c r="AW565" s="114"/>
      <c r="AX565" s="157"/>
      <c r="AY565" s="157"/>
      <c r="AZ565" s="157"/>
      <c r="BA565" s="157"/>
      <c r="BB565" s="157"/>
      <c r="BC565" s="157"/>
    </row>
    <row r="566" spans="1:55" x14ac:dyDescent="0.3">
      <c r="A566" s="114">
        <f t="shared" si="19"/>
        <v>562</v>
      </c>
      <c r="B566" s="179" t="s">
        <v>3590</v>
      </c>
      <c r="C566" s="114">
        <v>0</v>
      </c>
      <c r="D566" s="114" t="s">
        <v>991</v>
      </c>
      <c r="E566" s="114" t="s">
        <v>966</v>
      </c>
      <c r="F566" s="114" t="s">
        <v>909</v>
      </c>
      <c r="G566" s="114"/>
      <c r="H566" s="114"/>
      <c r="I566" s="114"/>
      <c r="J566" s="114"/>
      <c r="K566" s="114"/>
      <c r="L566" s="114"/>
      <c r="M566" s="114"/>
      <c r="N566" s="114">
        <v>10</v>
      </c>
      <c r="O566" s="180">
        <v>-2147483648</v>
      </c>
      <c r="P566" s="180">
        <v>2147483647</v>
      </c>
      <c r="Q566" s="180">
        <v>0</v>
      </c>
      <c r="R566" s="180"/>
      <c r="S566" s="180"/>
      <c r="T566" s="181" t="s">
        <v>3591</v>
      </c>
      <c r="U566" s="179" t="s">
        <v>3592</v>
      </c>
      <c r="V566" s="179" t="s">
        <v>3593</v>
      </c>
      <c r="W566" s="114" t="s">
        <v>3594</v>
      </c>
      <c r="X566" s="180">
        <v>32</v>
      </c>
      <c r="Y566" s="182" t="s">
        <v>1503</v>
      </c>
      <c r="Z566" s="183" t="s">
        <v>2774</v>
      </c>
      <c r="AA566" s="184"/>
      <c r="AB566" s="182"/>
      <c r="AC566" s="114">
        <v>7</v>
      </c>
      <c r="AD566" s="172" t="s">
        <v>887</v>
      </c>
      <c r="AE566" s="114"/>
      <c r="AF566" s="114"/>
      <c r="AG566" s="114"/>
      <c r="AH566" s="106"/>
      <c r="AI566" s="114"/>
      <c r="AJ566" s="106"/>
      <c r="AK566" s="114"/>
      <c r="AL566" s="106"/>
      <c r="AM566" s="114"/>
      <c r="AN566" s="106"/>
      <c r="AO566" s="114"/>
      <c r="AP566" s="106"/>
      <c r="AQ566" s="114"/>
      <c r="AR566" s="106"/>
      <c r="AS566" s="114"/>
      <c r="AT566" s="106"/>
      <c r="AU566" s="114"/>
      <c r="AV566" s="106"/>
      <c r="AW566" s="114"/>
      <c r="AX566" s="157"/>
      <c r="AY566" s="157"/>
      <c r="AZ566" s="157"/>
      <c r="BA566" s="157"/>
      <c r="BB566" s="157"/>
      <c r="BC566" s="157"/>
    </row>
    <row r="567" spans="1:55" x14ac:dyDescent="0.3">
      <c r="A567" s="114">
        <f t="shared" si="19"/>
        <v>563</v>
      </c>
      <c r="B567" s="179" t="s">
        <v>3595</v>
      </c>
      <c r="C567" s="114">
        <v>0</v>
      </c>
      <c r="D567" s="114" t="s">
        <v>991</v>
      </c>
      <c r="E567" s="114" t="s">
        <v>944</v>
      </c>
      <c r="F567" s="114" t="s">
        <v>909</v>
      </c>
      <c r="G567" s="114"/>
      <c r="H567" s="114"/>
      <c r="I567" s="114"/>
      <c r="J567" s="114"/>
      <c r="K567" s="114"/>
      <c r="L567" s="114"/>
      <c r="M567" s="191" t="s">
        <v>874</v>
      </c>
      <c r="N567" s="114">
        <v>10</v>
      </c>
      <c r="O567" s="180" t="s">
        <v>1181</v>
      </c>
      <c r="P567" s="180" t="s">
        <v>1089</v>
      </c>
      <c r="Q567" s="180" t="s">
        <v>1181</v>
      </c>
      <c r="R567" s="180"/>
      <c r="S567" s="180"/>
      <c r="T567" s="181" t="s">
        <v>3596</v>
      </c>
      <c r="U567" s="179" t="s">
        <v>3597</v>
      </c>
      <c r="V567" s="179" t="s">
        <v>3598</v>
      </c>
      <c r="W567" s="114" t="s">
        <v>3599</v>
      </c>
      <c r="X567" s="180">
        <v>32</v>
      </c>
      <c r="Y567" s="182" t="s">
        <v>1503</v>
      </c>
      <c r="Z567" s="183" t="s">
        <v>2774</v>
      </c>
      <c r="AA567" s="184"/>
      <c r="AB567" s="182"/>
      <c r="AC567" s="114">
        <v>7</v>
      </c>
      <c r="AD567" s="172" t="s">
        <v>887</v>
      </c>
      <c r="AE567" s="114"/>
      <c r="AF567" s="114"/>
      <c r="AG567" s="114"/>
      <c r="AH567" s="106"/>
      <c r="AI567" s="114"/>
      <c r="AJ567" s="106"/>
      <c r="AK567" s="114"/>
      <c r="AL567" s="106"/>
      <c r="AM567" s="114"/>
      <c r="AN567" s="106"/>
      <c r="AO567" s="114"/>
      <c r="AP567" s="106"/>
      <c r="AQ567" s="114"/>
      <c r="AR567" s="106"/>
      <c r="AS567" s="114"/>
      <c r="AT567" s="106"/>
      <c r="AU567" s="114"/>
      <c r="AV567" s="106"/>
      <c r="AW567" s="114"/>
      <c r="AX567" s="157"/>
      <c r="AY567" s="157"/>
      <c r="AZ567" s="157"/>
      <c r="BA567" s="157"/>
      <c r="BB567" s="157"/>
      <c r="BC567" s="157"/>
    </row>
    <row r="568" spans="1:55" x14ac:dyDescent="0.3">
      <c r="A568" s="114">
        <f t="shared" si="19"/>
        <v>564</v>
      </c>
      <c r="B568" s="179" t="s">
        <v>3600</v>
      </c>
      <c r="C568" s="114">
        <v>0</v>
      </c>
      <c r="D568" s="114" t="s">
        <v>991</v>
      </c>
      <c r="E568" s="114" t="s">
        <v>966</v>
      </c>
      <c r="F568" s="114" t="s">
        <v>909</v>
      </c>
      <c r="G568" s="114"/>
      <c r="H568" s="114"/>
      <c r="I568" s="114"/>
      <c r="J568" s="114"/>
      <c r="K568" s="114"/>
      <c r="L568" s="114"/>
      <c r="M568" s="114"/>
      <c r="N568" s="114">
        <v>10</v>
      </c>
      <c r="O568" s="180">
        <v>-2147483648</v>
      </c>
      <c r="P568" s="180">
        <v>2147483647</v>
      </c>
      <c r="Q568" s="180">
        <v>0</v>
      </c>
      <c r="R568" s="180"/>
      <c r="S568" s="180"/>
      <c r="T568" s="181" t="s">
        <v>3601</v>
      </c>
      <c r="U568" s="179" t="s">
        <v>3602</v>
      </c>
      <c r="V568" s="179" t="s">
        <v>3603</v>
      </c>
      <c r="W568" s="114" t="s">
        <v>3604</v>
      </c>
      <c r="X568" s="180">
        <v>32</v>
      </c>
      <c r="Y568" s="182" t="s">
        <v>1503</v>
      </c>
      <c r="Z568" s="183" t="s">
        <v>2774</v>
      </c>
      <c r="AA568" s="184"/>
      <c r="AB568" s="182"/>
      <c r="AC568" s="114">
        <v>7</v>
      </c>
      <c r="AD568" s="172" t="s">
        <v>887</v>
      </c>
      <c r="AE568" s="114"/>
      <c r="AF568" s="114"/>
      <c r="AG568" s="114"/>
      <c r="AH568" s="106"/>
      <c r="AI568" s="114"/>
      <c r="AJ568" s="106"/>
      <c r="AK568" s="114"/>
      <c r="AL568" s="106"/>
      <c r="AM568" s="114"/>
      <c r="AN568" s="106"/>
      <c r="AO568" s="114"/>
      <c r="AP568" s="106"/>
      <c r="AQ568" s="114"/>
      <c r="AR568" s="106"/>
      <c r="AS568" s="114"/>
      <c r="AT568" s="106"/>
      <c r="AU568" s="114"/>
      <c r="AV568" s="106"/>
      <c r="AW568" s="114"/>
      <c r="AX568" s="157"/>
      <c r="AY568" s="157"/>
      <c r="AZ568" s="157"/>
      <c r="BA568" s="157"/>
      <c r="BB568" s="157"/>
      <c r="BC568" s="157"/>
    </row>
    <row r="569" spans="1:55" x14ac:dyDescent="0.3">
      <c r="A569" s="114">
        <f t="shared" si="19"/>
        <v>565</v>
      </c>
      <c r="B569" s="179" t="s">
        <v>3605</v>
      </c>
      <c r="C569" s="114">
        <v>0</v>
      </c>
      <c r="D569" s="114" t="s">
        <v>991</v>
      </c>
      <c r="E569" s="114" t="s">
        <v>944</v>
      </c>
      <c r="F569" s="114" t="s">
        <v>909</v>
      </c>
      <c r="G569" s="114"/>
      <c r="H569" s="114"/>
      <c r="I569" s="114"/>
      <c r="J569" s="114"/>
      <c r="K569" s="114"/>
      <c r="L569" s="114"/>
      <c r="M569" s="191" t="s">
        <v>874</v>
      </c>
      <c r="N569" s="114">
        <v>10</v>
      </c>
      <c r="O569" s="180" t="s">
        <v>1181</v>
      </c>
      <c r="P569" s="180" t="s">
        <v>1089</v>
      </c>
      <c r="Q569" s="180" t="s">
        <v>1181</v>
      </c>
      <c r="R569" s="180"/>
      <c r="S569" s="180"/>
      <c r="T569" s="181" t="s">
        <v>3606</v>
      </c>
      <c r="U569" s="179" t="s">
        <v>3607</v>
      </c>
      <c r="V569" s="179" t="s">
        <v>3608</v>
      </c>
      <c r="W569" s="114" t="s">
        <v>3609</v>
      </c>
      <c r="X569" s="180">
        <v>32</v>
      </c>
      <c r="Y569" s="182" t="s">
        <v>1503</v>
      </c>
      <c r="Z569" s="183" t="s">
        <v>2774</v>
      </c>
      <c r="AA569" s="184"/>
      <c r="AB569" s="182"/>
      <c r="AC569" s="114">
        <v>7</v>
      </c>
      <c r="AD569" s="172" t="s">
        <v>887</v>
      </c>
      <c r="AE569" s="114"/>
      <c r="AF569" s="114"/>
      <c r="AG569" s="114"/>
      <c r="AH569" s="106"/>
      <c r="AI569" s="114"/>
      <c r="AJ569" s="106"/>
      <c r="AK569" s="114"/>
      <c r="AL569" s="106"/>
      <c r="AM569" s="114"/>
      <c r="AN569" s="106"/>
      <c r="AO569" s="114"/>
      <c r="AP569" s="106"/>
      <c r="AQ569" s="114"/>
      <c r="AR569" s="106"/>
      <c r="AS569" s="114"/>
      <c r="AT569" s="106"/>
      <c r="AU569" s="114"/>
      <c r="AV569" s="106"/>
      <c r="AW569" s="114"/>
      <c r="AX569" s="157"/>
      <c r="AY569" s="157"/>
      <c r="AZ569" s="157"/>
      <c r="BA569" s="157"/>
      <c r="BB569" s="157"/>
      <c r="BC569" s="157"/>
    </row>
    <row r="570" spans="1:55" x14ac:dyDescent="0.3">
      <c r="A570" s="114">
        <f t="shared" si="19"/>
        <v>566</v>
      </c>
      <c r="B570" s="179" t="s">
        <v>3610</v>
      </c>
      <c r="C570" s="114">
        <v>0</v>
      </c>
      <c r="D570" s="114" t="s">
        <v>991</v>
      </c>
      <c r="E570" s="114" t="s">
        <v>966</v>
      </c>
      <c r="F570" s="114" t="s">
        <v>909</v>
      </c>
      <c r="G570" s="114"/>
      <c r="H570" s="114"/>
      <c r="I570" s="114"/>
      <c r="J570" s="114"/>
      <c r="K570" s="114"/>
      <c r="L570" s="114"/>
      <c r="M570" s="114"/>
      <c r="N570" s="114">
        <v>10</v>
      </c>
      <c r="O570" s="180">
        <v>-2147483648</v>
      </c>
      <c r="P570" s="180">
        <v>2147483647</v>
      </c>
      <c r="Q570" s="180">
        <v>0</v>
      </c>
      <c r="R570" s="180"/>
      <c r="S570" s="180"/>
      <c r="T570" s="181" t="s">
        <v>3611</v>
      </c>
      <c r="U570" s="179" t="s">
        <v>3612</v>
      </c>
      <c r="V570" s="179" t="s">
        <v>3613</v>
      </c>
      <c r="W570" s="114" t="s">
        <v>3614</v>
      </c>
      <c r="X570" s="180">
        <v>32</v>
      </c>
      <c r="Y570" s="182" t="s">
        <v>1503</v>
      </c>
      <c r="Z570" s="183" t="s">
        <v>2774</v>
      </c>
      <c r="AA570" s="184"/>
      <c r="AB570" s="182"/>
      <c r="AC570" s="114">
        <v>7</v>
      </c>
      <c r="AD570" s="172" t="s">
        <v>887</v>
      </c>
      <c r="AE570" s="114"/>
      <c r="AF570" s="114"/>
      <c r="AG570" s="114"/>
      <c r="AH570" s="106"/>
      <c r="AI570" s="114"/>
      <c r="AJ570" s="106"/>
      <c r="AK570" s="114"/>
      <c r="AL570" s="106"/>
      <c r="AM570" s="114"/>
      <c r="AN570" s="106"/>
      <c r="AO570" s="114"/>
      <c r="AP570" s="106"/>
      <c r="AQ570" s="114"/>
      <c r="AR570" s="106"/>
      <c r="AS570" s="114"/>
      <c r="AT570" s="106"/>
      <c r="AU570" s="114"/>
      <c r="AV570" s="106"/>
      <c r="AW570" s="114"/>
      <c r="AX570" s="157"/>
      <c r="AY570" s="157"/>
      <c r="AZ570" s="157"/>
      <c r="BA570" s="157"/>
      <c r="BB570" s="157"/>
      <c r="BC570" s="157"/>
    </row>
    <row r="571" spans="1:55" x14ac:dyDescent="0.3">
      <c r="A571" s="114">
        <f>A570+1</f>
        <v>567</v>
      </c>
      <c r="B571" s="179" t="s">
        <v>3615</v>
      </c>
      <c r="C571" s="114">
        <v>0</v>
      </c>
      <c r="D571" s="114" t="s">
        <v>991</v>
      </c>
      <c r="E571" s="114" t="s">
        <v>944</v>
      </c>
      <c r="F571" s="114" t="s">
        <v>909</v>
      </c>
      <c r="G571" s="114"/>
      <c r="H571" s="114"/>
      <c r="I571" s="114"/>
      <c r="J571" s="114"/>
      <c r="K571" s="114"/>
      <c r="L571" s="114"/>
      <c r="M571" s="191" t="s">
        <v>874</v>
      </c>
      <c r="N571" s="114">
        <v>10</v>
      </c>
      <c r="O571" s="180" t="s">
        <v>1181</v>
      </c>
      <c r="P571" s="180" t="s">
        <v>1089</v>
      </c>
      <c r="Q571" s="180" t="s">
        <v>1181</v>
      </c>
      <c r="R571" s="180"/>
      <c r="S571" s="180"/>
      <c r="T571" s="181" t="s">
        <v>3616</v>
      </c>
      <c r="U571" s="179" t="s">
        <v>3617</v>
      </c>
      <c r="V571" s="179" t="s">
        <v>3618</v>
      </c>
      <c r="W571" s="114" t="s">
        <v>3619</v>
      </c>
      <c r="X571" s="180">
        <v>32</v>
      </c>
      <c r="Y571" s="182" t="s">
        <v>1503</v>
      </c>
      <c r="Z571" s="183" t="s">
        <v>2774</v>
      </c>
      <c r="AA571" s="184"/>
      <c r="AB571" s="182"/>
      <c r="AC571" s="114">
        <v>7</v>
      </c>
      <c r="AD571" s="172" t="s">
        <v>887</v>
      </c>
      <c r="AE571" s="114"/>
      <c r="AF571" s="114"/>
      <c r="AG571" s="114"/>
      <c r="AH571" s="106"/>
      <c r="AI571" s="114"/>
      <c r="AJ571" s="106"/>
      <c r="AK571" s="114"/>
      <c r="AL571" s="106"/>
      <c r="AM571" s="114"/>
      <c r="AN571" s="106"/>
      <c r="AO571" s="114"/>
      <c r="AP571" s="106"/>
      <c r="AQ571" s="114"/>
      <c r="AR571" s="106"/>
      <c r="AS571" s="114"/>
      <c r="AT571" s="106"/>
      <c r="AU571" s="114"/>
      <c r="AV571" s="106"/>
      <c r="AW571" s="114"/>
      <c r="AX571" s="157"/>
      <c r="AY571" s="157"/>
      <c r="AZ571" s="157"/>
      <c r="BA571" s="157"/>
      <c r="BB571" s="157"/>
      <c r="BC571" s="157"/>
    </row>
    <row r="572" spans="1:55" x14ac:dyDescent="0.3">
      <c r="A572" s="114">
        <f t="shared" ref="A572:A582" si="20">A571+1</f>
        <v>568</v>
      </c>
      <c r="B572" s="179" t="s">
        <v>3620</v>
      </c>
      <c r="C572" s="114">
        <v>0</v>
      </c>
      <c r="D572" s="114" t="s">
        <v>991</v>
      </c>
      <c r="E572" s="114" t="s">
        <v>966</v>
      </c>
      <c r="F572" s="114" t="s">
        <v>909</v>
      </c>
      <c r="G572" s="114"/>
      <c r="H572" s="114"/>
      <c r="I572" s="114"/>
      <c r="J572" s="114"/>
      <c r="K572" s="114"/>
      <c r="L572" s="114"/>
      <c r="M572" s="114"/>
      <c r="N572" s="114">
        <v>10</v>
      </c>
      <c r="O572" s="180">
        <v>-2147483648</v>
      </c>
      <c r="P572" s="180">
        <v>2147483647</v>
      </c>
      <c r="Q572" s="180">
        <v>0</v>
      </c>
      <c r="R572" s="180"/>
      <c r="S572" s="180"/>
      <c r="T572" s="181" t="s">
        <v>3621</v>
      </c>
      <c r="U572" s="179" t="s">
        <v>3622</v>
      </c>
      <c r="V572" s="179" t="s">
        <v>3623</v>
      </c>
      <c r="W572" s="114" t="s">
        <v>3624</v>
      </c>
      <c r="X572" s="180">
        <v>32</v>
      </c>
      <c r="Y572" s="182" t="s">
        <v>1503</v>
      </c>
      <c r="Z572" s="183" t="s">
        <v>2774</v>
      </c>
      <c r="AA572" s="184"/>
      <c r="AB572" s="182"/>
      <c r="AC572" s="114">
        <v>7</v>
      </c>
      <c r="AD572" s="172" t="s">
        <v>887</v>
      </c>
      <c r="AE572" s="114"/>
      <c r="AF572" s="114"/>
      <c r="AG572" s="114"/>
      <c r="AH572" s="106"/>
      <c r="AI572" s="114"/>
      <c r="AJ572" s="106"/>
      <c r="AK572" s="114"/>
      <c r="AL572" s="106"/>
      <c r="AM572" s="114"/>
      <c r="AN572" s="106"/>
      <c r="AO572" s="114"/>
      <c r="AP572" s="106"/>
      <c r="AQ572" s="114"/>
      <c r="AR572" s="106"/>
      <c r="AS572" s="114"/>
      <c r="AT572" s="106"/>
      <c r="AU572" s="114"/>
      <c r="AV572" s="106"/>
      <c r="AW572" s="114"/>
      <c r="AX572" s="157"/>
      <c r="AY572" s="157"/>
      <c r="AZ572" s="157"/>
      <c r="BA572" s="157"/>
      <c r="BB572" s="157"/>
      <c r="BC572" s="157"/>
    </row>
    <row r="573" spans="1:55" x14ac:dyDescent="0.3">
      <c r="A573" s="114">
        <f t="shared" si="20"/>
        <v>569</v>
      </c>
      <c r="B573" s="179" t="s">
        <v>3625</v>
      </c>
      <c r="C573" s="114">
        <v>0</v>
      </c>
      <c r="D573" s="114" t="s">
        <v>991</v>
      </c>
      <c r="E573" s="114" t="s">
        <v>944</v>
      </c>
      <c r="F573" s="114" t="s">
        <v>909</v>
      </c>
      <c r="G573" s="114"/>
      <c r="H573" s="114"/>
      <c r="I573" s="114"/>
      <c r="J573" s="114"/>
      <c r="K573" s="114"/>
      <c r="L573" s="114"/>
      <c r="M573" s="191" t="s">
        <v>874</v>
      </c>
      <c r="N573" s="114">
        <v>10</v>
      </c>
      <c r="O573" s="180" t="s">
        <v>1181</v>
      </c>
      <c r="P573" s="180" t="s">
        <v>1089</v>
      </c>
      <c r="Q573" s="180" t="s">
        <v>1181</v>
      </c>
      <c r="R573" s="180"/>
      <c r="S573" s="180"/>
      <c r="T573" s="181" t="s">
        <v>3626</v>
      </c>
      <c r="U573" s="179" t="s">
        <v>3627</v>
      </c>
      <c r="V573" s="179" t="s">
        <v>3628</v>
      </c>
      <c r="W573" s="114" t="s">
        <v>3629</v>
      </c>
      <c r="X573" s="180">
        <v>32</v>
      </c>
      <c r="Y573" s="182" t="s">
        <v>1503</v>
      </c>
      <c r="Z573" s="183" t="s">
        <v>2774</v>
      </c>
      <c r="AA573" s="184"/>
      <c r="AB573" s="182"/>
      <c r="AC573" s="114">
        <v>7</v>
      </c>
      <c r="AD573" s="172" t="s">
        <v>887</v>
      </c>
      <c r="AE573" s="114"/>
      <c r="AF573" s="114"/>
      <c r="AG573" s="114"/>
      <c r="AH573" s="106"/>
      <c r="AI573" s="114"/>
      <c r="AJ573" s="106"/>
      <c r="AK573" s="114"/>
      <c r="AL573" s="106"/>
      <c r="AM573" s="114"/>
      <c r="AN573" s="106"/>
      <c r="AO573" s="114"/>
      <c r="AP573" s="106"/>
      <c r="AQ573" s="114"/>
      <c r="AR573" s="106"/>
      <c r="AS573" s="114"/>
      <c r="AT573" s="106"/>
      <c r="AU573" s="114"/>
      <c r="AV573" s="106"/>
      <c r="AW573" s="114"/>
      <c r="AX573" s="157"/>
      <c r="AY573" s="157"/>
      <c r="AZ573" s="157"/>
      <c r="BA573" s="157"/>
      <c r="BB573" s="157"/>
      <c r="BC573" s="157"/>
    </row>
    <row r="574" spans="1:55" x14ac:dyDescent="0.3">
      <c r="A574" s="114">
        <f t="shared" si="20"/>
        <v>570</v>
      </c>
      <c r="B574" s="179" t="s">
        <v>3630</v>
      </c>
      <c r="C574" s="114">
        <v>0</v>
      </c>
      <c r="D574" s="114" t="s">
        <v>991</v>
      </c>
      <c r="E574" s="114" t="s">
        <v>966</v>
      </c>
      <c r="F574" s="114" t="s">
        <v>909</v>
      </c>
      <c r="G574" s="114"/>
      <c r="H574" s="114"/>
      <c r="I574" s="114"/>
      <c r="J574" s="114"/>
      <c r="K574" s="114"/>
      <c r="L574" s="114"/>
      <c r="M574" s="114"/>
      <c r="N574" s="114">
        <v>10</v>
      </c>
      <c r="O574" s="180">
        <v>-2147483648</v>
      </c>
      <c r="P574" s="180">
        <v>2147483647</v>
      </c>
      <c r="Q574" s="180">
        <v>0</v>
      </c>
      <c r="R574" s="180"/>
      <c r="S574" s="180"/>
      <c r="T574" s="181" t="s">
        <v>3631</v>
      </c>
      <c r="U574" s="179" t="s">
        <v>3632</v>
      </c>
      <c r="V574" s="179" t="s">
        <v>3633</v>
      </c>
      <c r="W574" s="114" t="s">
        <v>3634</v>
      </c>
      <c r="X574" s="180">
        <v>32</v>
      </c>
      <c r="Y574" s="182" t="s">
        <v>1503</v>
      </c>
      <c r="Z574" s="183" t="s">
        <v>2774</v>
      </c>
      <c r="AA574" s="184"/>
      <c r="AB574" s="182"/>
      <c r="AC574" s="114">
        <v>7</v>
      </c>
      <c r="AD574" s="172" t="s">
        <v>887</v>
      </c>
      <c r="AE574" s="114"/>
      <c r="AF574" s="114"/>
      <c r="AG574" s="114"/>
      <c r="AH574" s="106"/>
      <c r="AI574" s="114"/>
      <c r="AJ574" s="106"/>
      <c r="AK574" s="114"/>
      <c r="AL574" s="106"/>
      <c r="AM574" s="114"/>
      <c r="AN574" s="106"/>
      <c r="AO574" s="114"/>
      <c r="AP574" s="106"/>
      <c r="AQ574" s="114"/>
      <c r="AR574" s="106"/>
      <c r="AS574" s="114"/>
      <c r="AT574" s="106"/>
      <c r="AU574" s="114"/>
      <c r="AV574" s="106"/>
      <c r="AW574" s="114"/>
      <c r="AX574" s="157"/>
      <c r="AY574" s="157"/>
      <c r="AZ574" s="157"/>
      <c r="BA574" s="157"/>
      <c r="BB574" s="157"/>
      <c r="BC574" s="157"/>
    </row>
    <row r="575" spans="1:55" x14ac:dyDescent="0.3">
      <c r="A575" s="114">
        <f t="shared" si="20"/>
        <v>571</v>
      </c>
      <c r="B575" s="179" t="s">
        <v>3635</v>
      </c>
      <c r="C575" s="114">
        <v>0</v>
      </c>
      <c r="D575" s="114" t="s">
        <v>991</v>
      </c>
      <c r="E575" s="114" t="s">
        <v>944</v>
      </c>
      <c r="F575" s="114" t="s">
        <v>909</v>
      </c>
      <c r="G575" s="114"/>
      <c r="H575" s="114"/>
      <c r="I575" s="114"/>
      <c r="J575" s="114"/>
      <c r="K575" s="114"/>
      <c r="L575" s="114"/>
      <c r="M575" s="191" t="s">
        <v>874</v>
      </c>
      <c r="N575" s="114">
        <v>10</v>
      </c>
      <c r="O575" s="180" t="s">
        <v>1181</v>
      </c>
      <c r="P575" s="180" t="s">
        <v>1089</v>
      </c>
      <c r="Q575" s="180" t="s">
        <v>1181</v>
      </c>
      <c r="R575" s="180"/>
      <c r="S575" s="180"/>
      <c r="T575" s="181" t="s">
        <v>3636</v>
      </c>
      <c r="U575" s="179" t="s">
        <v>3637</v>
      </c>
      <c r="V575" s="179" t="s">
        <v>3638</v>
      </c>
      <c r="W575" s="114" t="s">
        <v>3639</v>
      </c>
      <c r="X575" s="180">
        <v>32</v>
      </c>
      <c r="Y575" s="182" t="s">
        <v>1503</v>
      </c>
      <c r="Z575" s="183" t="s">
        <v>2774</v>
      </c>
      <c r="AA575" s="184"/>
      <c r="AB575" s="182"/>
      <c r="AC575" s="114">
        <v>7</v>
      </c>
      <c r="AD575" s="172" t="s">
        <v>887</v>
      </c>
      <c r="AE575" s="114"/>
      <c r="AF575" s="114"/>
      <c r="AG575" s="114"/>
      <c r="AH575" s="106"/>
      <c r="AI575" s="114"/>
      <c r="AJ575" s="106"/>
      <c r="AK575" s="114"/>
      <c r="AL575" s="106"/>
      <c r="AM575" s="114"/>
      <c r="AN575" s="106"/>
      <c r="AO575" s="114"/>
      <c r="AP575" s="106"/>
      <c r="AQ575" s="114"/>
      <c r="AR575" s="106"/>
      <c r="AS575" s="114"/>
      <c r="AT575" s="106"/>
      <c r="AU575" s="114"/>
      <c r="AV575" s="106"/>
      <c r="AW575" s="114"/>
      <c r="AX575" s="157"/>
      <c r="AY575" s="157"/>
      <c r="AZ575" s="157"/>
      <c r="BA575" s="157"/>
      <c r="BB575" s="157"/>
      <c r="BC575" s="157"/>
    </row>
    <row r="576" spans="1:55" x14ac:dyDescent="0.3">
      <c r="A576" s="114">
        <f t="shared" si="20"/>
        <v>572</v>
      </c>
      <c r="B576" s="179" t="s">
        <v>3640</v>
      </c>
      <c r="C576" s="114">
        <v>0</v>
      </c>
      <c r="D576" s="114" t="s">
        <v>991</v>
      </c>
      <c r="E576" s="114" t="s">
        <v>966</v>
      </c>
      <c r="F576" s="114" t="s">
        <v>909</v>
      </c>
      <c r="G576" s="114"/>
      <c r="H576" s="114"/>
      <c r="I576" s="114"/>
      <c r="J576" s="114"/>
      <c r="K576" s="114"/>
      <c r="L576" s="114"/>
      <c r="M576" s="114"/>
      <c r="N576" s="114">
        <v>10</v>
      </c>
      <c r="O576" s="180">
        <v>-2147483648</v>
      </c>
      <c r="P576" s="180">
        <v>2147483647</v>
      </c>
      <c r="Q576" s="180">
        <v>0</v>
      </c>
      <c r="R576" s="180"/>
      <c r="S576" s="180"/>
      <c r="T576" s="181" t="s">
        <v>3641</v>
      </c>
      <c r="U576" s="179" t="s">
        <v>3642</v>
      </c>
      <c r="V576" s="179" t="s">
        <v>3643</v>
      </c>
      <c r="W576" s="114" t="s">
        <v>3644</v>
      </c>
      <c r="X576" s="180">
        <v>32</v>
      </c>
      <c r="Y576" s="182" t="s">
        <v>1503</v>
      </c>
      <c r="Z576" s="183" t="s">
        <v>2774</v>
      </c>
      <c r="AA576" s="184"/>
      <c r="AB576" s="182"/>
      <c r="AC576" s="114">
        <v>7</v>
      </c>
      <c r="AD576" s="172" t="s">
        <v>887</v>
      </c>
      <c r="AE576" s="114"/>
      <c r="AF576" s="114"/>
      <c r="AG576" s="114"/>
      <c r="AH576" s="106"/>
      <c r="AI576" s="114"/>
      <c r="AJ576" s="106"/>
      <c r="AK576" s="114"/>
      <c r="AL576" s="106"/>
      <c r="AM576" s="114"/>
      <c r="AN576" s="106"/>
      <c r="AO576" s="114"/>
      <c r="AP576" s="106"/>
      <c r="AQ576" s="114"/>
      <c r="AR576" s="106"/>
      <c r="AS576" s="114"/>
      <c r="AT576" s="106"/>
      <c r="AU576" s="114"/>
      <c r="AV576" s="106"/>
      <c r="AW576" s="114"/>
      <c r="AX576" s="157"/>
      <c r="AY576" s="157"/>
      <c r="AZ576" s="157"/>
      <c r="BA576" s="157"/>
      <c r="BB576" s="157"/>
      <c r="BC576" s="157"/>
    </row>
    <row r="577" spans="1:55" x14ac:dyDescent="0.3">
      <c r="A577" s="114">
        <f t="shared" si="20"/>
        <v>573</v>
      </c>
      <c r="B577" s="179" t="s">
        <v>3645</v>
      </c>
      <c r="C577" s="114">
        <v>0</v>
      </c>
      <c r="D577" s="114" t="s">
        <v>991</v>
      </c>
      <c r="E577" s="114" t="s">
        <v>944</v>
      </c>
      <c r="F577" s="114" t="s">
        <v>909</v>
      </c>
      <c r="G577" s="114"/>
      <c r="H577" s="114"/>
      <c r="I577" s="114"/>
      <c r="J577" s="114"/>
      <c r="K577" s="114"/>
      <c r="L577" s="114"/>
      <c r="M577" s="191" t="s">
        <v>874</v>
      </c>
      <c r="N577" s="114">
        <v>10</v>
      </c>
      <c r="O577" s="180" t="s">
        <v>1181</v>
      </c>
      <c r="P577" s="180" t="s">
        <v>1089</v>
      </c>
      <c r="Q577" s="180" t="s">
        <v>1181</v>
      </c>
      <c r="R577" s="180"/>
      <c r="S577" s="180"/>
      <c r="T577" s="181" t="s">
        <v>3646</v>
      </c>
      <c r="U577" s="179" t="s">
        <v>3647</v>
      </c>
      <c r="V577" s="179" t="s">
        <v>3648</v>
      </c>
      <c r="W577" s="114" t="s">
        <v>3649</v>
      </c>
      <c r="X577" s="180">
        <v>32</v>
      </c>
      <c r="Y577" s="182" t="s">
        <v>1503</v>
      </c>
      <c r="Z577" s="183" t="s">
        <v>2774</v>
      </c>
      <c r="AA577" s="184"/>
      <c r="AB577" s="182"/>
      <c r="AC577" s="114">
        <v>7</v>
      </c>
      <c r="AD577" s="172" t="s">
        <v>887</v>
      </c>
      <c r="AE577" s="114"/>
      <c r="AF577" s="114"/>
      <c r="AG577" s="114"/>
      <c r="AH577" s="106"/>
      <c r="AI577" s="114"/>
      <c r="AJ577" s="106"/>
      <c r="AK577" s="114"/>
      <c r="AL577" s="106"/>
      <c r="AM577" s="114"/>
      <c r="AN577" s="106"/>
      <c r="AO577" s="114"/>
      <c r="AP577" s="106"/>
      <c r="AQ577" s="114"/>
      <c r="AR577" s="106"/>
      <c r="AS577" s="114"/>
      <c r="AT577" s="106"/>
      <c r="AU577" s="114"/>
      <c r="AV577" s="106"/>
      <c r="AW577" s="114"/>
      <c r="AX577" s="157"/>
      <c r="AY577" s="157"/>
      <c r="AZ577" s="157"/>
      <c r="BA577" s="157"/>
      <c r="BB577" s="157"/>
      <c r="BC577" s="157"/>
    </row>
    <row r="578" spans="1:55" x14ac:dyDescent="0.3">
      <c r="A578" s="114">
        <f t="shared" si="20"/>
        <v>574</v>
      </c>
      <c r="B578" s="179" t="s">
        <v>3650</v>
      </c>
      <c r="C578" s="114">
        <v>0</v>
      </c>
      <c r="D578" s="114" t="s">
        <v>991</v>
      </c>
      <c r="E578" s="114" t="s">
        <v>966</v>
      </c>
      <c r="F578" s="114" t="s">
        <v>909</v>
      </c>
      <c r="G578" s="114"/>
      <c r="H578" s="114"/>
      <c r="I578" s="114"/>
      <c r="J578" s="114"/>
      <c r="K578" s="114"/>
      <c r="L578" s="114"/>
      <c r="M578" s="114"/>
      <c r="N578" s="114">
        <v>10</v>
      </c>
      <c r="O578" s="180">
        <v>-2147483648</v>
      </c>
      <c r="P578" s="180">
        <v>2147483647</v>
      </c>
      <c r="Q578" s="180">
        <v>0</v>
      </c>
      <c r="R578" s="180"/>
      <c r="S578" s="180"/>
      <c r="T578" s="181" t="s">
        <v>3651</v>
      </c>
      <c r="U578" s="179" t="s">
        <v>3652</v>
      </c>
      <c r="V578" s="179" t="s">
        <v>3653</v>
      </c>
      <c r="W578" s="114" t="s">
        <v>3654</v>
      </c>
      <c r="X578" s="180">
        <v>32</v>
      </c>
      <c r="Y578" s="182" t="s">
        <v>1503</v>
      </c>
      <c r="Z578" s="183" t="s">
        <v>2774</v>
      </c>
      <c r="AA578" s="184"/>
      <c r="AB578" s="182"/>
      <c r="AC578" s="114">
        <v>7</v>
      </c>
      <c r="AD578" s="172" t="s">
        <v>887</v>
      </c>
      <c r="AE578" s="114"/>
      <c r="AF578" s="114"/>
      <c r="AG578" s="114"/>
      <c r="AH578" s="106"/>
      <c r="AI578" s="114"/>
      <c r="AJ578" s="106"/>
      <c r="AK578" s="114"/>
      <c r="AL578" s="106"/>
      <c r="AM578" s="114"/>
      <c r="AN578" s="106"/>
      <c r="AO578" s="114"/>
      <c r="AP578" s="106"/>
      <c r="AQ578" s="114"/>
      <c r="AR578" s="106"/>
      <c r="AS578" s="114"/>
      <c r="AT578" s="106"/>
      <c r="AU578" s="114"/>
      <c r="AV578" s="106"/>
      <c r="AW578" s="114"/>
      <c r="AX578" s="157"/>
      <c r="AY578" s="157"/>
      <c r="AZ578" s="157"/>
      <c r="BA578" s="157"/>
      <c r="BB578" s="157"/>
      <c r="BC578" s="157"/>
    </row>
    <row r="579" spans="1:55" x14ac:dyDescent="0.3">
      <c r="A579" s="114">
        <f t="shared" si="20"/>
        <v>575</v>
      </c>
      <c r="B579" s="179" t="s">
        <v>3655</v>
      </c>
      <c r="C579" s="114">
        <v>0</v>
      </c>
      <c r="D579" s="114" t="s">
        <v>991</v>
      </c>
      <c r="E579" s="114" t="s">
        <v>944</v>
      </c>
      <c r="F579" s="114" t="s">
        <v>909</v>
      </c>
      <c r="G579" s="114"/>
      <c r="H579" s="114"/>
      <c r="I579" s="114"/>
      <c r="J579" s="114"/>
      <c r="K579" s="114"/>
      <c r="L579" s="114"/>
      <c r="M579" s="191" t="s">
        <v>874</v>
      </c>
      <c r="N579" s="114">
        <v>10</v>
      </c>
      <c r="O579" s="180" t="s">
        <v>1181</v>
      </c>
      <c r="P579" s="180" t="s">
        <v>1089</v>
      </c>
      <c r="Q579" s="180" t="s">
        <v>1181</v>
      </c>
      <c r="R579" s="180"/>
      <c r="S579" s="180"/>
      <c r="T579" s="181" t="s">
        <v>3656</v>
      </c>
      <c r="U579" s="179" t="s">
        <v>3657</v>
      </c>
      <c r="V579" s="179" t="s">
        <v>3658</v>
      </c>
      <c r="W579" s="114" t="s">
        <v>3659</v>
      </c>
      <c r="X579" s="180">
        <v>32</v>
      </c>
      <c r="Y579" s="182" t="s">
        <v>1503</v>
      </c>
      <c r="Z579" s="183" t="s">
        <v>2774</v>
      </c>
      <c r="AA579" s="184"/>
      <c r="AB579" s="182"/>
      <c r="AC579" s="114">
        <v>7</v>
      </c>
      <c r="AD579" s="172" t="s">
        <v>887</v>
      </c>
      <c r="AE579" s="114"/>
      <c r="AF579" s="114"/>
      <c r="AG579" s="114"/>
      <c r="AH579" s="106"/>
      <c r="AI579" s="114"/>
      <c r="AJ579" s="106"/>
      <c r="AK579" s="114"/>
      <c r="AL579" s="106"/>
      <c r="AM579" s="114"/>
      <c r="AN579" s="106"/>
      <c r="AO579" s="114"/>
      <c r="AP579" s="106"/>
      <c r="AQ579" s="114"/>
      <c r="AR579" s="106"/>
      <c r="AS579" s="114"/>
      <c r="AT579" s="106"/>
      <c r="AU579" s="114"/>
      <c r="AV579" s="106"/>
      <c r="AW579" s="114"/>
      <c r="AX579" s="157"/>
      <c r="AY579" s="157"/>
      <c r="AZ579" s="157"/>
      <c r="BA579" s="157"/>
      <c r="BB579" s="157"/>
      <c r="BC579" s="157"/>
    </row>
    <row r="580" spans="1:55" x14ac:dyDescent="0.3">
      <c r="A580" s="114">
        <f t="shared" si="20"/>
        <v>576</v>
      </c>
      <c r="B580" s="179" t="s">
        <v>3660</v>
      </c>
      <c r="C580" s="114">
        <v>0</v>
      </c>
      <c r="D580" s="114" t="s">
        <v>991</v>
      </c>
      <c r="E580" s="114" t="s">
        <v>966</v>
      </c>
      <c r="F580" s="114" t="s">
        <v>909</v>
      </c>
      <c r="G580" s="114"/>
      <c r="H580" s="114"/>
      <c r="I580" s="114"/>
      <c r="J580" s="114"/>
      <c r="K580" s="114"/>
      <c r="L580" s="114"/>
      <c r="M580" s="114"/>
      <c r="N580" s="114">
        <v>10</v>
      </c>
      <c r="O580" s="180">
        <v>-2147483648</v>
      </c>
      <c r="P580" s="180">
        <v>2147483647</v>
      </c>
      <c r="Q580" s="180">
        <v>0</v>
      </c>
      <c r="R580" s="180"/>
      <c r="S580" s="180"/>
      <c r="T580" s="181" t="s">
        <v>3661</v>
      </c>
      <c r="U580" s="179" t="s">
        <v>3662</v>
      </c>
      <c r="V580" s="179" t="s">
        <v>3663</v>
      </c>
      <c r="W580" s="114" t="s">
        <v>3664</v>
      </c>
      <c r="X580" s="180">
        <v>32</v>
      </c>
      <c r="Y580" s="182" t="s">
        <v>1503</v>
      </c>
      <c r="Z580" s="183" t="s">
        <v>2774</v>
      </c>
      <c r="AA580" s="184"/>
      <c r="AB580" s="182"/>
      <c r="AC580" s="114">
        <v>7</v>
      </c>
      <c r="AD580" s="172" t="s">
        <v>887</v>
      </c>
      <c r="AE580" s="114"/>
      <c r="AF580" s="114"/>
      <c r="AG580" s="114"/>
      <c r="AH580" s="106"/>
      <c r="AI580" s="114"/>
      <c r="AJ580" s="106"/>
      <c r="AK580" s="114"/>
      <c r="AL580" s="106"/>
      <c r="AM580" s="114"/>
      <c r="AN580" s="106"/>
      <c r="AO580" s="114"/>
      <c r="AP580" s="106"/>
      <c r="AQ580" s="114"/>
      <c r="AR580" s="106"/>
      <c r="AS580" s="114"/>
      <c r="AT580" s="106"/>
      <c r="AU580" s="114"/>
      <c r="AV580" s="106"/>
      <c r="AW580" s="114"/>
      <c r="AX580" s="157"/>
      <c r="AY580" s="157"/>
      <c r="AZ580" s="157"/>
      <c r="BA580" s="157"/>
      <c r="BB580" s="157"/>
      <c r="BC580" s="157"/>
    </row>
    <row r="581" spans="1:55" x14ac:dyDescent="0.3">
      <c r="A581" s="114">
        <f t="shared" si="20"/>
        <v>577</v>
      </c>
      <c r="B581" s="179" t="s">
        <v>3665</v>
      </c>
      <c r="C581" s="114">
        <v>0</v>
      </c>
      <c r="D581" s="114" t="s">
        <v>991</v>
      </c>
      <c r="E581" s="114" t="s">
        <v>944</v>
      </c>
      <c r="F581" s="114" t="s">
        <v>909</v>
      </c>
      <c r="G581" s="114"/>
      <c r="H581" s="114"/>
      <c r="I581" s="114"/>
      <c r="J581" s="114"/>
      <c r="K581" s="114"/>
      <c r="L581" s="114"/>
      <c r="M581" s="191" t="s">
        <v>874</v>
      </c>
      <c r="N581" s="114">
        <v>10</v>
      </c>
      <c r="O581" s="180" t="s">
        <v>1181</v>
      </c>
      <c r="P581" s="180" t="s">
        <v>1089</v>
      </c>
      <c r="Q581" s="180" t="s">
        <v>1181</v>
      </c>
      <c r="R581" s="180"/>
      <c r="S581" s="180"/>
      <c r="T581" s="181" t="s">
        <v>3666</v>
      </c>
      <c r="U581" s="179" t="s">
        <v>3667</v>
      </c>
      <c r="V581" s="179" t="s">
        <v>3668</v>
      </c>
      <c r="W581" s="114" t="s">
        <v>3669</v>
      </c>
      <c r="X581" s="180">
        <v>32</v>
      </c>
      <c r="Y581" s="182" t="s">
        <v>1503</v>
      </c>
      <c r="Z581" s="183" t="s">
        <v>2774</v>
      </c>
      <c r="AA581" s="184"/>
      <c r="AB581" s="182"/>
      <c r="AC581" s="114">
        <v>7</v>
      </c>
      <c r="AD581" s="172" t="s">
        <v>887</v>
      </c>
      <c r="AE581" s="114"/>
      <c r="AF581" s="114"/>
      <c r="AG581" s="114"/>
      <c r="AH581" s="106"/>
      <c r="AI581" s="114"/>
      <c r="AJ581" s="106"/>
      <c r="AK581" s="114"/>
      <c r="AL581" s="106"/>
      <c r="AM581" s="114"/>
      <c r="AN581" s="106"/>
      <c r="AO581" s="114"/>
      <c r="AP581" s="106"/>
      <c r="AQ581" s="114"/>
      <c r="AR581" s="106"/>
      <c r="AS581" s="114"/>
      <c r="AT581" s="106"/>
      <c r="AU581" s="114"/>
      <c r="AV581" s="106"/>
      <c r="AW581" s="114"/>
      <c r="AX581" s="157"/>
      <c r="AY581" s="157"/>
      <c r="AZ581" s="157"/>
      <c r="BA581" s="157"/>
      <c r="BB581" s="157"/>
      <c r="BC581" s="157"/>
    </row>
    <row r="582" spans="1:55" x14ac:dyDescent="0.3">
      <c r="A582" s="114">
        <f t="shared" si="20"/>
        <v>578</v>
      </c>
      <c r="B582" s="179" t="s">
        <v>3670</v>
      </c>
      <c r="C582" s="114">
        <v>0</v>
      </c>
      <c r="D582" s="114" t="s">
        <v>991</v>
      </c>
      <c r="E582" s="114" t="s">
        <v>966</v>
      </c>
      <c r="F582" s="114" t="s">
        <v>909</v>
      </c>
      <c r="G582" s="114"/>
      <c r="H582" s="114"/>
      <c r="I582" s="114"/>
      <c r="J582" s="114"/>
      <c r="K582" s="114"/>
      <c r="L582" s="114"/>
      <c r="M582" s="114"/>
      <c r="N582" s="114">
        <v>10</v>
      </c>
      <c r="O582" s="180">
        <v>-2147483648</v>
      </c>
      <c r="P582" s="180">
        <v>2147483647</v>
      </c>
      <c r="Q582" s="180">
        <v>0</v>
      </c>
      <c r="R582" s="180"/>
      <c r="S582" s="180"/>
      <c r="T582" s="181" t="s">
        <v>3671</v>
      </c>
      <c r="U582" s="179" t="s">
        <v>3672</v>
      </c>
      <c r="V582" s="179" t="s">
        <v>3673</v>
      </c>
      <c r="W582" s="114" t="s">
        <v>3674</v>
      </c>
      <c r="X582" s="180">
        <v>32</v>
      </c>
      <c r="Y582" s="182" t="s">
        <v>1503</v>
      </c>
      <c r="Z582" s="183" t="s">
        <v>2774</v>
      </c>
      <c r="AA582" s="184"/>
      <c r="AB582" s="182"/>
      <c r="AC582" s="114">
        <v>7</v>
      </c>
      <c r="AD582" s="172" t="s">
        <v>887</v>
      </c>
      <c r="AE582" s="114"/>
      <c r="AF582" s="114"/>
      <c r="AG582" s="114"/>
      <c r="AH582" s="106"/>
      <c r="AI582" s="114"/>
      <c r="AJ582" s="106"/>
      <c r="AK582" s="114"/>
      <c r="AL582" s="106"/>
      <c r="AM582" s="114"/>
      <c r="AN582" s="106"/>
      <c r="AO582" s="114"/>
      <c r="AP582" s="106"/>
      <c r="AQ582" s="114"/>
      <c r="AR582" s="106"/>
      <c r="AS582" s="114"/>
      <c r="AT582" s="106"/>
      <c r="AU582" s="114"/>
      <c r="AV582" s="106"/>
      <c r="AW582" s="114"/>
      <c r="AX582" s="157"/>
      <c r="AY582" s="157"/>
      <c r="AZ582" s="157"/>
      <c r="BA582" s="157"/>
      <c r="BB582" s="157"/>
      <c r="BC582" s="157"/>
    </row>
    <row r="583" spans="1:55" x14ac:dyDescent="0.3">
      <c r="A583" s="114">
        <f>A582+1</f>
        <v>579</v>
      </c>
      <c r="B583" s="179" t="s">
        <v>3675</v>
      </c>
      <c r="C583" s="114">
        <v>0</v>
      </c>
      <c r="D583" s="114" t="s">
        <v>991</v>
      </c>
      <c r="E583" s="114" t="s">
        <v>944</v>
      </c>
      <c r="F583" s="114" t="s">
        <v>909</v>
      </c>
      <c r="G583" s="114"/>
      <c r="H583" s="114"/>
      <c r="I583" s="114"/>
      <c r="J583" s="114"/>
      <c r="K583" s="114"/>
      <c r="L583" s="114"/>
      <c r="M583" s="191" t="s">
        <v>874</v>
      </c>
      <c r="N583" s="114">
        <v>10</v>
      </c>
      <c r="O583" s="180" t="s">
        <v>1181</v>
      </c>
      <c r="P583" s="180" t="s">
        <v>1089</v>
      </c>
      <c r="Q583" s="180" t="s">
        <v>1181</v>
      </c>
      <c r="R583" s="180"/>
      <c r="S583" s="180"/>
      <c r="T583" s="181" t="s">
        <v>3676</v>
      </c>
      <c r="U583" s="179" t="s">
        <v>3677</v>
      </c>
      <c r="V583" s="179" t="s">
        <v>3678</v>
      </c>
      <c r="W583" s="114" t="s">
        <v>3679</v>
      </c>
      <c r="X583" s="180">
        <v>32</v>
      </c>
      <c r="Y583" s="182" t="s">
        <v>1503</v>
      </c>
      <c r="Z583" s="183" t="s">
        <v>2774</v>
      </c>
      <c r="AA583" s="184"/>
      <c r="AB583" s="182"/>
      <c r="AC583" s="114">
        <v>7</v>
      </c>
      <c r="AD583" s="172" t="s">
        <v>887</v>
      </c>
      <c r="AE583" s="114"/>
      <c r="AF583" s="114"/>
      <c r="AG583" s="114"/>
      <c r="AH583" s="106"/>
      <c r="AI583" s="114"/>
      <c r="AJ583" s="106"/>
      <c r="AK583" s="114"/>
      <c r="AL583" s="106"/>
      <c r="AM583" s="114"/>
      <c r="AN583" s="106"/>
      <c r="AO583" s="114"/>
      <c r="AP583" s="106"/>
      <c r="AQ583" s="114"/>
      <c r="AR583" s="106"/>
      <c r="AS583" s="114"/>
      <c r="AT583" s="106"/>
      <c r="AU583" s="114"/>
      <c r="AV583" s="106"/>
      <c r="AW583" s="114"/>
      <c r="AX583" s="157"/>
      <c r="AY583" s="157"/>
      <c r="AZ583" s="157"/>
      <c r="BA583" s="157"/>
      <c r="BB583" s="157"/>
      <c r="BC583" s="157"/>
    </row>
    <row r="584" spans="1:55" x14ac:dyDescent="0.3">
      <c r="A584" s="114">
        <f t="shared" ref="A584:A589" si="21">A583+1</f>
        <v>580</v>
      </c>
      <c r="B584" s="179" t="s">
        <v>3680</v>
      </c>
      <c r="C584" s="114">
        <v>0</v>
      </c>
      <c r="D584" s="114" t="s">
        <v>991</v>
      </c>
      <c r="E584" s="114" t="s">
        <v>966</v>
      </c>
      <c r="F584" s="114" t="s">
        <v>909</v>
      </c>
      <c r="G584" s="114"/>
      <c r="H584" s="114"/>
      <c r="I584" s="114"/>
      <c r="J584" s="114"/>
      <c r="K584" s="114"/>
      <c r="L584" s="114"/>
      <c r="M584" s="114"/>
      <c r="N584" s="114">
        <v>10</v>
      </c>
      <c r="O584" s="180">
        <v>-2147483648</v>
      </c>
      <c r="P584" s="180">
        <v>2147483647</v>
      </c>
      <c r="Q584" s="180">
        <v>0</v>
      </c>
      <c r="R584" s="180"/>
      <c r="S584" s="180"/>
      <c r="T584" s="181" t="s">
        <v>3681</v>
      </c>
      <c r="U584" s="179" t="s">
        <v>3682</v>
      </c>
      <c r="V584" s="179" t="s">
        <v>3683</v>
      </c>
      <c r="W584" s="114" t="s">
        <v>3684</v>
      </c>
      <c r="X584" s="180">
        <v>32</v>
      </c>
      <c r="Y584" s="182" t="s">
        <v>1503</v>
      </c>
      <c r="Z584" s="183" t="s">
        <v>2774</v>
      </c>
      <c r="AA584" s="184"/>
      <c r="AB584" s="182"/>
      <c r="AC584" s="114">
        <v>7</v>
      </c>
      <c r="AD584" s="172" t="s">
        <v>887</v>
      </c>
      <c r="AE584" s="114"/>
      <c r="AF584" s="114"/>
      <c r="AG584" s="114"/>
      <c r="AH584" s="106"/>
      <c r="AI584" s="114"/>
      <c r="AJ584" s="106"/>
      <c r="AK584" s="114"/>
      <c r="AL584" s="106"/>
      <c r="AM584" s="114"/>
      <c r="AN584" s="106"/>
      <c r="AO584" s="114"/>
      <c r="AP584" s="106"/>
      <c r="AQ584" s="114"/>
      <c r="AR584" s="106"/>
      <c r="AS584" s="114"/>
      <c r="AT584" s="106"/>
      <c r="AU584" s="114"/>
      <c r="AV584" s="106"/>
      <c r="AW584" s="114"/>
      <c r="AX584" s="157"/>
      <c r="AY584" s="157"/>
      <c r="AZ584" s="157"/>
      <c r="BA584" s="157"/>
      <c r="BB584" s="157"/>
      <c r="BC584" s="157"/>
    </row>
    <row r="585" spans="1:55" x14ac:dyDescent="0.3">
      <c r="A585" s="114">
        <f t="shared" si="21"/>
        <v>581</v>
      </c>
      <c r="B585" s="179" t="s">
        <v>3685</v>
      </c>
      <c r="C585" s="114">
        <v>0</v>
      </c>
      <c r="D585" s="114" t="s">
        <v>991</v>
      </c>
      <c r="E585" s="114" t="s">
        <v>944</v>
      </c>
      <c r="F585" s="114" t="s">
        <v>909</v>
      </c>
      <c r="G585" s="114"/>
      <c r="H585" s="114"/>
      <c r="I585" s="114"/>
      <c r="J585" s="114"/>
      <c r="K585" s="114"/>
      <c r="L585" s="114"/>
      <c r="M585" s="191" t="s">
        <v>874</v>
      </c>
      <c r="N585" s="114">
        <v>10</v>
      </c>
      <c r="O585" s="180" t="s">
        <v>1181</v>
      </c>
      <c r="P585" s="180" t="s">
        <v>1089</v>
      </c>
      <c r="Q585" s="180" t="s">
        <v>1181</v>
      </c>
      <c r="R585" s="180"/>
      <c r="S585" s="180"/>
      <c r="T585" s="181" t="s">
        <v>3686</v>
      </c>
      <c r="U585" s="179" t="s">
        <v>3687</v>
      </c>
      <c r="V585" s="179" t="s">
        <v>3688</v>
      </c>
      <c r="W585" s="114" t="s">
        <v>3689</v>
      </c>
      <c r="X585" s="180">
        <v>32</v>
      </c>
      <c r="Y585" s="182" t="s">
        <v>1503</v>
      </c>
      <c r="Z585" s="183" t="s">
        <v>2774</v>
      </c>
      <c r="AA585" s="184"/>
      <c r="AB585" s="182"/>
      <c r="AC585" s="114">
        <v>7</v>
      </c>
      <c r="AD585" s="172" t="s">
        <v>887</v>
      </c>
      <c r="AE585" s="114"/>
      <c r="AF585" s="114"/>
      <c r="AG585" s="114"/>
      <c r="AH585" s="106"/>
      <c r="AI585" s="114"/>
      <c r="AJ585" s="106"/>
      <c r="AK585" s="114"/>
      <c r="AL585" s="106"/>
      <c r="AM585" s="114"/>
      <c r="AN585" s="106"/>
      <c r="AO585" s="114"/>
      <c r="AP585" s="106"/>
      <c r="AQ585" s="114"/>
      <c r="AR585" s="106"/>
      <c r="AS585" s="114"/>
      <c r="AT585" s="106"/>
      <c r="AU585" s="114"/>
      <c r="AV585" s="106"/>
      <c r="AW585" s="114"/>
      <c r="AX585" s="157"/>
      <c r="AY585" s="157"/>
      <c r="AZ585" s="157"/>
      <c r="BA585" s="157"/>
      <c r="BB585" s="157"/>
      <c r="BC585" s="157"/>
    </row>
    <row r="586" spans="1:55" x14ac:dyDescent="0.3">
      <c r="A586" s="114">
        <f t="shared" si="21"/>
        <v>582</v>
      </c>
      <c r="B586" s="179" t="s">
        <v>3690</v>
      </c>
      <c r="C586" s="114">
        <v>0</v>
      </c>
      <c r="D586" s="114" t="s">
        <v>991</v>
      </c>
      <c r="E586" s="114" t="s">
        <v>966</v>
      </c>
      <c r="F586" s="114" t="s">
        <v>909</v>
      </c>
      <c r="G586" s="114"/>
      <c r="H586" s="114"/>
      <c r="I586" s="114"/>
      <c r="J586" s="114"/>
      <c r="K586" s="114"/>
      <c r="L586" s="114"/>
      <c r="M586" s="114"/>
      <c r="N586" s="114">
        <v>10</v>
      </c>
      <c r="O586" s="180">
        <v>-2147483648</v>
      </c>
      <c r="P586" s="180">
        <v>2147483647</v>
      </c>
      <c r="Q586" s="180">
        <v>0</v>
      </c>
      <c r="R586" s="180"/>
      <c r="S586" s="180"/>
      <c r="T586" s="181" t="s">
        <v>3691</v>
      </c>
      <c r="U586" s="179" t="s">
        <v>3692</v>
      </c>
      <c r="V586" s="179" t="s">
        <v>3693</v>
      </c>
      <c r="W586" s="114" t="s">
        <v>3694</v>
      </c>
      <c r="X586" s="180">
        <v>32</v>
      </c>
      <c r="Y586" s="182" t="s">
        <v>1503</v>
      </c>
      <c r="Z586" s="183" t="s">
        <v>2774</v>
      </c>
      <c r="AA586" s="184"/>
      <c r="AB586" s="182"/>
      <c r="AC586" s="114">
        <v>7</v>
      </c>
      <c r="AD586" s="172" t="s">
        <v>887</v>
      </c>
      <c r="AE586" s="114"/>
      <c r="AF586" s="114"/>
      <c r="AG586" s="114"/>
      <c r="AH586" s="106"/>
      <c r="AI586" s="114"/>
      <c r="AJ586" s="106"/>
      <c r="AK586" s="114"/>
      <c r="AL586" s="106"/>
      <c r="AM586" s="114"/>
      <c r="AN586" s="106"/>
      <c r="AO586" s="114"/>
      <c r="AP586" s="106"/>
      <c r="AQ586" s="114"/>
      <c r="AR586" s="106"/>
      <c r="AS586" s="114"/>
      <c r="AT586" s="106"/>
      <c r="AU586" s="114"/>
      <c r="AV586" s="106"/>
      <c r="AW586" s="114"/>
      <c r="AX586" s="157"/>
      <c r="AY586" s="157"/>
      <c r="AZ586" s="157"/>
      <c r="BA586" s="157"/>
      <c r="BB586" s="157"/>
      <c r="BC586" s="157"/>
    </row>
    <row r="587" spans="1:55" x14ac:dyDescent="0.3">
      <c r="A587" s="114">
        <f t="shared" si="21"/>
        <v>583</v>
      </c>
      <c r="B587" s="179" t="s">
        <v>3695</v>
      </c>
      <c r="C587" s="114">
        <v>0</v>
      </c>
      <c r="D587" s="114" t="s">
        <v>991</v>
      </c>
      <c r="E587" s="114" t="s">
        <v>944</v>
      </c>
      <c r="F587" s="114" t="s">
        <v>909</v>
      </c>
      <c r="G587" s="114"/>
      <c r="H587" s="114"/>
      <c r="I587" s="114"/>
      <c r="J587" s="114"/>
      <c r="K587" s="114"/>
      <c r="L587" s="114"/>
      <c r="M587" s="191" t="s">
        <v>874</v>
      </c>
      <c r="N587" s="114">
        <v>10</v>
      </c>
      <c r="O587" s="180" t="s">
        <v>1181</v>
      </c>
      <c r="P587" s="180" t="s">
        <v>1089</v>
      </c>
      <c r="Q587" s="180" t="s">
        <v>1181</v>
      </c>
      <c r="R587" s="180"/>
      <c r="S587" s="180"/>
      <c r="T587" s="181" t="s">
        <v>3696</v>
      </c>
      <c r="U587" s="179" t="s">
        <v>3697</v>
      </c>
      <c r="V587" s="179" t="s">
        <v>3698</v>
      </c>
      <c r="W587" s="114" t="s">
        <v>3699</v>
      </c>
      <c r="X587" s="180">
        <v>32</v>
      </c>
      <c r="Y587" s="182" t="s">
        <v>1503</v>
      </c>
      <c r="Z587" s="183" t="s">
        <v>2774</v>
      </c>
      <c r="AA587" s="184"/>
      <c r="AB587" s="182"/>
      <c r="AC587" s="114">
        <v>7</v>
      </c>
      <c r="AD587" s="172" t="s">
        <v>887</v>
      </c>
      <c r="AE587" s="114"/>
      <c r="AF587" s="114"/>
      <c r="AG587" s="114"/>
      <c r="AH587" s="106"/>
      <c r="AI587" s="114"/>
      <c r="AJ587" s="106"/>
      <c r="AK587" s="114"/>
      <c r="AL587" s="106"/>
      <c r="AM587" s="114"/>
      <c r="AN587" s="106"/>
      <c r="AO587" s="114"/>
      <c r="AP587" s="106"/>
      <c r="AQ587" s="114"/>
      <c r="AR587" s="106"/>
      <c r="AS587" s="114"/>
      <c r="AT587" s="106"/>
      <c r="AU587" s="114"/>
      <c r="AV587" s="106"/>
      <c r="AW587" s="114"/>
      <c r="AX587" s="157"/>
      <c r="AY587" s="157"/>
      <c r="AZ587" s="157"/>
      <c r="BA587" s="157"/>
      <c r="BB587" s="157"/>
      <c r="BC587" s="157"/>
    </row>
    <row r="588" spans="1:55" x14ac:dyDescent="0.3">
      <c r="A588" s="114">
        <f t="shared" si="21"/>
        <v>584</v>
      </c>
      <c r="B588" s="179" t="s">
        <v>3700</v>
      </c>
      <c r="C588" s="114">
        <v>0</v>
      </c>
      <c r="D588" s="114" t="s">
        <v>991</v>
      </c>
      <c r="E588" s="114" t="s">
        <v>966</v>
      </c>
      <c r="F588" s="114" t="s">
        <v>909</v>
      </c>
      <c r="G588" s="114"/>
      <c r="H588" s="114"/>
      <c r="I588" s="114"/>
      <c r="J588" s="114"/>
      <c r="K588" s="114"/>
      <c r="L588" s="114"/>
      <c r="M588" s="114"/>
      <c r="N588" s="114">
        <v>10</v>
      </c>
      <c r="O588" s="180">
        <v>-2147483648</v>
      </c>
      <c r="P588" s="180">
        <v>2147483647</v>
      </c>
      <c r="Q588" s="180">
        <v>0</v>
      </c>
      <c r="R588" s="180"/>
      <c r="S588" s="180"/>
      <c r="T588" s="181" t="s">
        <v>3701</v>
      </c>
      <c r="U588" s="179" t="s">
        <v>3702</v>
      </c>
      <c r="V588" s="179" t="s">
        <v>3703</v>
      </c>
      <c r="W588" s="114" t="s">
        <v>3704</v>
      </c>
      <c r="X588" s="180">
        <v>32</v>
      </c>
      <c r="Y588" s="182" t="s">
        <v>1503</v>
      </c>
      <c r="Z588" s="183" t="s">
        <v>2774</v>
      </c>
      <c r="AA588" s="184"/>
      <c r="AB588" s="182"/>
      <c r="AC588" s="114">
        <v>7</v>
      </c>
      <c r="AD588" s="172" t="s">
        <v>887</v>
      </c>
      <c r="AE588" s="114"/>
      <c r="AF588" s="114"/>
      <c r="AG588" s="114"/>
      <c r="AH588" s="106"/>
      <c r="AI588" s="114"/>
      <c r="AJ588" s="106"/>
      <c r="AK588" s="114"/>
      <c r="AL588" s="106"/>
      <c r="AM588" s="114"/>
      <c r="AN588" s="106"/>
      <c r="AO588" s="114"/>
      <c r="AP588" s="106"/>
      <c r="AQ588" s="114"/>
      <c r="AR588" s="106"/>
      <c r="AS588" s="114"/>
      <c r="AT588" s="106"/>
      <c r="AU588" s="114"/>
      <c r="AV588" s="106"/>
      <c r="AW588" s="114"/>
      <c r="AX588" s="157"/>
      <c r="AY588" s="157"/>
      <c r="AZ588" s="157"/>
      <c r="BA588" s="157"/>
      <c r="BB588" s="157"/>
      <c r="BC588" s="157"/>
    </row>
    <row r="589" spans="1:55" x14ac:dyDescent="0.3">
      <c r="A589" s="114">
        <f t="shared" si="21"/>
        <v>585</v>
      </c>
      <c r="B589" s="179" t="s">
        <v>3705</v>
      </c>
      <c r="C589" s="114">
        <v>0</v>
      </c>
      <c r="D589" s="114" t="s">
        <v>991</v>
      </c>
      <c r="E589" s="114" t="s">
        <v>944</v>
      </c>
      <c r="F589" s="114" t="s">
        <v>909</v>
      </c>
      <c r="G589" s="114"/>
      <c r="H589" s="114"/>
      <c r="I589" s="114"/>
      <c r="J589" s="114"/>
      <c r="K589" s="114"/>
      <c r="L589" s="114"/>
      <c r="M589" s="191" t="s">
        <v>874</v>
      </c>
      <c r="N589" s="114">
        <v>10</v>
      </c>
      <c r="O589" s="180" t="s">
        <v>1181</v>
      </c>
      <c r="P589" s="180" t="s">
        <v>1089</v>
      </c>
      <c r="Q589" s="180" t="s">
        <v>1181</v>
      </c>
      <c r="R589" s="180"/>
      <c r="S589" s="180"/>
      <c r="T589" s="181" t="s">
        <v>3706</v>
      </c>
      <c r="U589" s="179" t="s">
        <v>3707</v>
      </c>
      <c r="V589" s="179" t="s">
        <v>3708</v>
      </c>
      <c r="W589" s="114" t="s">
        <v>3709</v>
      </c>
      <c r="X589" s="180">
        <v>32</v>
      </c>
      <c r="Y589" s="182" t="s">
        <v>1503</v>
      </c>
      <c r="Z589" s="183" t="s">
        <v>2774</v>
      </c>
      <c r="AA589" s="184"/>
      <c r="AB589" s="182"/>
      <c r="AC589" s="114">
        <v>7</v>
      </c>
      <c r="AD589" s="172" t="s">
        <v>887</v>
      </c>
      <c r="AE589" s="114"/>
      <c r="AF589" s="114"/>
      <c r="AG589" s="114"/>
      <c r="AH589" s="106"/>
      <c r="AI589" s="114"/>
      <c r="AJ589" s="106"/>
      <c r="AK589" s="114"/>
      <c r="AL589" s="106"/>
      <c r="AM589" s="114"/>
      <c r="AN589" s="106"/>
      <c r="AO589" s="114"/>
      <c r="AP589" s="106"/>
      <c r="AQ589" s="114"/>
      <c r="AR589" s="106"/>
      <c r="AS589" s="114"/>
      <c r="AT589" s="106"/>
      <c r="AU589" s="114"/>
      <c r="AV589" s="106"/>
      <c r="AW589" s="114"/>
      <c r="AX589" s="157"/>
      <c r="AY589" s="157"/>
      <c r="AZ589" s="157"/>
      <c r="BA589" s="157"/>
      <c r="BB589" s="157"/>
      <c r="BC589" s="157"/>
    </row>
    <row r="590" spans="1:55" x14ac:dyDescent="0.3">
      <c r="A590" s="114">
        <f>A589+1</f>
        <v>586</v>
      </c>
      <c r="B590" s="179" t="s">
        <v>3710</v>
      </c>
      <c r="C590" s="114">
        <v>0</v>
      </c>
      <c r="D590" s="114" t="s">
        <v>991</v>
      </c>
      <c r="E590" s="114" t="s">
        <v>966</v>
      </c>
      <c r="F590" s="114" t="s">
        <v>909</v>
      </c>
      <c r="G590" s="114"/>
      <c r="H590" s="114"/>
      <c r="I590" s="114"/>
      <c r="J590" s="114"/>
      <c r="K590" s="114"/>
      <c r="L590" s="114"/>
      <c r="M590" s="114"/>
      <c r="N590" s="114">
        <v>10</v>
      </c>
      <c r="O590" s="180">
        <v>-2147483648</v>
      </c>
      <c r="P590" s="180">
        <v>2147483647</v>
      </c>
      <c r="Q590" s="180">
        <v>0</v>
      </c>
      <c r="R590" s="180"/>
      <c r="S590" s="180"/>
      <c r="T590" s="181" t="s">
        <v>3711</v>
      </c>
      <c r="U590" s="179" t="s">
        <v>3712</v>
      </c>
      <c r="V590" s="179" t="s">
        <v>3713</v>
      </c>
      <c r="W590" s="114" t="s">
        <v>3714</v>
      </c>
      <c r="X590" s="180">
        <v>32</v>
      </c>
      <c r="Y590" s="182" t="s">
        <v>1503</v>
      </c>
      <c r="Z590" s="183" t="s">
        <v>2774</v>
      </c>
      <c r="AA590" s="184"/>
      <c r="AB590" s="182"/>
      <c r="AC590" s="114">
        <v>7</v>
      </c>
      <c r="AD590" s="172" t="s">
        <v>887</v>
      </c>
      <c r="AE590" s="114"/>
      <c r="AF590" s="114"/>
      <c r="AG590" s="114"/>
      <c r="AH590" s="106"/>
      <c r="AI590" s="114"/>
      <c r="AJ590" s="106"/>
      <c r="AK590" s="114"/>
      <c r="AL590" s="106"/>
      <c r="AM590" s="114"/>
      <c r="AN590" s="106"/>
      <c r="AO590" s="114"/>
      <c r="AP590" s="106"/>
      <c r="AQ590" s="114"/>
      <c r="AR590" s="106"/>
      <c r="AS590" s="114"/>
      <c r="AT590" s="106"/>
      <c r="AU590" s="114"/>
      <c r="AV590" s="106"/>
      <c r="AW590" s="114"/>
      <c r="AX590" s="157"/>
      <c r="AY590" s="157"/>
      <c r="AZ590" s="157"/>
      <c r="BA590" s="157"/>
      <c r="BB590" s="157"/>
      <c r="BC590" s="157"/>
    </row>
    <row r="591" spans="1:55" x14ac:dyDescent="0.3">
      <c r="A591" s="114">
        <f t="shared" ref="A591:A654" si="22">A590+1</f>
        <v>587</v>
      </c>
      <c r="B591" s="179" t="s">
        <v>3715</v>
      </c>
      <c r="C591" s="114">
        <v>0</v>
      </c>
      <c r="D591" s="114" t="s">
        <v>991</v>
      </c>
      <c r="E591" s="114" t="s">
        <v>944</v>
      </c>
      <c r="F591" s="114" t="s">
        <v>909</v>
      </c>
      <c r="G591" s="114"/>
      <c r="H591" s="114"/>
      <c r="I591" s="114"/>
      <c r="J591" s="114"/>
      <c r="K591" s="114"/>
      <c r="L591" s="114"/>
      <c r="M591" s="191" t="s">
        <v>874</v>
      </c>
      <c r="N591" s="114">
        <v>10</v>
      </c>
      <c r="O591" s="180" t="s">
        <v>1181</v>
      </c>
      <c r="P591" s="180" t="s">
        <v>1089</v>
      </c>
      <c r="Q591" s="180" t="s">
        <v>1181</v>
      </c>
      <c r="R591" s="180"/>
      <c r="S591" s="180"/>
      <c r="T591" s="181" t="s">
        <v>3716</v>
      </c>
      <c r="U591" s="179" t="s">
        <v>3717</v>
      </c>
      <c r="V591" s="179" t="s">
        <v>3718</v>
      </c>
      <c r="W591" s="114" t="s">
        <v>3719</v>
      </c>
      <c r="X591" s="180">
        <v>32</v>
      </c>
      <c r="Y591" s="182" t="s">
        <v>1503</v>
      </c>
      <c r="Z591" s="183" t="s">
        <v>2774</v>
      </c>
      <c r="AA591" s="184"/>
      <c r="AB591" s="182"/>
      <c r="AC591" s="114">
        <v>7</v>
      </c>
      <c r="AD591" s="172" t="s">
        <v>887</v>
      </c>
      <c r="AE591" s="114"/>
      <c r="AF591" s="114"/>
      <c r="AG591" s="114"/>
      <c r="AH591" s="106"/>
      <c r="AI591" s="114"/>
      <c r="AJ591" s="106"/>
      <c r="AK591" s="114"/>
      <c r="AL591" s="106"/>
      <c r="AM591" s="114"/>
      <c r="AN591" s="106"/>
      <c r="AO591" s="114"/>
      <c r="AP591" s="106"/>
      <c r="AQ591" s="114"/>
      <c r="AR591" s="106"/>
      <c r="AS591" s="114"/>
      <c r="AT591" s="106"/>
      <c r="AU591" s="114"/>
      <c r="AV591" s="106"/>
      <c r="AW591" s="114"/>
      <c r="AX591" s="157"/>
      <c r="AY591" s="157"/>
      <c r="AZ591" s="157"/>
      <c r="BA591" s="157"/>
      <c r="BB591" s="157"/>
      <c r="BC591" s="157"/>
    </row>
    <row r="592" spans="1:55" x14ac:dyDescent="0.3">
      <c r="A592" s="114">
        <f t="shared" si="22"/>
        <v>588</v>
      </c>
      <c r="B592" s="179" t="s">
        <v>3720</v>
      </c>
      <c r="C592" s="114">
        <v>0</v>
      </c>
      <c r="D592" s="114" t="s">
        <v>991</v>
      </c>
      <c r="E592" s="114" t="s">
        <v>966</v>
      </c>
      <c r="F592" s="114" t="s">
        <v>909</v>
      </c>
      <c r="G592" s="114"/>
      <c r="H592" s="114"/>
      <c r="I592" s="114"/>
      <c r="J592" s="114"/>
      <c r="K592" s="114"/>
      <c r="L592" s="114"/>
      <c r="M592" s="114"/>
      <c r="N592" s="114">
        <v>10</v>
      </c>
      <c r="O592" s="180">
        <v>-2147483648</v>
      </c>
      <c r="P592" s="180">
        <v>2147483647</v>
      </c>
      <c r="Q592" s="180">
        <v>0</v>
      </c>
      <c r="R592" s="180"/>
      <c r="S592" s="180"/>
      <c r="T592" s="181" t="s">
        <v>3721</v>
      </c>
      <c r="U592" s="179" t="s">
        <v>3722</v>
      </c>
      <c r="V592" s="179" t="s">
        <v>3723</v>
      </c>
      <c r="W592" s="114" t="s">
        <v>3724</v>
      </c>
      <c r="X592" s="180">
        <v>32</v>
      </c>
      <c r="Y592" s="182" t="s">
        <v>1503</v>
      </c>
      <c r="Z592" s="183" t="s">
        <v>2774</v>
      </c>
      <c r="AA592" s="184"/>
      <c r="AB592" s="182"/>
      <c r="AC592" s="114">
        <v>7</v>
      </c>
      <c r="AD592" s="172" t="s">
        <v>887</v>
      </c>
      <c r="AE592" s="114"/>
      <c r="AF592" s="114"/>
      <c r="AG592" s="114"/>
      <c r="AH592" s="106"/>
      <c r="AI592" s="114"/>
      <c r="AJ592" s="106"/>
      <c r="AK592" s="114"/>
      <c r="AL592" s="106"/>
      <c r="AM592" s="114"/>
      <c r="AN592" s="106"/>
      <c r="AO592" s="114"/>
      <c r="AP592" s="106"/>
      <c r="AQ592" s="114"/>
      <c r="AR592" s="106"/>
      <c r="AS592" s="114"/>
      <c r="AT592" s="106"/>
      <c r="AU592" s="114"/>
      <c r="AV592" s="106"/>
      <c r="AW592" s="114"/>
      <c r="AX592" s="157"/>
      <c r="AY592" s="157"/>
      <c r="AZ592" s="157"/>
      <c r="BA592" s="157"/>
      <c r="BB592" s="157"/>
      <c r="BC592" s="157"/>
    </row>
    <row r="593" spans="1:55" x14ac:dyDescent="0.3">
      <c r="A593" s="114">
        <f t="shared" si="22"/>
        <v>589</v>
      </c>
      <c r="B593" s="179" t="s">
        <v>3725</v>
      </c>
      <c r="C593" s="114">
        <v>0</v>
      </c>
      <c r="D593" s="114" t="s">
        <v>991</v>
      </c>
      <c r="E593" s="114" t="s">
        <v>944</v>
      </c>
      <c r="F593" s="114" t="s">
        <v>909</v>
      </c>
      <c r="G593" s="114"/>
      <c r="H593" s="114"/>
      <c r="I593" s="114"/>
      <c r="J593" s="114"/>
      <c r="K593" s="114"/>
      <c r="L593" s="114"/>
      <c r="M593" s="191" t="s">
        <v>874</v>
      </c>
      <c r="N593" s="114">
        <v>10</v>
      </c>
      <c r="O593" s="180" t="s">
        <v>1181</v>
      </c>
      <c r="P593" s="180" t="s">
        <v>1089</v>
      </c>
      <c r="Q593" s="180" t="s">
        <v>1181</v>
      </c>
      <c r="R593" s="180"/>
      <c r="S593" s="180"/>
      <c r="T593" s="181" t="s">
        <v>3726</v>
      </c>
      <c r="U593" s="179" t="s">
        <v>3727</v>
      </c>
      <c r="V593" s="179" t="s">
        <v>3728</v>
      </c>
      <c r="W593" s="114" t="s">
        <v>3729</v>
      </c>
      <c r="X593" s="180">
        <v>32</v>
      </c>
      <c r="Y593" s="182" t="s">
        <v>1503</v>
      </c>
      <c r="Z593" s="183" t="s">
        <v>2774</v>
      </c>
      <c r="AA593" s="184"/>
      <c r="AB593" s="182"/>
      <c r="AC593" s="114">
        <v>7</v>
      </c>
      <c r="AD593" s="172" t="s">
        <v>887</v>
      </c>
      <c r="AE593" s="114"/>
      <c r="AF593" s="114"/>
      <c r="AG593" s="114"/>
      <c r="AH593" s="106"/>
      <c r="AI593" s="114"/>
      <c r="AJ593" s="106"/>
      <c r="AK593" s="114"/>
      <c r="AL593" s="106"/>
      <c r="AM593" s="114"/>
      <c r="AN593" s="106"/>
      <c r="AO593" s="114"/>
      <c r="AP593" s="106"/>
      <c r="AQ593" s="114"/>
      <c r="AR593" s="106"/>
      <c r="AS593" s="114"/>
      <c r="AT593" s="106"/>
      <c r="AU593" s="114"/>
      <c r="AV593" s="106"/>
      <c r="AW593" s="114"/>
      <c r="AX593" s="157"/>
      <c r="AY593" s="157"/>
      <c r="AZ593" s="157"/>
      <c r="BA593" s="157"/>
      <c r="BB593" s="157"/>
      <c r="BC593" s="157"/>
    </row>
    <row r="594" spans="1:55" x14ac:dyDescent="0.3">
      <c r="A594" s="114">
        <f t="shared" si="22"/>
        <v>590</v>
      </c>
      <c r="B594" s="179" t="s">
        <v>3730</v>
      </c>
      <c r="C594" s="114">
        <v>0</v>
      </c>
      <c r="D594" s="114" t="s">
        <v>991</v>
      </c>
      <c r="E594" s="114" t="s">
        <v>966</v>
      </c>
      <c r="F594" s="114" t="s">
        <v>909</v>
      </c>
      <c r="G594" s="114"/>
      <c r="H594" s="114"/>
      <c r="I594" s="114"/>
      <c r="J594" s="114"/>
      <c r="K594" s="114"/>
      <c r="L594" s="114"/>
      <c r="M594" s="114"/>
      <c r="N594" s="114">
        <v>10</v>
      </c>
      <c r="O594" s="180">
        <v>-2147483648</v>
      </c>
      <c r="P594" s="180">
        <v>2147483647</v>
      </c>
      <c r="Q594" s="180">
        <v>0</v>
      </c>
      <c r="R594" s="180"/>
      <c r="S594" s="180"/>
      <c r="T594" s="181" t="s">
        <v>3731</v>
      </c>
      <c r="U594" s="179" t="s">
        <v>3732</v>
      </c>
      <c r="V594" s="179" t="s">
        <v>3733</v>
      </c>
      <c r="W594" s="114" t="s">
        <v>3734</v>
      </c>
      <c r="X594" s="180">
        <v>32</v>
      </c>
      <c r="Y594" s="182" t="s">
        <v>1503</v>
      </c>
      <c r="Z594" s="183" t="s">
        <v>2774</v>
      </c>
      <c r="AA594" s="184"/>
      <c r="AB594" s="182"/>
      <c r="AC594" s="114">
        <v>7</v>
      </c>
      <c r="AD594" s="172" t="s">
        <v>887</v>
      </c>
      <c r="AE594" s="114"/>
      <c r="AF594" s="114"/>
      <c r="AG594" s="114"/>
      <c r="AH594" s="106"/>
      <c r="AI594" s="114"/>
      <c r="AJ594" s="106"/>
      <c r="AK594" s="114"/>
      <c r="AL594" s="106"/>
      <c r="AM594" s="114"/>
      <c r="AN594" s="106"/>
      <c r="AO594" s="114"/>
      <c r="AP594" s="106"/>
      <c r="AQ594" s="114"/>
      <c r="AR594" s="106"/>
      <c r="AS594" s="114"/>
      <c r="AT594" s="106"/>
      <c r="AU594" s="114"/>
      <c r="AV594" s="106"/>
      <c r="AW594" s="114"/>
      <c r="AX594" s="157"/>
      <c r="AY594" s="157"/>
      <c r="AZ594" s="157"/>
      <c r="BA594" s="157"/>
      <c r="BB594" s="157"/>
      <c r="BC594" s="157"/>
    </row>
    <row r="595" spans="1:55" x14ac:dyDescent="0.3">
      <c r="A595" s="114">
        <f t="shared" si="22"/>
        <v>591</v>
      </c>
      <c r="B595" s="179" t="s">
        <v>3735</v>
      </c>
      <c r="C595" s="114">
        <v>0</v>
      </c>
      <c r="D595" s="114" t="s">
        <v>991</v>
      </c>
      <c r="E595" s="114" t="s">
        <v>944</v>
      </c>
      <c r="F595" s="114" t="s">
        <v>909</v>
      </c>
      <c r="G595" s="114"/>
      <c r="H595" s="114"/>
      <c r="I595" s="114"/>
      <c r="J595" s="114"/>
      <c r="K595" s="114"/>
      <c r="L595" s="114"/>
      <c r="M595" s="191" t="s">
        <v>874</v>
      </c>
      <c r="N595" s="114">
        <v>10</v>
      </c>
      <c r="O595" s="180" t="s">
        <v>1181</v>
      </c>
      <c r="P595" s="180" t="s">
        <v>1089</v>
      </c>
      <c r="Q595" s="180" t="s">
        <v>1181</v>
      </c>
      <c r="R595" s="180"/>
      <c r="S595" s="180"/>
      <c r="T595" s="181" t="s">
        <v>3736</v>
      </c>
      <c r="U595" s="179" t="s">
        <v>3737</v>
      </c>
      <c r="V595" s="179" t="s">
        <v>3738</v>
      </c>
      <c r="W595" s="114" t="s">
        <v>3739</v>
      </c>
      <c r="X595" s="180">
        <v>32</v>
      </c>
      <c r="Y595" s="182" t="s">
        <v>1503</v>
      </c>
      <c r="Z595" s="183" t="s">
        <v>2774</v>
      </c>
      <c r="AA595" s="184"/>
      <c r="AB595" s="182"/>
      <c r="AC595" s="114">
        <v>7</v>
      </c>
      <c r="AD595" s="172" t="s">
        <v>887</v>
      </c>
      <c r="AE595" s="114"/>
      <c r="AF595" s="114"/>
      <c r="AG595" s="114"/>
      <c r="AH595" s="106"/>
      <c r="AI595" s="114"/>
      <c r="AJ595" s="106"/>
      <c r="AK595" s="114"/>
      <c r="AL595" s="106"/>
      <c r="AM595" s="114"/>
      <c r="AN595" s="106"/>
      <c r="AO595" s="114"/>
      <c r="AP595" s="106"/>
      <c r="AQ595" s="114"/>
      <c r="AR595" s="106"/>
      <c r="AS595" s="114"/>
      <c r="AT595" s="106"/>
      <c r="AU595" s="114"/>
      <c r="AV595" s="106"/>
      <c r="AW595" s="114"/>
      <c r="AX595" s="157"/>
      <c r="AY595" s="157"/>
      <c r="AZ595" s="157"/>
      <c r="BA595" s="157"/>
      <c r="BB595" s="157"/>
      <c r="BC595" s="157"/>
    </row>
    <row r="596" spans="1:55" x14ac:dyDescent="0.3">
      <c r="A596" s="114">
        <f t="shared" si="22"/>
        <v>592</v>
      </c>
      <c r="B596" s="179" t="s">
        <v>3740</v>
      </c>
      <c r="C596" s="114">
        <v>0</v>
      </c>
      <c r="D596" s="114" t="s">
        <v>991</v>
      </c>
      <c r="E596" s="114" t="s">
        <v>966</v>
      </c>
      <c r="F596" s="114" t="s">
        <v>909</v>
      </c>
      <c r="G596" s="114"/>
      <c r="H596" s="114"/>
      <c r="I596" s="114"/>
      <c r="J596" s="114"/>
      <c r="K596" s="114"/>
      <c r="L596" s="114"/>
      <c r="M596" s="114"/>
      <c r="N596" s="114">
        <v>10</v>
      </c>
      <c r="O596" s="180">
        <v>-2147483648</v>
      </c>
      <c r="P596" s="180">
        <v>2147483647</v>
      </c>
      <c r="Q596" s="180">
        <v>0</v>
      </c>
      <c r="R596" s="180"/>
      <c r="S596" s="180"/>
      <c r="T596" s="181" t="s">
        <v>3741</v>
      </c>
      <c r="U596" s="179" t="s">
        <v>3742</v>
      </c>
      <c r="V596" s="179" t="s">
        <v>3743</v>
      </c>
      <c r="W596" s="114" t="s">
        <v>3744</v>
      </c>
      <c r="X596" s="180">
        <v>32</v>
      </c>
      <c r="Y596" s="182" t="s">
        <v>1503</v>
      </c>
      <c r="Z596" s="183" t="s">
        <v>2774</v>
      </c>
      <c r="AA596" s="184"/>
      <c r="AB596" s="182"/>
      <c r="AC596" s="114">
        <v>7</v>
      </c>
      <c r="AD596" s="172" t="s">
        <v>887</v>
      </c>
      <c r="AE596" s="114"/>
      <c r="AF596" s="114"/>
      <c r="AG596" s="114"/>
      <c r="AH596" s="106"/>
      <c r="AI596" s="114"/>
      <c r="AJ596" s="106"/>
      <c r="AK596" s="114"/>
      <c r="AL596" s="106"/>
      <c r="AM596" s="114"/>
      <c r="AN596" s="106"/>
      <c r="AO596" s="114"/>
      <c r="AP596" s="106"/>
      <c r="AQ596" s="114"/>
      <c r="AR596" s="106"/>
      <c r="AS596" s="114"/>
      <c r="AT596" s="106"/>
      <c r="AU596" s="114"/>
      <c r="AV596" s="106"/>
      <c r="AW596" s="114"/>
      <c r="AX596" s="157"/>
      <c r="AY596" s="157"/>
      <c r="AZ596" s="157"/>
      <c r="BA596" s="157"/>
      <c r="BB596" s="157"/>
      <c r="BC596" s="157"/>
    </row>
    <row r="597" spans="1:55" x14ac:dyDescent="0.3">
      <c r="A597" s="114">
        <f t="shared" si="22"/>
        <v>593</v>
      </c>
      <c r="B597" s="179" t="s">
        <v>3745</v>
      </c>
      <c r="C597" s="114">
        <v>0</v>
      </c>
      <c r="D597" s="114" t="s">
        <v>991</v>
      </c>
      <c r="E597" s="114" t="s">
        <v>944</v>
      </c>
      <c r="F597" s="114" t="s">
        <v>909</v>
      </c>
      <c r="G597" s="114"/>
      <c r="H597" s="114"/>
      <c r="I597" s="114"/>
      <c r="J597" s="114"/>
      <c r="K597" s="114"/>
      <c r="L597" s="114"/>
      <c r="M597" s="191" t="s">
        <v>874</v>
      </c>
      <c r="N597" s="114">
        <v>10</v>
      </c>
      <c r="O597" s="180" t="s">
        <v>1181</v>
      </c>
      <c r="P597" s="180" t="s">
        <v>1089</v>
      </c>
      <c r="Q597" s="180" t="s">
        <v>1181</v>
      </c>
      <c r="R597" s="180"/>
      <c r="S597" s="180"/>
      <c r="T597" s="181" t="s">
        <v>3746</v>
      </c>
      <c r="U597" s="179" t="s">
        <v>3747</v>
      </c>
      <c r="V597" s="179" t="s">
        <v>3748</v>
      </c>
      <c r="W597" s="114" t="s">
        <v>3749</v>
      </c>
      <c r="X597" s="180">
        <v>32</v>
      </c>
      <c r="Y597" s="182" t="s">
        <v>1503</v>
      </c>
      <c r="Z597" s="183" t="s">
        <v>2774</v>
      </c>
      <c r="AA597" s="184"/>
      <c r="AB597" s="182"/>
      <c r="AC597" s="114">
        <v>7</v>
      </c>
      <c r="AD597" s="172" t="s">
        <v>887</v>
      </c>
      <c r="AE597" s="114"/>
      <c r="AF597" s="114"/>
      <c r="AG597" s="114"/>
      <c r="AH597" s="106"/>
      <c r="AI597" s="114"/>
      <c r="AJ597" s="106"/>
      <c r="AK597" s="114"/>
      <c r="AL597" s="106"/>
      <c r="AM597" s="114"/>
      <c r="AN597" s="106"/>
      <c r="AO597" s="114"/>
      <c r="AP597" s="106"/>
      <c r="AQ597" s="114"/>
      <c r="AR597" s="106"/>
      <c r="AS597" s="114"/>
      <c r="AT597" s="106"/>
      <c r="AU597" s="114"/>
      <c r="AV597" s="106"/>
      <c r="AW597" s="114"/>
      <c r="AX597" s="157"/>
      <c r="AY597" s="157"/>
      <c r="AZ597" s="157"/>
      <c r="BA597" s="157"/>
      <c r="BB597" s="157"/>
      <c r="BC597" s="157"/>
    </row>
    <row r="598" spans="1:55" x14ac:dyDescent="0.3">
      <c r="A598" s="114">
        <f t="shared" si="22"/>
        <v>594</v>
      </c>
      <c r="B598" s="179" t="s">
        <v>3750</v>
      </c>
      <c r="C598" s="114">
        <v>0</v>
      </c>
      <c r="D598" s="114" t="s">
        <v>991</v>
      </c>
      <c r="E598" s="114" t="s">
        <v>966</v>
      </c>
      <c r="F598" s="114" t="s">
        <v>909</v>
      </c>
      <c r="G598" s="114"/>
      <c r="H598" s="114"/>
      <c r="I598" s="114"/>
      <c r="J598" s="114"/>
      <c r="K598" s="114"/>
      <c r="L598" s="114"/>
      <c r="M598" s="114"/>
      <c r="N598" s="114">
        <v>10</v>
      </c>
      <c r="O598" s="180">
        <v>-2147483648</v>
      </c>
      <c r="P598" s="180">
        <v>2147483647</v>
      </c>
      <c r="Q598" s="180">
        <v>0</v>
      </c>
      <c r="R598" s="180"/>
      <c r="S598" s="180"/>
      <c r="T598" s="181" t="s">
        <v>3751</v>
      </c>
      <c r="U598" s="179" t="s">
        <v>3752</v>
      </c>
      <c r="V598" s="179" t="s">
        <v>3753</v>
      </c>
      <c r="W598" s="114" t="s">
        <v>3754</v>
      </c>
      <c r="X598" s="180">
        <v>32</v>
      </c>
      <c r="Y598" s="182" t="s">
        <v>1503</v>
      </c>
      <c r="Z598" s="183" t="s">
        <v>2774</v>
      </c>
      <c r="AA598" s="184"/>
      <c r="AB598" s="182"/>
      <c r="AC598" s="114">
        <v>7</v>
      </c>
      <c r="AD598" s="172" t="s">
        <v>887</v>
      </c>
      <c r="AE598" s="114"/>
      <c r="AF598" s="114"/>
      <c r="AG598" s="114"/>
      <c r="AH598" s="106"/>
      <c r="AI598" s="114"/>
      <c r="AJ598" s="106"/>
      <c r="AK598" s="114"/>
      <c r="AL598" s="106"/>
      <c r="AM598" s="114"/>
      <c r="AN598" s="106"/>
      <c r="AO598" s="114"/>
      <c r="AP598" s="106"/>
      <c r="AQ598" s="114"/>
      <c r="AR598" s="106"/>
      <c r="AS598" s="114"/>
      <c r="AT598" s="106"/>
      <c r="AU598" s="114"/>
      <c r="AV598" s="106"/>
      <c r="AW598" s="114"/>
      <c r="AX598" s="157"/>
      <c r="AY598" s="157"/>
      <c r="AZ598" s="157"/>
      <c r="BA598" s="157"/>
      <c r="BB598" s="157"/>
      <c r="BC598" s="157"/>
    </row>
    <row r="599" spans="1:55" x14ac:dyDescent="0.3">
      <c r="A599" s="114">
        <f t="shared" si="22"/>
        <v>595</v>
      </c>
      <c r="B599" s="179" t="s">
        <v>3755</v>
      </c>
      <c r="C599" s="114">
        <v>0</v>
      </c>
      <c r="D599" s="114" t="s">
        <v>991</v>
      </c>
      <c r="E599" s="114" t="s">
        <v>944</v>
      </c>
      <c r="F599" s="114" t="s">
        <v>909</v>
      </c>
      <c r="G599" s="114"/>
      <c r="H599" s="114"/>
      <c r="I599" s="114"/>
      <c r="J599" s="114"/>
      <c r="K599" s="114"/>
      <c r="L599" s="114"/>
      <c r="M599" s="191" t="s">
        <v>874</v>
      </c>
      <c r="N599" s="114">
        <v>10</v>
      </c>
      <c r="O599" s="180" t="s">
        <v>1181</v>
      </c>
      <c r="P599" s="180" t="s">
        <v>1089</v>
      </c>
      <c r="Q599" s="180" t="s">
        <v>1181</v>
      </c>
      <c r="R599" s="180"/>
      <c r="S599" s="180"/>
      <c r="T599" s="181" t="s">
        <v>3756</v>
      </c>
      <c r="U599" s="179" t="s">
        <v>3757</v>
      </c>
      <c r="V599" s="179" t="s">
        <v>3758</v>
      </c>
      <c r="W599" s="114" t="s">
        <v>3759</v>
      </c>
      <c r="X599" s="180">
        <v>32</v>
      </c>
      <c r="Y599" s="182" t="s">
        <v>1503</v>
      </c>
      <c r="Z599" s="183" t="s">
        <v>2774</v>
      </c>
      <c r="AA599" s="184"/>
      <c r="AB599" s="182"/>
      <c r="AC599" s="114">
        <v>7</v>
      </c>
      <c r="AD599" s="172" t="s">
        <v>887</v>
      </c>
      <c r="AE599" s="114"/>
      <c r="AF599" s="114"/>
      <c r="AG599" s="114"/>
      <c r="AH599" s="106"/>
      <c r="AI599" s="114"/>
      <c r="AJ599" s="106"/>
      <c r="AK599" s="114"/>
      <c r="AL599" s="106"/>
      <c r="AM599" s="114"/>
      <c r="AN599" s="106"/>
      <c r="AO599" s="114"/>
      <c r="AP599" s="106"/>
      <c r="AQ599" s="114"/>
      <c r="AR599" s="106"/>
      <c r="AS599" s="114"/>
      <c r="AT599" s="106"/>
      <c r="AU599" s="114"/>
      <c r="AV599" s="106"/>
      <c r="AW599" s="114"/>
      <c r="AX599" s="157"/>
      <c r="AY599" s="157"/>
      <c r="AZ599" s="157"/>
      <c r="BA599" s="157"/>
      <c r="BB599" s="157"/>
      <c r="BC599" s="157"/>
    </row>
    <row r="600" spans="1:55" x14ac:dyDescent="0.3">
      <c r="A600" s="114">
        <f t="shared" si="22"/>
        <v>596</v>
      </c>
      <c r="B600" s="179" t="s">
        <v>3760</v>
      </c>
      <c r="C600" s="114">
        <v>0</v>
      </c>
      <c r="D600" s="114" t="s">
        <v>991</v>
      </c>
      <c r="E600" s="114" t="s">
        <v>966</v>
      </c>
      <c r="F600" s="114" t="s">
        <v>909</v>
      </c>
      <c r="G600" s="114"/>
      <c r="H600" s="114"/>
      <c r="I600" s="114"/>
      <c r="J600" s="114"/>
      <c r="K600" s="114"/>
      <c r="L600" s="114"/>
      <c r="M600" s="114"/>
      <c r="N600" s="114">
        <v>10</v>
      </c>
      <c r="O600" s="180">
        <v>-2147483648</v>
      </c>
      <c r="P600" s="180">
        <v>2147483647</v>
      </c>
      <c r="Q600" s="180">
        <v>0</v>
      </c>
      <c r="R600" s="180"/>
      <c r="S600" s="180"/>
      <c r="T600" s="181" t="s">
        <v>3761</v>
      </c>
      <c r="U600" s="179" t="s">
        <v>3762</v>
      </c>
      <c r="V600" s="179" t="s">
        <v>3763</v>
      </c>
      <c r="W600" s="114" t="s">
        <v>3764</v>
      </c>
      <c r="X600" s="180">
        <v>32</v>
      </c>
      <c r="Y600" s="182" t="s">
        <v>1503</v>
      </c>
      <c r="Z600" s="183" t="s">
        <v>2774</v>
      </c>
      <c r="AA600" s="184"/>
      <c r="AB600" s="182"/>
      <c r="AC600" s="114">
        <v>7</v>
      </c>
      <c r="AD600" s="172" t="s">
        <v>887</v>
      </c>
      <c r="AE600" s="114"/>
      <c r="AF600" s="114"/>
      <c r="AG600" s="114"/>
      <c r="AH600" s="106"/>
      <c r="AI600" s="114"/>
      <c r="AJ600" s="106"/>
      <c r="AK600" s="114"/>
      <c r="AL600" s="106"/>
      <c r="AM600" s="114"/>
      <c r="AN600" s="106"/>
      <c r="AO600" s="114"/>
      <c r="AP600" s="106"/>
      <c r="AQ600" s="114"/>
      <c r="AR600" s="106"/>
      <c r="AS600" s="114"/>
      <c r="AT600" s="106"/>
      <c r="AU600" s="114"/>
      <c r="AV600" s="106"/>
      <c r="AW600" s="114"/>
      <c r="AX600" s="157"/>
      <c r="AY600" s="157"/>
      <c r="AZ600" s="157"/>
      <c r="BA600" s="157"/>
      <c r="BB600" s="157"/>
      <c r="BC600" s="157"/>
    </row>
    <row r="601" spans="1:55" ht="158.4" x14ac:dyDescent="0.3">
      <c r="A601" s="114">
        <f t="shared" si="22"/>
        <v>597</v>
      </c>
      <c r="B601" s="179" t="s">
        <v>3765</v>
      </c>
      <c r="C601" s="114">
        <v>0</v>
      </c>
      <c r="D601" s="114" t="s">
        <v>991</v>
      </c>
      <c r="E601" s="114" t="s">
        <v>980</v>
      </c>
      <c r="F601" s="114" t="s">
        <v>909</v>
      </c>
      <c r="G601" s="114"/>
      <c r="H601" s="114" t="s">
        <v>869</v>
      </c>
      <c r="I601" s="114"/>
      <c r="J601" s="114" t="s">
        <v>871</v>
      </c>
      <c r="K601" s="114"/>
      <c r="L601" s="114"/>
      <c r="M601" s="114"/>
      <c r="N601" s="114">
        <v>3</v>
      </c>
      <c r="O601" s="180">
        <v>0</v>
      </c>
      <c r="P601" s="141">
        <v>8</v>
      </c>
      <c r="Q601" s="180">
        <v>0</v>
      </c>
      <c r="R601" s="180"/>
      <c r="S601" s="180"/>
      <c r="T601" s="181" t="s">
        <v>3766</v>
      </c>
      <c r="U601" s="179" t="s">
        <v>3767</v>
      </c>
      <c r="V601" s="179" t="s">
        <v>3768</v>
      </c>
      <c r="W601" s="114" t="s">
        <v>3769</v>
      </c>
      <c r="X601" s="179">
        <v>16</v>
      </c>
      <c r="Y601" s="182" t="s">
        <v>913</v>
      </c>
      <c r="Z601" s="183" t="s">
        <v>3770</v>
      </c>
      <c r="AA601" s="184"/>
      <c r="AB601" s="182"/>
      <c r="AC601" s="114">
        <v>8</v>
      </c>
      <c r="AD601" s="172" t="s">
        <v>887</v>
      </c>
      <c r="AE601" s="114"/>
      <c r="AF601" s="114"/>
      <c r="AG601" s="114"/>
      <c r="AH601" s="106" t="s">
        <v>915</v>
      </c>
      <c r="AI601" s="114"/>
      <c r="AJ601" s="106"/>
      <c r="AK601" s="114"/>
      <c r="AL601" s="106"/>
      <c r="AM601" s="114"/>
      <c r="AN601" s="106"/>
      <c r="AO601" s="114"/>
      <c r="AP601" s="106"/>
      <c r="AQ601" s="114"/>
      <c r="AR601" s="106"/>
      <c r="AS601" s="114"/>
      <c r="AT601" s="106"/>
      <c r="AU601" s="114"/>
      <c r="AV601" s="106"/>
      <c r="AW601" s="114"/>
      <c r="AX601" s="157"/>
      <c r="AY601" s="157"/>
      <c r="AZ601" s="157"/>
      <c r="BA601" s="157"/>
      <c r="BB601" s="157"/>
      <c r="BC601" s="157"/>
    </row>
    <row r="602" spans="1:55" ht="118.8" x14ac:dyDescent="0.3">
      <c r="A602" s="114">
        <f t="shared" si="22"/>
        <v>598</v>
      </c>
      <c r="B602" s="179" t="s">
        <v>3771</v>
      </c>
      <c r="C602" s="114">
        <v>0</v>
      </c>
      <c r="D602" s="114" t="s">
        <v>991</v>
      </c>
      <c r="E602" s="114" t="s">
        <v>980</v>
      </c>
      <c r="F602" s="114" t="s">
        <v>923</v>
      </c>
      <c r="G602" s="114" t="s">
        <v>868</v>
      </c>
      <c r="H602" s="114" t="s">
        <v>869</v>
      </c>
      <c r="I602" s="114"/>
      <c r="J602" s="114"/>
      <c r="K602" s="114"/>
      <c r="L602" s="114"/>
      <c r="M602" s="114"/>
      <c r="N602" s="114">
        <v>3</v>
      </c>
      <c r="O602" s="180">
        <v>0</v>
      </c>
      <c r="P602" s="180">
        <v>1</v>
      </c>
      <c r="Q602" s="180">
        <v>0</v>
      </c>
      <c r="R602" s="180"/>
      <c r="S602" s="180"/>
      <c r="T602" s="181" t="s">
        <v>3772</v>
      </c>
      <c r="U602" s="179" t="s">
        <v>3773</v>
      </c>
      <c r="V602" s="179" t="s">
        <v>3774</v>
      </c>
      <c r="W602" s="114" t="s">
        <v>3775</v>
      </c>
      <c r="X602" s="180">
        <v>16</v>
      </c>
      <c r="Y602" s="182" t="s">
        <v>913</v>
      </c>
      <c r="Z602" s="183" t="s">
        <v>3776</v>
      </c>
      <c r="AA602" s="184"/>
      <c r="AB602" s="182"/>
      <c r="AC602" s="114"/>
      <c r="AD602" s="114"/>
      <c r="AE602" s="114"/>
      <c r="AF602" s="114"/>
      <c r="AG602" s="114"/>
      <c r="AH602" s="106"/>
      <c r="AI602" s="114"/>
      <c r="AJ602" s="106"/>
      <c r="AK602" s="114"/>
      <c r="AL602" s="106"/>
      <c r="AM602" s="114"/>
      <c r="AN602" s="106"/>
      <c r="AO602" s="114"/>
      <c r="AP602" s="106"/>
      <c r="AQ602" s="114"/>
      <c r="AR602" s="106"/>
      <c r="AS602" s="114"/>
      <c r="AT602" s="106"/>
      <c r="AU602" s="114"/>
      <c r="AV602" s="106"/>
      <c r="AW602" s="114"/>
      <c r="AX602" s="157"/>
      <c r="AY602" s="157"/>
      <c r="AZ602" s="157"/>
      <c r="BA602" s="157"/>
      <c r="BB602" s="157"/>
      <c r="BC602" s="157"/>
    </row>
    <row r="603" spans="1:55" ht="66" x14ac:dyDescent="0.3">
      <c r="A603" s="114">
        <f t="shared" si="22"/>
        <v>599</v>
      </c>
      <c r="B603" s="179" t="s">
        <v>3777</v>
      </c>
      <c r="C603" s="114">
        <v>0</v>
      </c>
      <c r="D603" s="114" t="s">
        <v>991</v>
      </c>
      <c r="E603" s="114" t="s">
        <v>929</v>
      </c>
      <c r="F603" s="114" t="s">
        <v>909</v>
      </c>
      <c r="G603" s="114"/>
      <c r="H603" s="114" t="s">
        <v>869</v>
      </c>
      <c r="I603" s="114" t="s">
        <v>870</v>
      </c>
      <c r="J603" s="114"/>
      <c r="K603" s="114"/>
      <c r="L603" s="114"/>
      <c r="M603" s="114"/>
      <c r="N603" s="114">
        <v>1</v>
      </c>
      <c r="O603" s="180" t="s">
        <v>909</v>
      </c>
      <c r="P603" s="180" t="s">
        <v>923</v>
      </c>
      <c r="Q603" s="180" t="s">
        <v>923</v>
      </c>
      <c r="R603" s="180"/>
      <c r="S603" s="180"/>
      <c r="T603" s="181" t="s">
        <v>3778</v>
      </c>
      <c r="U603" s="179" t="s">
        <v>3779</v>
      </c>
      <c r="V603" s="179" t="s">
        <v>3780</v>
      </c>
      <c r="W603" s="114" t="s">
        <v>3781</v>
      </c>
      <c r="X603" s="179">
        <v>16</v>
      </c>
      <c r="Y603" s="182" t="s">
        <v>913</v>
      </c>
      <c r="Z603" s="183" t="s">
        <v>3782</v>
      </c>
      <c r="AA603" s="184"/>
      <c r="AB603" s="182"/>
      <c r="AC603" s="114">
        <v>8</v>
      </c>
      <c r="AD603" s="172" t="s">
        <v>887</v>
      </c>
      <c r="AE603" s="114"/>
      <c r="AF603" s="114"/>
      <c r="AG603" s="114"/>
      <c r="AH603" s="106" t="s">
        <v>915</v>
      </c>
      <c r="AI603" s="114"/>
      <c r="AJ603" s="106"/>
      <c r="AK603" s="114"/>
      <c r="AL603" s="106"/>
      <c r="AM603" s="114"/>
      <c r="AN603" s="106"/>
      <c r="AO603" s="114"/>
      <c r="AP603" s="106"/>
      <c r="AQ603" s="114"/>
      <c r="AR603" s="106"/>
      <c r="AS603" s="114"/>
      <c r="AT603" s="106"/>
      <c r="AU603" s="114"/>
      <c r="AV603" s="106"/>
      <c r="AW603" s="114"/>
      <c r="AX603" s="157"/>
      <c r="AY603" s="157"/>
      <c r="AZ603" s="157"/>
      <c r="BA603" s="157"/>
      <c r="BB603" s="157"/>
      <c r="BC603" s="157"/>
    </row>
    <row r="604" spans="1:55" ht="132" x14ac:dyDescent="0.3">
      <c r="A604" s="114">
        <f t="shared" si="22"/>
        <v>600</v>
      </c>
      <c r="B604" s="179" t="s">
        <v>3783</v>
      </c>
      <c r="C604" s="114">
        <v>0</v>
      </c>
      <c r="D604" s="114" t="s">
        <v>991</v>
      </c>
      <c r="E604" s="114" t="s">
        <v>966</v>
      </c>
      <c r="F604" s="114" t="s">
        <v>909</v>
      </c>
      <c r="G604" s="114"/>
      <c r="H604" s="114" t="s">
        <v>869</v>
      </c>
      <c r="I604" s="114" t="s">
        <v>870</v>
      </c>
      <c r="J604" s="114"/>
      <c r="K604" s="114"/>
      <c r="L604" s="114"/>
      <c r="M604" s="114"/>
      <c r="N604" s="114">
        <v>1</v>
      </c>
      <c r="O604" s="180">
        <v>128</v>
      </c>
      <c r="P604" s="180">
        <v>268435456</v>
      </c>
      <c r="Q604" s="180">
        <v>16777216</v>
      </c>
      <c r="R604" s="192"/>
      <c r="S604" s="180" t="s">
        <v>1591</v>
      </c>
      <c r="T604" s="198" t="s">
        <v>3784</v>
      </c>
      <c r="U604" s="179" t="s">
        <v>63</v>
      </c>
      <c r="V604" s="179" t="s">
        <v>3785</v>
      </c>
      <c r="W604" s="114" t="s">
        <v>3786</v>
      </c>
      <c r="X604" s="180">
        <v>32</v>
      </c>
      <c r="Y604" s="182" t="s">
        <v>913</v>
      </c>
      <c r="Z604" s="183" t="s">
        <v>3787</v>
      </c>
      <c r="AA604" s="184"/>
      <c r="AB604" s="179"/>
      <c r="AC604" s="114">
        <v>8</v>
      </c>
      <c r="AD604" s="172" t="s">
        <v>887</v>
      </c>
      <c r="AE604" s="114"/>
      <c r="AF604" s="114"/>
      <c r="AG604" s="114"/>
      <c r="AH604" s="106" t="s">
        <v>915</v>
      </c>
      <c r="AI604" s="114"/>
      <c r="AJ604" s="106"/>
      <c r="AK604" s="114"/>
      <c r="AL604" s="106"/>
      <c r="AM604" s="114"/>
      <c r="AN604" s="106"/>
      <c r="AO604" s="114"/>
      <c r="AP604" s="106"/>
      <c r="AQ604" s="114"/>
      <c r="AR604" s="106"/>
      <c r="AS604" s="114"/>
      <c r="AT604" s="106"/>
      <c r="AU604" s="114"/>
      <c r="AV604" s="106"/>
      <c r="AW604" s="114"/>
      <c r="AX604" s="157"/>
      <c r="AY604" s="157"/>
      <c r="AZ604" s="157"/>
      <c r="BA604" s="157"/>
      <c r="BB604" s="157"/>
      <c r="BC604" s="157"/>
    </row>
    <row r="605" spans="1:55" ht="39.6" x14ac:dyDescent="0.3">
      <c r="A605" s="114">
        <f t="shared" si="22"/>
        <v>601</v>
      </c>
      <c r="B605" s="179" t="s">
        <v>3788</v>
      </c>
      <c r="C605" s="114">
        <v>0</v>
      </c>
      <c r="D605" s="114" t="s">
        <v>991</v>
      </c>
      <c r="E605" s="114" t="s">
        <v>929</v>
      </c>
      <c r="F605" s="114" t="s">
        <v>909</v>
      </c>
      <c r="G605" s="114"/>
      <c r="H605" s="114" t="s">
        <v>869</v>
      </c>
      <c r="I605" s="114" t="s">
        <v>870</v>
      </c>
      <c r="J605" s="114"/>
      <c r="K605" s="114"/>
      <c r="L605" s="114"/>
      <c r="M605" s="191" t="s">
        <v>874</v>
      </c>
      <c r="N605" s="114">
        <v>1</v>
      </c>
      <c r="O605" s="180" t="s">
        <v>909</v>
      </c>
      <c r="P605" s="180" t="s">
        <v>3789</v>
      </c>
      <c r="Q605" s="180" t="s">
        <v>909</v>
      </c>
      <c r="R605" s="180"/>
      <c r="S605" s="180"/>
      <c r="T605" s="181" t="s">
        <v>3790</v>
      </c>
      <c r="U605" s="179" t="s">
        <v>3791</v>
      </c>
      <c r="V605" s="179" t="s">
        <v>3792</v>
      </c>
      <c r="W605" s="114" t="s">
        <v>3793</v>
      </c>
      <c r="X605" s="180">
        <v>16</v>
      </c>
      <c r="Y605" s="182" t="s">
        <v>913</v>
      </c>
      <c r="Z605" s="183" t="s">
        <v>3794</v>
      </c>
      <c r="AA605" s="184"/>
      <c r="AB605" s="182"/>
      <c r="AC605" s="114">
        <v>8</v>
      </c>
      <c r="AD605" s="172" t="s">
        <v>887</v>
      </c>
      <c r="AE605" s="114"/>
      <c r="AF605" s="114"/>
      <c r="AG605" s="114"/>
      <c r="AH605" s="106" t="s">
        <v>915</v>
      </c>
      <c r="AI605" s="114"/>
      <c r="AJ605" s="106"/>
      <c r="AK605" s="114"/>
      <c r="AL605" s="106"/>
      <c r="AM605" s="114"/>
      <c r="AN605" s="106"/>
      <c r="AO605" s="114"/>
      <c r="AP605" s="106"/>
      <c r="AQ605" s="114"/>
      <c r="AR605" s="106"/>
      <c r="AS605" s="114"/>
      <c r="AT605" s="106"/>
      <c r="AU605" s="114"/>
      <c r="AV605" s="106"/>
      <c r="AW605" s="114"/>
      <c r="AX605" s="157"/>
      <c r="AY605" s="157"/>
      <c r="AZ605" s="157"/>
      <c r="BA605" s="157"/>
      <c r="BB605" s="157"/>
      <c r="BC605" s="157"/>
    </row>
    <row r="606" spans="1:55" ht="145.19999999999999" x14ac:dyDescent="0.3">
      <c r="A606" s="114">
        <f t="shared" si="22"/>
        <v>602</v>
      </c>
      <c r="B606" s="179" t="s">
        <v>3795</v>
      </c>
      <c r="C606" s="114">
        <v>0</v>
      </c>
      <c r="D606" s="114" t="s">
        <v>991</v>
      </c>
      <c r="E606" s="114" t="s">
        <v>980</v>
      </c>
      <c r="F606" s="114" t="s">
        <v>909</v>
      </c>
      <c r="G606" s="114"/>
      <c r="H606" s="114" t="s">
        <v>869</v>
      </c>
      <c r="I606" s="114" t="s">
        <v>870</v>
      </c>
      <c r="J606" s="114"/>
      <c r="K606" s="114"/>
      <c r="L606" s="114"/>
      <c r="M606" s="114"/>
      <c r="N606" s="114">
        <v>1</v>
      </c>
      <c r="O606" s="180">
        <v>0</v>
      </c>
      <c r="P606" s="180">
        <v>3600</v>
      </c>
      <c r="Q606" s="180">
        <v>0</v>
      </c>
      <c r="R606" s="180">
        <v>0.1</v>
      </c>
      <c r="S606" s="180" t="s">
        <v>2015</v>
      </c>
      <c r="T606" s="181" t="s">
        <v>3796</v>
      </c>
      <c r="U606" s="179" t="s">
        <v>3797</v>
      </c>
      <c r="V606" s="179" t="s">
        <v>3798</v>
      </c>
      <c r="W606" s="114" t="s">
        <v>3799</v>
      </c>
      <c r="X606" s="179">
        <v>16</v>
      </c>
      <c r="Y606" s="182" t="s">
        <v>913</v>
      </c>
      <c r="Z606" s="183" t="s">
        <v>3800</v>
      </c>
      <c r="AA606" s="184"/>
      <c r="AB606" s="182"/>
      <c r="AC606" s="114">
        <v>8</v>
      </c>
      <c r="AD606" s="172" t="s">
        <v>887</v>
      </c>
      <c r="AE606" s="114"/>
      <c r="AF606" s="114"/>
      <c r="AG606" s="114"/>
      <c r="AH606" s="106" t="s">
        <v>915</v>
      </c>
      <c r="AI606" s="114"/>
      <c r="AJ606" s="106"/>
      <c r="AK606" s="114"/>
      <c r="AL606" s="106"/>
      <c r="AM606" s="114"/>
      <c r="AN606" s="106"/>
      <c r="AO606" s="114"/>
      <c r="AP606" s="106"/>
      <c r="AQ606" s="114"/>
      <c r="AR606" s="106"/>
      <c r="AS606" s="114"/>
      <c r="AT606" s="106"/>
      <c r="AU606" s="114"/>
      <c r="AV606" s="106"/>
      <c r="AW606" s="114"/>
      <c r="AX606" s="157"/>
      <c r="AY606" s="157"/>
      <c r="AZ606" s="157"/>
      <c r="BA606" s="157"/>
      <c r="BB606" s="157"/>
      <c r="BC606" s="157"/>
    </row>
    <row r="607" spans="1:55" x14ac:dyDescent="0.3">
      <c r="A607" s="114">
        <f t="shared" si="22"/>
        <v>603</v>
      </c>
      <c r="B607" s="179" t="s">
        <v>3801</v>
      </c>
      <c r="C607" s="114">
        <v>0</v>
      </c>
      <c r="D607" s="114" t="s">
        <v>991</v>
      </c>
      <c r="E607" s="114" t="s">
        <v>980</v>
      </c>
      <c r="F607" s="114" t="s">
        <v>909</v>
      </c>
      <c r="G607" s="114"/>
      <c r="H607" s="114" t="s">
        <v>869</v>
      </c>
      <c r="I607" s="114" t="s">
        <v>870</v>
      </c>
      <c r="J607" s="114"/>
      <c r="K607" s="114"/>
      <c r="L607" s="114"/>
      <c r="M607" s="114"/>
      <c r="N607" s="114">
        <v>1</v>
      </c>
      <c r="O607" s="180">
        <v>0</v>
      </c>
      <c r="P607" s="180">
        <v>3600</v>
      </c>
      <c r="Q607" s="180">
        <v>0</v>
      </c>
      <c r="R607" s="180">
        <v>0.1</v>
      </c>
      <c r="S607" s="180" t="s">
        <v>2015</v>
      </c>
      <c r="T607" s="181" t="s">
        <v>3802</v>
      </c>
      <c r="U607" s="179" t="s">
        <v>66</v>
      </c>
      <c r="V607" s="179" t="s">
        <v>3803</v>
      </c>
      <c r="W607" s="114" t="s">
        <v>3804</v>
      </c>
      <c r="X607" s="180">
        <v>16</v>
      </c>
      <c r="Y607" s="182" t="s">
        <v>913</v>
      </c>
      <c r="Z607" s="183"/>
      <c r="AA607" s="184"/>
      <c r="AB607" s="182"/>
      <c r="AC607" s="114">
        <v>8</v>
      </c>
      <c r="AD607" s="172" t="s">
        <v>887</v>
      </c>
      <c r="AE607" s="114"/>
      <c r="AF607" s="114"/>
      <c r="AG607" s="114"/>
      <c r="AH607" s="106" t="s">
        <v>915</v>
      </c>
      <c r="AI607" s="114"/>
      <c r="AJ607" s="106"/>
      <c r="AK607" s="114"/>
      <c r="AL607" s="106"/>
      <c r="AM607" s="114"/>
      <c r="AN607" s="106"/>
      <c r="AO607" s="114"/>
      <c r="AP607" s="106"/>
      <c r="AQ607" s="114"/>
      <c r="AR607" s="106"/>
      <c r="AS607" s="114"/>
      <c r="AT607" s="106"/>
      <c r="AU607" s="114"/>
      <c r="AV607" s="106"/>
      <c r="AW607" s="114"/>
      <c r="AX607" s="157"/>
      <c r="AY607" s="157"/>
      <c r="AZ607" s="157"/>
      <c r="BA607" s="157"/>
      <c r="BB607" s="157"/>
      <c r="BC607" s="157"/>
    </row>
    <row r="608" spans="1:55" ht="105.6" x14ac:dyDescent="0.3">
      <c r="A608" s="114">
        <f t="shared" si="22"/>
        <v>604</v>
      </c>
      <c r="B608" s="179" t="s">
        <v>3805</v>
      </c>
      <c r="C608" s="114">
        <v>0</v>
      </c>
      <c r="D608" s="114" t="s">
        <v>991</v>
      </c>
      <c r="E608" s="114" t="s">
        <v>929</v>
      </c>
      <c r="F608" s="114" t="s">
        <v>909</v>
      </c>
      <c r="G608" s="114"/>
      <c r="H608" s="114" t="s">
        <v>869</v>
      </c>
      <c r="I608" s="114"/>
      <c r="J608" s="114"/>
      <c r="K608" s="114"/>
      <c r="L608" s="114"/>
      <c r="M608" s="114"/>
      <c r="N608" s="114">
        <v>1</v>
      </c>
      <c r="O608" s="180" t="s">
        <v>909</v>
      </c>
      <c r="P608" s="180" t="s">
        <v>923</v>
      </c>
      <c r="Q608" s="180" t="s">
        <v>923</v>
      </c>
      <c r="R608" s="180"/>
      <c r="S608" s="180"/>
      <c r="T608" s="181" t="s">
        <v>3806</v>
      </c>
      <c r="U608" s="179" t="s">
        <v>3807</v>
      </c>
      <c r="V608" s="179" t="s">
        <v>3808</v>
      </c>
      <c r="W608" s="114" t="s">
        <v>3809</v>
      </c>
      <c r="X608" s="179">
        <v>16</v>
      </c>
      <c r="Y608" s="182" t="s">
        <v>913</v>
      </c>
      <c r="Z608" s="183" t="s">
        <v>3810</v>
      </c>
      <c r="AA608" s="184"/>
      <c r="AB608" s="182"/>
      <c r="AC608" s="114">
        <v>1</v>
      </c>
      <c r="AD608" s="172" t="s">
        <v>887</v>
      </c>
      <c r="AE608" s="114"/>
      <c r="AF608" s="114"/>
      <c r="AG608" s="114"/>
      <c r="AH608" s="106"/>
      <c r="AI608" s="114"/>
      <c r="AJ608" s="106"/>
      <c r="AK608" s="114"/>
      <c r="AL608" s="106"/>
      <c r="AM608" s="114"/>
      <c r="AN608" s="106"/>
      <c r="AO608" s="114"/>
      <c r="AP608" s="106"/>
      <c r="AQ608" s="114"/>
      <c r="AR608" s="106"/>
      <c r="AS608" s="114"/>
      <c r="AT608" s="106"/>
      <c r="AU608" s="114"/>
      <c r="AV608" s="106"/>
      <c r="AW608" s="114"/>
      <c r="AX608" s="157"/>
      <c r="AY608" s="157"/>
      <c r="AZ608" s="157"/>
      <c r="BA608" s="157"/>
      <c r="BB608" s="157"/>
      <c r="BC608" s="157"/>
    </row>
    <row r="609" spans="1:55" s="188" customFormat="1" ht="52.8" x14ac:dyDescent="0.3">
      <c r="A609" s="114">
        <f t="shared" si="22"/>
        <v>605</v>
      </c>
      <c r="B609" s="179" t="s">
        <v>3811</v>
      </c>
      <c r="C609" s="114">
        <v>0</v>
      </c>
      <c r="D609" s="114" t="s">
        <v>991</v>
      </c>
      <c r="E609" s="114" t="s">
        <v>966</v>
      </c>
      <c r="F609" s="114" t="s">
        <v>909</v>
      </c>
      <c r="G609" s="114"/>
      <c r="H609" s="114"/>
      <c r="I609" s="114"/>
      <c r="J609" s="114"/>
      <c r="K609" s="114"/>
      <c r="L609" s="114"/>
      <c r="M609" s="114"/>
      <c r="N609" s="114">
        <v>5</v>
      </c>
      <c r="O609" s="180">
        <v>0</v>
      </c>
      <c r="P609" s="192" t="s">
        <v>3812</v>
      </c>
      <c r="Q609" s="180">
        <v>0</v>
      </c>
      <c r="R609" s="180">
        <v>1E-3</v>
      </c>
      <c r="S609" s="180"/>
      <c r="T609" s="181" t="s">
        <v>3813</v>
      </c>
      <c r="U609" s="179" t="s">
        <v>3814</v>
      </c>
      <c r="V609" s="179" t="s">
        <v>3815</v>
      </c>
      <c r="W609" s="114" t="s">
        <v>3816</v>
      </c>
      <c r="X609" s="179">
        <v>32</v>
      </c>
      <c r="Y609" s="182" t="s">
        <v>913</v>
      </c>
      <c r="Z609" s="183" t="s">
        <v>3817</v>
      </c>
      <c r="AA609" s="184" t="s">
        <v>3818</v>
      </c>
      <c r="AB609" s="182"/>
      <c r="AC609" s="114">
        <v>1</v>
      </c>
      <c r="AD609" s="172" t="s">
        <v>887</v>
      </c>
      <c r="AE609" s="114"/>
      <c r="AF609" s="114"/>
      <c r="AG609" s="114"/>
      <c r="AH609" s="106"/>
      <c r="AI609" s="114"/>
      <c r="AJ609" s="106"/>
      <c r="AK609" s="114"/>
      <c r="AL609" s="106"/>
      <c r="AM609" s="114"/>
      <c r="AN609" s="106"/>
      <c r="AO609" s="114"/>
      <c r="AP609" s="106"/>
      <c r="AQ609" s="114"/>
      <c r="AR609" s="106"/>
      <c r="AS609" s="114"/>
      <c r="AT609" s="106"/>
      <c r="AU609" s="114"/>
      <c r="AV609" s="106"/>
      <c r="AW609" s="114"/>
      <c r="AX609" s="157"/>
      <c r="AY609" s="157"/>
      <c r="AZ609" s="157"/>
      <c r="BA609" s="157"/>
      <c r="BB609" s="157"/>
      <c r="BC609" s="157"/>
    </row>
    <row r="610" spans="1:55" ht="52.8" x14ac:dyDescent="0.3">
      <c r="A610" s="114">
        <f t="shared" si="22"/>
        <v>606</v>
      </c>
      <c r="B610" s="179" t="s">
        <v>3819</v>
      </c>
      <c r="C610" s="114">
        <v>0</v>
      </c>
      <c r="D610" s="114" t="s">
        <v>991</v>
      </c>
      <c r="E610" s="114" t="s">
        <v>980</v>
      </c>
      <c r="F610" s="114" t="s">
        <v>909</v>
      </c>
      <c r="G610" s="114"/>
      <c r="H610" s="114"/>
      <c r="I610" s="114"/>
      <c r="J610" s="114"/>
      <c r="K610" s="114"/>
      <c r="L610" s="114"/>
      <c r="M610" s="114"/>
      <c r="N610" s="114">
        <v>5</v>
      </c>
      <c r="O610" s="180">
        <v>0</v>
      </c>
      <c r="P610" s="180">
        <v>32767</v>
      </c>
      <c r="Q610" s="180">
        <v>0</v>
      </c>
      <c r="R610" s="180"/>
      <c r="S610" s="180"/>
      <c r="T610" s="181" t="s">
        <v>3820</v>
      </c>
      <c r="U610" s="179" t="s">
        <v>3821</v>
      </c>
      <c r="V610" s="179" t="s">
        <v>3822</v>
      </c>
      <c r="W610" s="114" t="s">
        <v>3823</v>
      </c>
      <c r="X610" s="180">
        <v>16</v>
      </c>
      <c r="Y610" s="182" t="s">
        <v>913</v>
      </c>
      <c r="Z610" s="183" t="s">
        <v>3824</v>
      </c>
      <c r="AA610" s="184" t="s">
        <v>3825</v>
      </c>
      <c r="AB610" s="182"/>
      <c r="AC610" s="114">
        <v>1</v>
      </c>
      <c r="AD610" s="172" t="s">
        <v>887</v>
      </c>
      <c r="AE610" s="114"/>
      <c r="AF610" s="114"/>
      <c r="AG610" s="114"/>
      <c r="AH610" s="106"/>
      <c r="AI610" s="114"/>
      <c r="AJ610" s="106"/>
      <c r="AK610" s="114"/>
      <c r="AL610" s="106"/>
      <c r="AM610" s="114"/>
      <c r="AN610" s="106"/>
      <c r="AO610" s="114"/>
      <c r="AP610" s="106"/>
      <c r="AQ610" s="114"/>
      <c r="AR610" s="106"/>
      <c r="AS610" s="114"/>
      <c r="AT610" s="106"/>
      <c r="AU610" s="114"/>
      <c r="AV610" s="106"/>
      <c r="AW610" s="114"/>
      <c r="AX610" s="157"/>
      <c r="AY610" s="157"/>
      <c r="AZ610" s="157"/>
      <c r="BA610" s="157"/>
      <c r="BB610" s="157"/>
      <c r="BC610" s="157"/>
    </row>
    <row r="611" spans="1:55" x14ac:dyDescent="0.3">
      <c r="A611" s="114">
        <f t="shared" si="22"/>
        <v>607</v>
      </c>
      <c r="B611" s="179" t="s">
        <v>3826</v>
      </c>
      <c r="C611" s="114">
        <v>0</v>
      </c>
      <c r="D611" s="114" t="s">
        <v>991</v>
      </c>
      <c r="E611" s="114" t="s">
        <v>980</v>
      </c>
      <c r="F611" s="114" t="s">
        <v>909</v>
      </c>
      <c r="G611" s="114"/>
      <c r="H611" s="114" t="s">
        <v>869</v>
      </c>
      <c r="I611" s="114"/>
      <c r="J611" s="114"/>
      <c r="K611" s="114"/>
      <c r="L611" s="114"/>
      <c r="M611" s="114"/>
      <c r="N611" s="114">
        <v>5</v>
      </c>
      <c r="O611" s="180">
        <v>0</v>
      </c>
      <c r="P611" s="180">
        <v>600</v>
      </c>
      <c r="Q611" s="180">
        <v>100</v>
      </c>
      <c r="R611" s="180"/>
      <c r="S611" s="180" t="s">
        <v>1044</v>
      </c>
      <c r="T611" s="181" t="s">
        <v>3827</v>
      </c>
      <c r="U611" s="179" t="s">
        <v>3828</v>
      </c>
      <c r="V611" s="179" t="s">
        <v>3829</v>
      </c>
      <c r="W611" s="114" t="s">
        <v>3830</v>
      </c>
      <c r="X611" s="179">
        <v>16</v>
      </c>
      <c r="Y611" s="182" t="s">
        <v>913</v>
      </c>
      <c r="Z611" s="183"/>
      <c r="AA611" s="184"/>
      <c r="AB611" s="182"/>
      <c r="AC611" s="114">
        <v>1</v>
      </c>
      <c r="AD611" s="172" t="s">
        <v>887</v>
      </c>
      <c r="AE611" s="114"/>
      <c r="AF611" s="114"/>
      <c r="AG611" s="114"/>
      <c r="AH611" s="106"/>
      <c r="AI611" s="114"/>
      <c r="AJ611" s="106"/>
      <c r="AK611" s="114"/>
      <c r="AL611" s="106"/>
      <c r="AM611" s="114"/>
      <c r="AN611" s="106"/>
      <c r="AO611" s="114"/>
      <c r="AP611" s="106"/>
      <c r="AQ611" s="114"/>
      <c r="AR611" s="106"/>
      <c r="AS611" s="114"/>
      <c r="AT611" s="106"/>
      <c r="AU611" s="114"/>
      <c r="AV611" s="106"/>
      <c r="AW611" s="114"/>
      <c r="AX611" s="157"/>
      <c r="AY611" s="157"/>
      <c r="AZ611" s="157"/>
      <c r="BA611" s="157"/>
      <c r="BB611" s="157"/>
      <c r="BC611" s="157"/>
    </row>
    <row r="612" spans="1:55" x14ac:dyDescent="0.3">
      <c r="A612" s="114">
        <f t="shared" si="22"/>
        <v>608</v>
      </c>
      <c r="B612" s="179" t="s">
        <v>3831</v>
      </c>
      <c r="C612" s="114">
        <v>0</v>
      </c>
      <c r="D612" s="114" t="s">
        <v>991</v>
      </c>
      <c r="E612" s="114" t="s">
        <v>980</v>
      </c>
      <c r="F612" s="114" t="s">
        <v>909</v>
      </c>
      <c r="G612" s="114"/>
      <c r="H612" s="114" t="s">
        <v>869</v>
      </c>
      <c r="I612" s="114"/>
      <c r="J612" s="114"/>
      <c r="K612" s="114"/>
      <c r="L612" s="114"/>
      <c r="M612" s="114"/>
      <c r="N612" s="114">
        <v>5</v>
      </c>
      <c r="O612" s="180">
        <v>15</v>
      </c>
      <c r="P612" s="180">
        <v>600</v>
      </c>
      <c r="Q612" s="180">
        <v>100</v>
      </c>
      <c r="R612" s="180"/>
      <c r="S612" s="180" t="s">
        <v>1044</v>
      </c>
      <c r="T612" s="181" t="s">
        <v>3832</v>
      </c>
      <c r="U612" s="179" t="s">
        <v>3833</v>
      </c>
      <c r="V612" s="179" t="s">
        <v>3834</v>
      </c>
      <c r="W612" s="114" t="s">
        <v>3835</v>
      </c>
      <c r="X612" s="180">
        <v>16</v>
      </c>
      <c r="Y612" s="182" t="s">
        <v>913</v>
      </c>
      <c r="Z612" s="183"/>
      <c r="AA612" s="184"/>
      <c r="AB612" s="182"/>
      <c r="AC612" s="114">
        <v>1</v>
      </c>
      <c r="AD612" s="172" t="s">
        <v>887</v>
      </c>
      <c r="AE612" s="114"/>
      <c r="AF612" s="114"/>
      <c r="AG612" s="114"/>
      <c r="AH612" s="106"/>
      <c r="AI612" s="114"/>
      <c r="AJ612" s="106"/>
      <c r="AK612" s="114"/>
      <c r="AL612" s="106"/>
      <c r="AM612" s="114"/>
      <c r="AN612" s="106"/>
      <c r="AO612" s="114"/>
      <c r="AP612" s="106"/>
      <c r="AQ612" s="114"/>
      <c r="AR612" s="106"/>
      <c r="AS612" s="114"/>
      <c r="AT612" s="106"/>
      <c r="AU612" s="114"/>
      <c r="AV612" s="106"/>
      <c r="AW612" s="114"/>
      <c r="AX612" s="157"/>
      <c r="AY612" s="157"/>
      <c r="AZ612" s="157"/>
      <c r="BA612" s="157"/>
      <c r="BB612" s="157"/>
      <c r="BC612" s="157"/>
    </row>
    <row r="613" spans="1:55" x14ac:dyDescent="0.3">
      <c r="A613" s="114">
        <f t="shared" si="22"/>
        <v>609</v>
      </c>
      <c r="B613" s="179" t="s">
        <v>3836</v>
      </c>
      <c r="C613" s="114">
        <v>0</v>
      </c>
      <c r="D613" s="114" t="s">
        <v>991</v>
      </c>
      <c r="E613" s="114" t="s">
        <v>980</v>
      </c>
      <c r="F613" s="114" t="s">
        <v>923</v>
      </c>
      <c r="G613" s="114" t="s">
        <v>868</v>
      </c>
      <c r="H613" s="114" t="s">
        <v>869</v>
      </c>
      <c r="I613" s="114" t="s">
        <v>870</v>
      </c>
      <c r="J613" s="114"/>
      <c r="K613" s="114"/>
      <c r="L613" s="114"/>
      <c r="M613" s="114"/>
      <c r="N613" s="114">
        <v>1</v>
      </c>
      <c r="O613" s="180">
        <v>0</v>
      </c>
      <c r="P613" s="180">
        <v>3</v>
      </c>
      <c r="Q613" s="180">
        <v>0</v>
      </c>
      <c r="R613" s="180"/>
      <c r="S613" s="180"/>
      <c r="T613" s="181" t="s">
        <v>3837</v>
      </c>
      <c r="U613" s="179" t="s">
        <v>3838</v>
      </c>
      <c r="V613" s="179" t="s">
        <v>3839</v>
      </c>
      <c r="W613" s="114" t="s">
        <v>3840</v>
      </c>
      <c r="X613" s="180">
        <v>16</v>
      </c>
      <c r="Y613" s="182" t="s">
        <v>913</v>
      </c>
      <c r="Z613" s="183" t="s">
        <v>3841</v>
      </c>
      <c r="AA613" s="184"/>
      <c r="AB613" s="182"/>
      <c r="AC613" s="114"/>
      <c r="AD613" s="114"/>
      <c r="AE613" s="114"/>
      <c r="AF613" s="114"/>
      <c r="AG613" s="114"/>
      <c r="AH613" s="106" t="s">
        <v>915</v>
      </c>
      <c r="AI613" s="114"/>
      <c r="AJ613" s="106"/>
      <c r="AK613" s="114"/>
      <c r="AL613" s="106"/>
      <c r="AM613" s="114"/>
      <c r="AN613" s="106"/>
      <c r="AO613" s="114"/>
      <c r="AP613" s="106"/>
      <c r="AQ613" s="114"/>
      <c r="AR613" s="106"/>
      <c r="AS613" s="114"/>
      <c r="AT613" s="106"/>
      <c r="AU613" s="114"/>
      <c r="AV613" s="106"/>
      <c r="AW613" s="114"/>
      <c r="AX613" s="157"/>
      <c r="AY613" s="157"/>
      <c r="AZ613" s="157"/>
      <c r="BA613" s="157"/>
      <c r="BB613" s="157"/>
      <c r="BC613" s="157"/>
    </row>
    <row r="614" spans="1:55" ht="103.5" customHeight="1" x14ac:dyDescent="0.3">
      <c r="A614" s="114">
        <f t="shared" si="22"/>
        <v>610</v>
      </c>
      <c r="B614" s="179" t="s">
        <v>3842</v>
      </c>
      <c r="C614" s="114">
        <v>0</v>
      </c>
      <c r="D614" s="114" t="s">
        <v>991</v>
      </c>
      <c r="E614" s="114" t="s">
        <v>966</v>
      </c>
      <c r="F614" s="114" t="s">
        <v>923</v>
      </c>
      <c r="G614" s="114" t="s">
        <v>868</v>
      </c>
      <c r="H614" s="114" t="s">
        <v>869</v>
      </c>
      <c r="I614" s="114"/>
      <c r="J614" s="114"/>
      <c r="K614" s="114"/>
      <c r="L614" s="114"/>
      <c r="M614" s="114"/>
      <c r="N614" s="114">
        <v>1</v>
      </c>
      <c r="O614" s="180">
        <v>0</v>
      </c>
      <c r="P614" s="180">
        <v>50000</v>
      </c>
      <c r="Q614" s="180">
        <v>50000</v>
      </c>
      <c r="R614" s="180"/>
      <c r="S614" s="180" t="s">
        <v>1511</v>
      </c>
      <c r="T614" s="181" t="s">
        <v>3843</v>
      </c>
      <c r="U614" s="179" t="s">
        <v>3844</v>
      </c>
      <c r="V614" s="179" t="s">
        <v>3845</v>
      </c>
      <c r="W614" s="114" t="str">
        <f>CONCATENATE("0x",TEXT(DEC2HEX(HEX2DEC("FD")*256+(24)*2),"0000"))</f>
        <v>0xFD30</v>
      </c>
      <c r="X614" s="180"/>
      <c r="Y614" s="182" t="s">
        <v>913</v>
      </c>
      <c r="Z614" s="183" t="s">
        <v>3846</v>
      </c>
      <c r="AA614" s="184"/>
      <c r="AB614" s="182"/>
      <c r="AC614" s="114"/>
      <c r="AD614" s="114"/>
      <c r="AE614" s="114"/>
      <c r="AF614" s="114"/>
      <c r="AG614" s="114"/>
      <c r="AH614" s="106"/>
      <c r="AI614" s="114"/>
      <c r="AJ614" s="106"/>
      <c r="AK614" s="114"/>
      <c r="AL614" s="106"/>
      <c r="AM614" s="114"/>
      <c r="AN614" s="106"/>
      <c r="AO614" s="114"/>
      <c r="AP614" s="106"/>
      <c r="AQ614" s="114"/>
      <c r="AR614" s="106"/>
      <c r="AS614" s="114"/>
      <c r="AT614" s="106"/>
      <c r="AU614" s="114"/>
      <c r="AV614" s="106"/>
      <c r="AW614" s="114"/>
      <c r="AX614" s="157"/>
      <c r="AY614" s="157"/>
      <c r="AZ614" s="157"/>
      <c r="BA614" s="157"/>
      <c r="BB614" s="157"/>
      <c r="BC614" s="157"/>
    </row>
    <row r="615" spans="1:55" ht="369.6" x14ac:dyDescent="0.3">
      <c r="A615" s="114">
        <f t="shared" si="22"/>
        <v>611</v>
      </c>
      <c r="B615" s="179" t="s">
        <v>3847</v>
      </c>
      <c r="C615" s="114">
        <v>0</v>
      </c>
      <c r="D615" s="114" t="s">
        <v>991</v>
      </c>
      <c r="E615" s="114" t="s">
        <v>929</v>
      </c>
      <c r="F615" s="114" t="s">
        <v>909</v>
      </c>
      <c r="G615" s="114"/>
      <c r="H615" s="114" t="s">
        <v>869</v>
      </c>
      <c r="I615" s="114" t="s">
        <v>870</v>
      </c>
      <c r="J615" s="114"/>
      <c r="K615" s="114"/>
      <c r="L615" s="114"/>
      <c r="M615" s="114"/>
      <c r="N615" s="114">
        <v>1</v>
      </c>
      <c r="O615" s="180">
        <v>0</v>
      </c>
      <c r="P615" s="180">
        <v>65535</v>
      </c>
      <c r="Q615" s="180">
        <v>650</v>
      </c>
      <c r="R615" s="180">
        <v>0.01</v>
      </c>
      <c r="S615" s="180" t="s">
        <v>930</v>
      </c>
      <c r="T615" s="181" t="s">
        <v>3848</v>
      </c>
      <c r="U615" s="179" t="s">
        <v>3849</v>
      </c>
      <c r="V615" s="179" t="s">
        <v>3850</v>
      </c>
      <c r="W615" s="114" t="s">
        <v>3851</v>
      </c>
      <c r="X615" s="180">
        <v>16</v>
      </c>
      <c r="Y615" s="182" t="s">
        <v>913</v>
      </c>
      <c r="Z615" s="183" t="s">
        <v>3852</v>
      </c>
      <c r="AA615" s="184"/>
      <c r="AB615" s="182"/>
      <c r="AC615" s="114">
        <v>8</v>
      </c>
      <c r="AD615" s="172" t="s">
        <v>887</v>
      </c>
      <c r="AE615" s="114"/>
      <c r="AF615" s="114"/>
      <c r="AG615" s="114"/>
      <c r="AH615" s="106" t="s">
        <v>915</v>
      </c>
      <c r="AI615" s="114"/>
      <c r="AJ615" s="106"/>
      <c r="AK615" s="114"/>
      <c r="AL615" s="106"/>
      <c r="AM615" s="114"/>
      <c r="AN615" s="106"/>
      <c r="AO615" s="114"/>
      <c r="AP615" s="106"/>
      <c r="AQ615" s="114"/>
      <c r="AR615" s="106"/>
      <c r="AS615" s="114"/>
      <c r="AT615" s="106"/>
      <c r="AU615" s="114"/>
      <c r="AV615" s="106"/>
      <c r="AW615" s="114"/>
      <c r="AX615" s="157"/>
      <c r="AY615" s="157"/>
      <c r="AZ615" s="157"/>
      <c r="BA615" s="157"/>
      <c r="BB615" s="157"/>
      <c r="BC615" s="157"/>
    </row>
    <row r="616" spans="1:55" ht="39.6" x14ac:dyDescent="0.3">
      <c r="A616" s="114">
        <f t="shared" si="22"/>
        <v>612</v>
      </c>
      <c r="B616" s="179" t="s">
        <v>3853</v>
      </c>
      <c r="C616" s="114">
        <v>0</v>
      </c>
      <c r="D616" s="114" t="s">
        <v>991</v>
      </c>
      <c r="E616" s="114" t="s">
        <v>966</v>
      </c>
      <c r="F616" s="114" t="s">
        <v>909</v>
      </c>
      <c r="G616" s="114"/>
      <c r="H616" s="114" t="s">
        <v>869</v>
      </c>
      <c r="I616" s="114"/>
      <c r="J616" s="114"/>
      <c r="K616" s="114"/>
      <c r="L616" s="114"/>
      <c r="M616" s="114"/>
      <c r="N616" s="114">
        <v>1</v>
      </c>
      <c r="O616" s="180">
        <v>0</v>
      </c>
      <c r="P616" s="180">
        <v>65535</v>
      </c>
      <c r="Q616" s="180">
        <v>0</v>
      </c>
      <c r="R616" s="180">
        <v>1E-3</v>
      </c>
      <c r="S616" s="180" t="s">
        <v>1511</v>
      </c>
      <c r="T616" s="181" t="s">
        <v>3854</v>
      </c>
      <c r="U616" s="179" t="s">
        <v>71</v>
      </c>
      <c r="V616" s="179" t="s">
        <v>3855</v>
      </c>
      <c r="W616" s="114" t="s">
        <v>3856</v>
      </c>
      <c r="X616" s="179">
        <v>16</v>
      </c>
      <c r="Y616" s="182" t="s">
        <v>913</v>
      </c>
      <c r="Z616" s="183" t="s">
        <v>3857</v>
      </c>
      <c r="AA616" s="184"/>
      <c r="AB616" s="182"/>
      <c r="AC616" s="114">
        <v>1</v>
      </c>
      <c r="AD616" s="172" t="s">
        <v>887</v>
      </c>
      <c r="AE616" s="114"/>
      <c r="AF616" s="114"/>
      <c r="AG616" s="114"/>
      <c r="AH616" s="106"/>
      <c r="AI616" s="114"/>
      <c r="AJ616" s="106"/>
      <c r="AK616" s="114"/>
      <c r="AL616" s="106"/>
      <c r="AM616" s="114"/>
      <c r="AN616" s="106"/>
      <c r="AO616" s="114"/>
      <c r="AP616" s="106"/>
      <c r="AQ616" s="114"/>
      <c r="AR616" s="106"/>
      <c r="AS616" s="114"/>
      <c r="AT616" s="106"/>
      <c r="AU616" s="114"/>
      <c r="AV616" s="106"/>
      <c r="AW616" s="114"/>
      <c r="AX616" s="157"/>
      <c r="AY616" s="157"/>
      <c r="AZ616" s="157"/>
      <c r="BA616" s="157"/>
      <c r="BB616" s="157"/>
      <c r="BC616" s="157"/>
    </row>
    <row r="617" spans="1:55" ht="39.6" x14ac:dyDescent="0.3">
      <c r="A617" s="114">
        <f t="shared" si="22"/>
        <v>613</v>
      </c>
      <c r="B617" s="179" t="s">
        <v>3858</v>
      </c>
      <c r="C617" s="114">
        <v>0</v>
      </c>
      <c r="D617" s="114" t="s">
        <v>991</v>
      </c>
      <c r="E617" s="114" t="s">
        <v>966</v>
      </c>
      <c r="F617" s="114" t="s">
        <v>909</v>
      </c>
      <c r="G617" s="114"/>
      <c r="H617" s="114" t="s">
        <v>869</v>
      </c>
      <c r="I617" s="114"/>
      <c r="J617" s="114"/>
      <c r="K617" s="114"/>
      <c r="L617" s="114"/>
      <c r="M617" s="114"/>
      <c r="N617" s="114">
        <v>1</v>
      </c>
      <c r="O617" s="180">
        <v>0</v>
      </c>
      <c r="P617" s="180">
        <v>65535</v>
      </c>
      <c r="Q617" s="180">
        <v>0</v>
      </c>
      <c r="R617" s="107">
        <v>1.0000000000000001E-5</v>
      </c>
      <c r="S617" s="180" t="s">
        <v>3859</v>
      </c>
      <c r="T617" s="181" t="s">
        <v>3860</v>
      </c>
      <c r="U617" s="179" t="s">
        <v>72</v>
      </c>
      <c r="V617" s="179" t="s">
        <v>3861</v>
      </c>
      <c r="W617" s="114" t="s">
        <v>3862</v>
      </c>
      <c r="X617" s="180">
        <v>16</v>
      </c>
      <c r="Y617" s="182" t="s">
        <v>913</v>
      </c>
      <c r="Z617" s="183" t="s">
        <v>3863</v>
      </c>
      <c r="AA617" s="184"/>
      <c r="AB617" s="182"/>
      <c r="AC617" s="114">
        <v>1</v>
      </c>
      <c r="AD617" s="172" t="s">
        <v>887</v>
      </c>
      <c r="AE617" s="114"/>
      <c r="AF617" s="114"/>
      <c r="AG617" s="114"/>
      <c r="AH617" s="106"/>
      <c r="AI617" s="114"/>
      <c r="AJ617" s="106"/>
      <c r="AK617" s="114"/>
      <c r="AL617" s="106"/>
      <c r="AM617" s="114"/>
      <c r="AN617" s="106"/>
      <c r="AO617" s="114"/>
      <c r="AP617" s="106"/>
      <c r="AQ617" s="114"/>
      <c r="AR617" s="106"/>
      <c r="AS617" s="114"/>
      <c r="AT617" s="106"/>
      <c r="AU617" s="114"/>
      <c r="AV617" s="106"/>
      <c r="AW617" s="114"/>
      <c r="AX617" s="157"/>
      <c r="AY617" s="157"/>
      <c r="AZ617" s="157"/>
      <c r="BA617" s="157"/>
      <c r="BB617" s="157"/>
      <c r="BC617" s="157"/>
    </row>
    <row r="618" spans="1:55" x14ac:dyDescent="0.3">
      <c r="A618" s="114">
        <f t="shared" si="22"/>
        <v>614</v>
      </c>
      <c r="B618" s="179" t="s">
        <v>3864</v>
      </c>
      <c r="C618" s="114">
        <v>0</v>
      </c>
      <c r="D618" s="114" t="s">
        <v>991</v>
      </c>
      <c r="E618" s="114" t="s">
        <v>980</v>
      </c>
      <c r="F618" s="114" t="s">
        <v>909</v>
      </c>
      <c r="G618" s="114"/>
      <c r="H618" s="114" t="s">
        <v>869</v>
      </c>
      <c r="I618" s="114"/>
      <c r="J618" s="114"/>
      <c r="K618" s="114"/>
      <c r="L618" s="114"/>
      <c r="M618" s="114"/>
      <c r="N618" s="114">
        <v>1</v>
      </c>
      <c r="O618" s="180">
        <v>0</v>
      </c>
      <c r="P618" s="180">
        <v>22876</v>
      </c>
      <c r="Q618" s="180">
        <v>0</v>
      </c>
      <c r="R618" s="180">
        <v>0.1</v>
      </c>
      <c r="S618" s="180" t="s">
        <v>3865</v>
      </c>
      <c r="T618" s="181" t="s">
        <v>3866</v>
      </c>
      <c r="U618" s="179" t="s">
        <v>3867</v>
      </c>
      <c r="V618" s="179" t="s">
        <v>3868</v>
      </c>
      <c r="W618" s="114" t="s">
        <v>3869</v>
      </c>
      <c r="X618" s="180">
        <v>16</v>
      </c>
      <c r="Y618" s="182" t="s">
        <v>913</v>
      </c>
      <c r="Z618" s="183" t="s">
        <v>3870</v>
      </c>
      <c r="AA618" s="184"/>
      <c r="AB618" s="182"/>
      <c r="AC618" s="114">
        <v>1</v>
      </c>
      <c r="AD618" s="172" t="s">
        <v>887</v>
      </c>
      <c r="AE618" s="114"/>
      <c r="AF618" s="114"/>
      <c r="AG618" s="114"/>
      <c r="AH618" s="106"/>
      <c r="AI618" s="114"/>
      <c r="AJ618" s="106"/>
      <c r="AK618" s="114"/>
      <c r="AL618" s="106"/>
      <c r="AM618" s="114"/>
      <c r="AN618" s="106"/>
      <c r="AO618" s="114"/>
      <c r="AP618" s="106"/>
      <c r="AQ618" s="114"/>
      <c r="AR618" s="106"/>
      <c r="AS618" s="114"/>
      <c r="AT618" s="106"/>
      <c r="AU618" s="114"/>
      <c r="AV618" s="106"/>
      <c r="AW618" s="114"/>
      <c r="AX618" s="157"/>
      <c r="AY618" s="157"/>
      <c r="AZ618" s="157"/>
      <c r="BA618" s="157"/>
      <c r="BB618" s="157"/>
      <c r="BC618" s="157"/>
    </row>
    <row r="619" spans="1:55" ht="26.4" x14ac:dyDescent="0.3">
      <c r="A619" s="114">
        <f t="shared" si="22"/>
        <v>615</v>
      </c>
      <c r="B619" s="179" t="s">
        <v>3871</v>
      </c>
      <c r="C619" s="114">
        <v>0</v>
      </c>
      <c r="D619" s="114" t="s">
        <v>991</v>
      </c>
      <c r="E619" s="190" t="s">
        <v>3872</v>
      </c>
      <c r="F619" s="114" t="s">
        <v>923</v>
      </c>
      <c r="G619" s="109"/>
      <c r="H619" s="109" t="s">
        <v>869</v>
      </c>
      <c r="I619" s="114" t="s">
        <v>870</v>
      </c>
      <c r="J619" s="114"/>
      <c r="K619" s="114"/>
      <c r="L619" s="114"/>
      <c r="M619" s="114"/>
      <c r="N619" s="114">
        <v>1</v>
      </c>
      <c r="O619" s="180">
        <v>1000</v>
      </c>
      <c r="P619" s="180">
        <v>500000</v>
      </c>
      <c r="Q619" s="180">
        <v>30000</v>
      </c>
      <c r="R619" s="180">
        <v>1E-3</v>
      </c>
      <c r="S619" s="180" t="s">
        <v>3873</v>
      </c>
      <c r="T619" s="181" t="s">
        <v>3874</v>
      </c>
      <c r="U619" s="179" t="s">
        <v>3875</v>
      </c>
      <c r="V619" s="179" t="s">
        <v>3876</v>
      </c>
      <c r="W619" s="114" t="s">
        <v>3877</v>
      </c>
      <c r="X619" s="180">
        <v>16</v>
      </c>
      <c r="Y619" s="182" t="s">
        <v>913</v>
      </c>
      <c r="Z619" s="183" t="s">
        <v>3878</v>
      </c>
      <c r="AA619" s="184" t="s">
        <v>3879</v>
      </c>
      <c r="AB619" s="182"/>
      <c r="AC619" s="114"/>
      <c r="AD619" s="114"/>
      <c r="AE619" s="114"/>
      <c r="AF619" s="114"/>
      <c r="AG619" s="114"/>
      <c r="AH619" s="106"/>
      <c r="AI619" s="114"/>
      <c r="AJ619" s="106"/>
      <c r="AK619" s="114"/>
      <c r="AL619" s="106"/>
      <c r="AM619" s="114"/>
      <c r="AN619" s="106"/>
      <c r="AO619" s="114"/>
      <c r="AP619" s="106"/>
      <c r="AQ619" s="114"/>
      <c r="AR619" s="106"/>
      <c r="AS619" s="114"/>
      <c r="AT619" s="106"/>
      <c r="AU619" s="114"/>
      <c r="AV619" s="106"/>
      <c r="AW619" s="114"/>
      <c r="AX619" s="157"/>
      <c r="AY619" s="157"/>
      <c r="AZ619" s="157"/>
      <c r="BA619" s="157"/>
      <c r="BB619" s="157"/>
      <c r="BC619" s="157"/>
    </row>
    <row r="620" spans="1:55" x14ac:dyDescent="0.3">
      <c r="A620" s="114">
        <f t="shared" si="22"/>
        <v>616</v>
      </c>
      <c r="B620" s="179" t="s">
        <v>3880</v>
      </c>
      <c r="C620" s="114">
        <v>0</v>
      </c>
      <c r="D620" s="114" t="s">
        <v>991</v>
      </c>
      <c r="E620" s="114" t="s">
        <v>3872</v>
      </c>
      <c r="F620" s="114" t="s">
        <v>923</v>
      </c>
      <c r="G620" s="114"/>
      <c r="H620" s="114" t="s">
        <v>869</v>
      </c>
      <c r="I620" s="114"/>
      <c r="J620" s="114"/>
      <c r="K620" s="114"/>
      <c r="L620" s="114"/>
      <c r="M620" s="114"/>
      <c r="N620" s="114">
        <v>1</v>
      </c>
      <c r="O620" s="180">
        <v>0</v>
      </c>
      <c r="P620" s="180">
        <v>177362</v>
      </c>
      <c r="Q620" s="180">
        <v>0</v>
      </c>
      <c r="R620" s="180">
        <v>0.01</v>
      </c>
      <c r="S620" s="180" t="s">
        <v>3881</v>
      </c>
      <c r="T620" s="181" t="s">
        <v>3882</v>
      </c>
      <c r="U620" s="179" t="s">
        <v>3883</v>
      </c>
      <c r="V620" s="179" t="s">
        <v>3884</v>
      </c>
      <c r="W620" s="114" t="s">
        <v>3885</v>
      </c>
      <c r="X620" s="180">
        <v>32</v>
      </c>
      <c r="Y620" s="182" t="s">
        <v>913</v>
      </c>
      <c r="Z620" s="183" t="s">
        <v>3886</v>
      </c>
      <c r="AA620" s="184"/>
      <c r="AB620" s="182"/>
      <c r="AC620" s="114"/>
      <c r="AD620" s="114"/>
      <c r="AE620" s="114"/>
      <c r="AF620" s="114"/>
      <c r="AG620" s="114"/>
      <c r="AH620" s="106"/>
      <c r="AI620" s="114"/>
      <c r="AJ620" s="106"/>
      <c r="AK620" s="114"/>
      <c r="AL620" s="106"/>
      <c r="AM620" s="114"/>
      <c r="AN620" s="106"/>
      <c r="AO620" s="114"/>
      <c r="AP620" s="106"/>
      <c r="AQ620" s="114"/>
      <c r="AR620" s="106"/>
      <c r="AS620" s="114"/>
      <c r="AT620" s="106"/>
      <c r="AU620" s="114"/>
      <c r="AV620" s="106"/>
      <c r="AW620" s="114"/>
      <c r="AX620" s="157"/>
      <c r="AY620" s="157"/>
      <c r="AZ620" s="157"/>
      <c r="BA620" s="157"/>
      <c r="BB620" s="157"/>
      <c r="BC620" s="157"/>
    </row>
    <row r="621" spans="1:55" ht="26.4" x14ac:dyDescent="0.3">
      <c r="A621" s="114">
        <f t="shared" si="22"/>
        <v>617</v>
      </c>
      <c r="B621" s="179" t="s">
        <v>3887</v>
      </c>
      <c r="C621" s="114">
        <v>0</v>
      </c>
      <c r="D621" s="114" t="s">
        <v>991</v>
      </c>
      <c r="E621" s="114" t="s">
        <v>980</v>
      </c>
      <c r="F621" s="114" t="s">
        <v>923</v>
      </c>
      <c r="G621" s="114"/>
      <c r="H621" s="114" t="s">
        <v>869</v>
      </c>
      <c r="I621" s="114"/>
      <c r="J621" s="114"/>
      <c r="K621" s="114"/>
      <c r="L621" s="114"/>
      <c r="M621" s="114"/>
      <c r="N621" s="114">
        <v>1</v>
      </c>
      <c r="O621" s="180">
        <v>0</v>
      </c>
      <c r="P621" s="180">
        <v>10000</v>
      </c>
      <c r="Q621" s="180">
        <v>500</v>
      </c>
      <c r="R621" s="127">
        <v>0.1</v>
      </c>
      <c r="S621" s="180" t="s">
        <v>1382</v>
      </c>
      <c r="T621" s="181" t="s">
        <v>3888</v>
      </c>
      <c r="U621" s="179" t="s">
        <v>3889</v>
      </c>
      <c r="V621" s="179" t="s">
        <v>3890</v>
      </c>
      <c r="W621" s="114" t="s">
        <v>3891</v>
      </c>
      <c r="X621" s="180">
        <v>16</v>
      </c>
      <c r="Y621" s="182" t="s">
        <v>913</v>
      </c>
      <c r="Z621" s="183" t="s">
        <v>3892</v>
      </c>
      <c r="AA621" s="184"/>
      <c r="AB621" s="182"/>
      <c r="AC621" s="114"/>
      <c r="AD621" s="114"/>
      <c r="AE621" s="114"/>
      <c r="AF621" s="114"/>
      <c r="AG621" s="114"/>
      <c r="AH621" s="106"/>
      <c r="AI621" s="114"/>
      <c r="AJ621" s="106"/>
      <c r="AK621" s="114"/>
      <c r="AL621" s="106"/>
      <c r="AM621" s="114"/>
      <c r="AN621" s="106"/>
      <c r="AO621" s="114"/>
      <c r="AP621" s="106"/>
      <c r="AQ621" s="114"/>
      <c r="AR621" s="106"/>
      <c r="AS621" s="114"/>
      <c r="AT621" s="106"/>
      <c r="AU621" s="114"/>
      <c r="AV621" s="106"/>
      <c r="AW621" s="114"/>
      <c r="AX621" s="157"/>
      <c r="AY621" s="157"/>
      <c r="AZ621" s="157"/>
      <c r="BA621" s="157"/>
      <c r="BB621" s="157"/>
      <c r="BC621" s="157"/>
    </row>
    <row r="622" spans="1:55" x14ac:dyDescent="0.3">
      <c r="A622" s="114">
        <f t="shared" si="22"/>
        <v>618</v>
      </c>
      <c r="B622" s="179" t="s">
        <v>3893</v>
      </c>
      <c r="C622" s="114">
        <v>0</v>
      </c>
      <c r="D622" s="114" t="s">
        <v>991</v>
      </c>
      <c r="E622" s="114" t="s">
        <v>980</v>
      </c>
      <c r="F622" s="114" t="s">
        <v>923</v>
      </c>
      <c r="G622" s="126"/>
      <c r="H622" s="114" t="s">
        <v>869</v>
      </c>
      <c r="I622" s="114"/>
      <c r="J622" s="114"/>
      <c r="K622" s="114"/>
      <c r="L622" s="114"/>
      <c r="M622" s="114"/>
      <c r="N622" s="114">
        <v>1</v>
      </c>
      <c r="O622" s="180">
        <v>0</v>
      </c>
      <c r="P622" s="180">
        <v>15999</v>
      </c>
      <c r="Q622" s="180">
        <v>0</v>
      </c>
      <c r="R622" s="127">
        <v>1E-3</v>
      </c>
      <c r="S622" s="180" t="s">
        <v>1511</v>
      </c>
      <c r="T622" s="128" t="s">
        <v>3894</v>
      </c>
      <c r="U622" s="129" t="s">
        <v>3895</v>
      </c>
      <c r="V622" s="179" t="s">
        <v>3896</v>
      </c>
      <c r="W622" s="114" t="s">
        <v>3897</v>
      </c>
      <c r="X622" s="180">
        <v>16</v>
      </c>
      <c r="Y622" s="182" t="s">
        <v>913</v>
      </c>
      <c r="Z622" s="183"/>
      <c r="AA622" s="184"/>
      <c r="AB622" s="182"/>
      <c r="AC622" s="114"/>
      <c r="AD622" s="114"/>
      <c r="AE622" s="114"/>
      <c r="AF622" s="114"/>
      <c r="AG622" s="114"/>
      <c r="AH622" s="106"/>
      <c r="AI622" s="114"/>
      <c r="AJ622" s="106"/>
      <c r="AK622" s="114"/>
      <c r="AL622" s="106"/>
      <c r="AM622" s="114"/>
      <c r="AN622" s="106"/>
      <c r="AO622" s="114"/>
      <c r="AP622" s="106"/>
      <c r="AQ622" s="114"/>
      <c r="AR622" s="106"/>
      <c r="AS622" s="114"/>
      <c r="AT622" s="106"/>
      <c r="AU622" s="114"/>
      <c r="AV622" s="106"/>
      <c r="AW622" s="114"/>
      <c r="AX622" s="157"/>
      <c r="AY622" s="157"/>
      <c r="AZ622" s="157"/>
      <c r="BA622" s="157"/>
      <c r="BB622" s="157"/>
      <c r="BC622" s="157"/>
    </row>
    <row r="623" spans="1:55" x14ac:dyDescent="0.3">
      <c r="A623" s="114">
        <f t="shared" si="22"/>
        <v>619</v>
      </c>
      <c r="B623" s="179" t="s">
        <v>3898</v>
      </c>
      <c r="C623" s="114">
        <v>0</v>
      </c>
      <c r="D623" s="114" t="s">
        <v>991</v>
      </c>
      <c r="E623" s="114" t="s">
        <v>980</v>
      </c>
      <c r="F623" s="114" t="s">
        <v>923</v>
      </c>
      <c r="G623" s="126"/>
      <c r="H623" s="114" t="s">
        <v>869</v>
      </c>
      <c r="I623" s="114"/>
      <c r="J623" s="114"/>
      <c r="K623" s="114"/>
      <c r="L623" s="114"/>
      <c r="M623" s="114"/>
      <c r="N623" s="114">
        <v>1</v>
      </c>
      <c r="O623" s="180">
        <v>0</v>
      </c>
      <c r="P623" s="127">
        <v>24999</v>
      </c>
      <c r="Q623" s="180">
        <v>10</v>
      </c>
      <c r="R623" s="221">
        <v>1.0000000000000001E-5</v>
      </c>
      <c r="S623" s="127" t="s">
        <v>3899</v>
      </c>
      <c r="T623" s="181" t="s">
        <v>3900</v>
      </c>
      <c r="U623" s="179" t="s">
        <v>3901</v>
      </c>
      <c r="V623" s="179" t="s">
        <v>3902</v>
      </c>
      <c r="W623" s="114" t="s">
        <v>3903</v>
      </c>
      <c r="X623" s="180">
        <v>16</v>
      </c>
      <c r="Y623" s="182" t="s">
        <v>913</v>
      </c>
      <c r="Z623" s="183"/>
      <c r="AA623" s="184"/>
      <c r="AB623" s="182"/>
      <c r="AC623" s="114"/>
      <c r="AD623" s="114"/>
      <c r="AE623" s="114"/>
      <c r="AF623" s="114"/>
      <c r="AG623" s="114"/>
      <c r="AH623" s="106"/>
      <c r="AI623" s="114"/>
      <c r="AJ623" s="106"/>
      <c r="AK623" s="114"/>
      <c r="AL623" s="106"/>
      <c r="AM623" s="114"/>
      <c r="AN623" s="106"/>
      <c r="AO623" s="114"/>
      <c r="AP623" s="106"/>
      <c r="AQ623" s="114"/>
      <c r="AR623" s="106"/>
      <c r="AS623" s="114"/>
      <c r="AT623" s="106"/>
      <c r="AU623" s="114"/>
      <c r="AV623" s="106"/>
      <c r="AW623" s="114"/>
      <c r="AX623" s="157"/>
      <c r="AY623" s="157"/>
      <c r="AZ623" s="157"/>
      <c r="BA623" s="157"/>
      <c r="BB623" s="157"/>
      <c r="BC623" s="157"/>
    </row>
    <row r="624" spans="1:55" x14ac:dyDescent="0.3">
      <c r="A624" s="114">
        <f t="shared" si="22"/>
        <v>620</v>
      </c>
      <c r="B624" s="179" t="s">
        <v>3904</v>
      </c>
      <c r="C624" s="114">
        <v>0</v>
      </c>
      <c r="D624" s="114" t="s">
        <v>991</v>
      </c>
      <c r="E624" s="126" t="s">
        <v>966</v>
      </c>
      <c r="F624" s="114" t="s">
        <v>923</v>
      </c>
      <c r="G624" s="126"/>
      <c r="H624" s="114" t="s">
        <v>869</v>
      </c>
      <c r="I624" s="114"/>
      <c r="J624" s="114"/>
      <c r="K624" s="114"/>
      <c r="L624" s="114"/>
      <c r="M624" s="114"/>
      <c r="N624" s="114">
        <v>1</v>
      </c>
      <c r="O624" s="180">
        <v>0</v>
      </c>
      <c r="P624" s="127">
        <v>199900</v>
      </c>
      <c r="Q624" s="180">
        <v>10</v>
      </c>
      <c r="R624" s="221">
        <v>1.0000000000000001E-5</v>
      </c>
      <c r="S624" s="127" t="s">
        <v>3899</v>
      </c>
      <c r="T624" s="181" t="s">
        <v>3905</v>
      </c>
      <c r="U624" s="179" t="s">
        <v>3906</v>
      </c>
      <c r="V624" s="179" t="s">
        <v>3907</v>
      </c>
      <c r="W624" s="114" t="s">
        <v>3908</v>
      </c>
      <c r="X624" s="180">
        <v>16</v>
      </c>
      <c r="Y624" s="182" t="s">
        <v>913</v>
      </c>
      <c r="Z624" s="183"/>
      <c r="AA624" s="184"/>
      <c r="AB624" s="182"/>
      <c r="AC624" s="114"/>
      <c r="AD624" s="114"/>
      <c r="AE624" s="114"/>
      <c r="AF624" s="114"/>
      <c r="AG624" s="114"/>
      <c r="AH624" s="106"/>
      <c r="AI624" s="114"/>
      <c r="AJ624" s="106"/>
      <c r="AK624" s="114"/>
      <c r="AL624" s="106"/>
      <c r="AM624" s="114"/>
      <c r="AN624" s="106"/>
      <c r="AO624" s="114"/>
      <c r="AP624" s="106"/>
      <c r="AQ624" s="114"/>
      <c r="AR624" s="106"/>
      <c r="AS624" s="114"/>
      <c r="AT624" s="106"/>
      <c r="AU624" s="114"/>
      <c r="AV624" s="106"/>
      <c r="AW624" s="114"/>
      <c r="AX624" s="157"/>
      <c r="AY624" s="157"/>
      <c r="AZ624" s="157"/>
      <c r="BA624" s="157"/>
      <c r="BB624" s="157"/>
      <c r="BC624" s="157"/>
    </row>
    <row r="625" spans="1:55" x14ac:dyDescent="0.3">
      <c r="A625" s="114">
        <f t="shared" si="22"/>
        <v>621</v>
      </c>
      <c r="B625" s="179" t="s">
        <v>3909</v>
      </c>
      <c r="C625" s="114">
        <v>0</v>
      </c>
      <c r="D625" s="114" t="s">
        <v>991</v>
      </c>
      <c r="E625" s="114" t="s">
        <v>980</v>
      </c>
      <c r="F625" s="114" t="s">
        <v>923</v>
      </c>
      <c r="G625" s="126"/>
      <c r="H625" s="114" t="s">
        <v>869</v>
      </c>
      <c r="I625" s="114"/>
      <c r="J625" s="114"/>
      <c r="K625" s="114"/>
      <c r="L625" s="114"/>
      <c r="M625" s="114"/>
      <c r="N625" s="114">
        <v>1</v>
      </c>
      <c r="O625" s="180">
        <v>0</v>
      </c>
      <c r="P625" s="180">
        <v>32767</v>
      </c>
      <c r="Q625" s="180">
        <v>10</v>
      </c>
      <c r="R625" s="127">
        <v>0.01</v>
      </c>
      <c r="S625" s="180" t="s">
        <v>930</v>
      </c>
      <c r="T625" s="181" t="s">
        <v>3910</v>
      </c>
      <c r="U625" s="179" t="s">
        <v>3911</v>
      </c>
      <c r="V625" s="179" t="s">
        <v>3912</v>
      </c>
      <c r="W625" s="114" t="s">
        <v>3913</v>
      </c>
      <c r="X625" s="180">
        <v>16</v>
      </c>
      <c r="Y625" s="182" t="s">
        <v>913</v>
      </c>
      <c r="Z625" s="183"/>
      <c r="AA625" s="184"/>
      <c r="AB625" s="182"/>
      <c r="AC625" s="114"/>
      <c r="AD625" s="114"/>
      <c r="AE625" s="114"/>
      <c r="AF625" s="114"/>
      <c r="AG625" s="114"/>
      <c r="AH625" s="106"/>
      <c r="AI625" s="114"/>
      <c r="AJ625" s="106"/>
      <c r="AK625" s="114"/>
      <c r="AL625" s="106"/>
      <c r="AM625" s="114"/>
      <c r="AN625" s="106"/>
      <c r="AO625" s="114"/>
      <c r="AP625" s="106"/>
      <c r="AQ625" s="114"/>
      <c r="AR625" s="106"/>
      <c r="AS625" s="114"/>
      <c r="AT625" s="106"/>
      <c r="AU625" s="114"/>
      <c r="AV625" s="106"/>
      <c r="AW625" s="114"/>
      <c r="AX625" s="157"/>
      <c r="AY625" s="157"/>
      <c r="AZ625" s="157"/>
      <c r="BA625" s="157"/>
      <c r="BB625" s="157"/>
      <c r="BC625" s="157"/>
    </row>
    <row r="626" spans="1:55" x14ac:dyDescent="0.3">
      <c r="A626" s="114">
        <f t="shared" si="22"/>
        <v>622</v>
      </c>
      <c r="B626" s="179" t="s">
        <v>3914</v>
      </c>
      <c r="C626" s="114">
        <v>0</v>
      </c>
      <c r="D626" s="114" t="s">
        <v>991</v>
      </c>
      <c r="E626" s="114" t="s">
        <v>980</v>
      </c>
      <c r="F626" s="114" t="s">
        <v>923</v>
      </c>
      <c r="G626" s="126"/>
      <c r="H626" s="114"/>
      <c r="I626" s="114"/>
      <c r="J626" s="114"/>
      <c r="K626" s="114"/>
      <c r="L626" s="114"/>
      <c r="M626" s="114"/>
      <c r="N626" s="114">
        <v>5</v>
      </c>
      <c r="O626" s="180">
        <v>0</v>
      </c>
      <c r="P626" s="180">
        <v>32767</v>
      </c>
      <c r="Q626" s="180">
        <v>0</v>
      </c>
      <c r="R626" s="180"/>
      <c r="S626" s="180"/>
      <c r="T626" s="181" t="s">
        <v>3915</v>
      </c>
      <c r="U626" s="179" t="s">
        <v>3916</v>
      </c>
      <c r="V626" s="179" t="s">
        <v>3917</v>
      </c>
      <c r="W626" s="114" t="s">
        <v>3918</v>
      </c>
      <c r="X626" s="180">
        <v>16</v>
      </c>
      <c r="Y626" s="182" t="s">
        <v>913</v>
      </c>
      <c r="Z626" s="183"/>
      <c r="AA626" s="184"/>
      <c r="AB626" s="182"/>
      <c r="AC626" s="114"/>
      <c r="AD626" s="114"/>
      <c r="AE626" s="114"/>
      <c r="AF626" s="114"/>
      <c r="AG626" s="114"/>
      <c r="AH626" s="106"/>
      <c r="AI626" s="114"/>
      <c r="AJ626" s="106"/>
      <c r="AK626" s="114"/>
      <c r="AL626" s="106"/>
      <c r="AM626" s="114"/>
      <c r="AN626" s="106"/>
      <c r="AO626" s="114"/>
      <c r="AP626" s="106"/>
      <c r="AQ626" s="114"/>
      <c r="AR626" s="106"/>
      <c r="AS626" s="114"/>
      <c r="AT626" s="106"/>
      <c r="AU626" s="114"/>
      <c r="AV626" s="106"/>
      <c r="AW626" s="114"/>
      <c r="AX626" s="157"/>
      <c r="AY626" s="157"/>
      <c r="AZ626" s="157"/>
      <c r="BA626" s="157"/>
      <c r="BB626" s="157"/>
      <c r="BC626" s="157"/>
    </row>
    <row r="627" spans="1:55" x14ac:dyDescent="0.3">
      <c r="A627" s="114">
        <f t="shared" si="22"/>
        <v>623</v>
      </c>
      <c r="B627" s="179" t="s">
        <v>3919</v>
      </c>
      <c r="C627" s="114">
        <v>0</v>
      </c>
      <c r="D627" s="114" t="s">
        <v>991</v>
      </c>
      <c r="E627" s="114" t="s">
        <v>980</v>
      </c>
      <c r="F627" s="114" t="s">
        <v>923</v>
      </c>
      <c r="G627" s="126"/>
      <c r="H627" s="114"/>
      <c r="I627" s="114"/>
      <c r="J627" s="114"/>
      <c r="K627" s="114"/>
      <c r="L627" s="114"/>
      <c r="M627" s="114"/>
      <c r="N627" s="114">
        <v>5</v>
      </c>
      <c r="O627" s="180">
        <v>0</v>
      </c>
      <c r="P627" s="180">
        <v>5119</v>
      </c>
      <c r="Q627" s="180">
        <v>0</v>
      </c>
      <c r="R627" s="127">
        <v>0.1</v>
      </c>
      <c r="S627" s="180"/>
      <c r="T627" s="181" t="s">
        <v>3920</v>
      </c>
      <c r="U627" s="179" t="s">
        <v>3921</v>
      </c>
      <c r="V627" s="179" t="s">
        <v>3922</v>
      </c>
      <c r="W627" s="114" t="s">
        <v>3923</v>
      </c>
      <c r="X627" s="180">
        <v>16</v>
      </c>
      <c r="Y627" s="182" t="s">
        <v>913</v>
      </c>
      <c r="Z627" s="183"/>
      <c r="AA627" s="184"/>
      <c r="AB627" s="182"/>
      <c r="AC627" s="114"/>
      <c r="AD627" s="114"/>
      <c r="AE627" s="114"/>
      <c r="AF627" s="114"/>
      <c r="AG627" s="114"/>
      <c r="AH627" s="106"/>
      <c r="AI627" s="114"/>
      <c r="AJ627" s="106"/>
      <c r="AK627" s="114"/>
      <c r="AL627" s="106"/>
      <c r="AM627" s="114"/>
      <c r="AN627" s="106"/>
      <c r="AO627" s="114"/>
      <c r="AP627" s="106"/>
      <c r="AQ627" s="114"/>
      <c r="AR627" s="106"/>
      <c r="AS627" s="114"/>
      <c r="AT627" s="106"/>
      <c r="AU627" s="114"/>
      <c r="AV627" s="106"/>
      <c r="AW627" s="114"/>
      <c r="AX627" s="157"/>
      <c r="AY627" s="157"/>
      <c r="AZ627" s="157"/>
      <c r="BA627" s="157"/>
      <c r="BB627" s="157"/>
      <c r="BC627" s="157"/>
    </row>
    <row r="628" spans="1:55" ht="39.6" x14ac:dyDescent="0.3">
      <c r="A628" s="114">
        <f t="shared" si="22"/>
        <v>624</v>
      </c>
      <c r="B628" s="179" t="s">
        <v>3924</v>
      </c>
      <c r="C628" s="114">
        <v>0</v>
      </c>
      <c r="D628" s="114" t="s">
        <v>991</v>
      </c>
      <c r="E628" s="114" t="s">
        <v>980</v>
      </c>
      <c r="F628" s="114" t="s">
        <v>923</v>
      </c>
      <c r="G628" s="114" t="s">
        <v>868</v>
      </c>
      <c r="H628" s="114"/>
      <c r="I628" s="114"/>
      <c r="J628" s="114"/>
      <c r="K628" s="114"/>
      <c r="L628" s="114"/>
      <c r="M628" s="114"/>
      <c r="N628" s="114">
        <v>3</v>
      </c>
      <c r="O628" s="180">
        <v>0</v>
      </c>
      <c r="P628" s="127" t="s">
        <v>1191</v>
      </c>
      <c r="Q628" s="180">
        <v>0</v>
      </c>
      <c r="R628" s="180"/>
      <c r="S628" s="180"/>
      <c r="T628" s="128" t="s">
        <v>3925</v>
      </c>
      <c r="U628" s="128" t="s">
        <v>3925</v>
      </c>
      <c r="V628" s="179" t="s">
        <v>3926</v>
      </c>
      <c r="W628" s="114" t="s">
        <v>3927</v>
      </c>
      <c r="X628" s="180">
        <v>16</v>
      </c>
      <c r="Y628" s="182" t="s">
        <v>913</v>
      </c>
      <c r="Z628" s="130" t="s">
        <v>3928</v>
      </c>
      <c r="AA628" s="184"/>
      <c r="AB628" s="182"/>
      <c r="AC628" s="114"/>
      <c r="AD628" s="114"/>
      <c r="AE628" s="114"/>
      <c r="AF628" s="114"/>
      <c r="AG628" s="114"/>
      <c r="AH628" s="106"/>
      <c r="AI628" s="114"/>
      <c r="AJ628" s="106"/>
      <c r="AK628" s="114"/>
      <c r="AL628" s="106"/>
      <c r="AM628" s="114"/>
      <c r="AN628" s="106"/>
      <c r="AO628" s="114"/>
      <c r="AP628" s="106"/>
      <c r="AQ628" s="114"/>
      <c r="AR628" s="106"/>
      <c r="AS628" s="114"/>
      <c r="AT628" s="106"/>
      <c r="AU628" s="114"/>
      <c r="AV628" s="106"/>
      <c r="AW628" s="114"/>
      <c r="AX628" s="157"/>
      <c r="AY628" s="157"/>
      <c r="AZ628" s="157"/>
      <c r="BA628" s="157"/>
      <c r="BB628" s="157"/>
      <c r="BC628" s="157"/>
    </row>
    <row r="629" spans="1:55" ht="39.6" x14ac:dyDescent="0.3">
      <c r="A629" s="114">
        <f t="shared" si="22"/>
        <v>625</v>
      </c>
      <c r="B629" s="179" t="s">
        <v>3929</v>
      </c>
      <c r="C629" s="114">
        <v>0</v>
      </c>
      <c r="D629" s="114" t="s">
        <v>991</v>
      </c>
      <c r="E629" s="114" t="s">
        <v>980</v>
      </c>
      <c r="F629" s="114" t="s">
        <v>923</v>
      </c>
      <c r="G629" s="114" t="s">
        <v>868</v>
      </c>
      <c r="H629" s="114"/>
      <c r="I629" s="114"/>
      <c r="J629" s="114"/>
      <c r="K629" s="114"/>
      <c r="L629" s="114"/>
      <c r="M629" s="114"/>
      <c r="N629" s="114">
        <v>3</v>
      </c>
      <c r="O629" s="180">
        <v>0</v>
      </c>
      <c r="P629" s="127" t="s">
        <v>1191</v>
      </c>
      <c r="Q629" s="127">
        <v>0</v>
      </c>
      <c r="R629" s="180"/>
      <c r="S629" s="180"/>
      <c r="T629" s="128" t="s">
        <v>3930</v>
      </c>
      <c r="U629" s="128" t="s">
        <v>3930</v>
      </c>
      <c r="V629" s="179" t="s">
        <v>3931</v>
      </c>
      <c r="W629" s="114" t="s">
        <v>3932</v>
      </c>
      <c r="X629" s="180">
        <v>16</v>
      </c>
      <c r="Y629" s="182" t="s">
        <v>913</v>
      </c>
      <c r="Z629" s="130" t="s">
        <v>3928</v>
      </c>
      <c r="AA629" s="184"/>
      <c r="AB629" s="182"/>
      <c r="AC629" s="114"/>
      <c r="AD629" s="114"/>
      <c r="AE629" s="114"/>
      <c r="AF629" s="114"/>
      <c r="AG629" s="114"/>
      <c r="AH629" s="106"/>
      <c r="AI629" s="114"/>
      <c r="AJ629" s="106"/>
      <c r="AK629" s="114"/>
      <c r="AL629" s="106"/>
      <c r="AM629" s="114"/>
      <c r="AN629" s="106"/>
      <c r="AO629" s="114"/>
      <c r="AP629" s="106"/>
      <c r="AQ629" s="114"/>
      <c r="AR629" s="106"/>
      <c r="AS629" s="114"/>
      <c r="AT629" s="106"/>
      <c r="AU629" s="114"/>
      <c r="AV629" s="106"/>
      <c r="AW629" s="114"/>
      <c r="AX629" s="157"/>
      <c r="AY629" s="157"/>
      <c r="AZ629" s="157"/>
      <c r="BA629" s="157"/>
      <c r="BB629" s="157"/>
      <c r="BC629" s="157"/>
    </row>
    <row r="630" spans="1:55" ht="39.6" x14ac:dyDescent="0.3">
      <c r="A630" s="114">
        <f t="shared" si="22"/>
        <v>626</v>
      </c>
      <c r="B630" s="179" t="s">
        <v>3933</v>
      </c>
      <c r="C630" s="114">
        <v>0</v>
      </c>
      <c r="D630" s="114" t="s">
        <v>991</v>
      </c>
      <c r="E630" s="114" t="s">
        <v>980</v>
      </c>
      <c r="F630" s="114" t="s">
        <v>923</v>
      </c>
      <c r="G630" s="114" t="s">
        <v>868</v>
      </c>
      <c r="H630" s="114"/>
      <c r="I630" s="114"/>
      <c r="J630" s="114"/>
      <c r="K630" s="114"/>
      <c r="L630" s="114"/>
      <c r="M630" s="114"/>
      <c r="N630" s="114">
        <v>3</v>
      </c>
      <c r="O630" s="180">
        <v>0</v>
      </c>
      <c r="P630" s="127" t="s">
        <v>1191</v>
      </c>
      <c r="Q630" s="127">
        <v>0</v>
      </c>
      <c r="R630" s="180"/>
      <c r="S630" s="180"/>
      <c r="T630" s="128" t="s">
        <v>3934</v>
      </c>
      <c r="U630" s="128" t="s">
        <v>3934</v>
      </c>
      <c r="V630" s="179" t="s">
        <v>3935</v>
      </c>
      <c r="W630" s="114" t="s">
        <v>3936</v>
      </c>
      <c r="X630" s="180">
        <v>16</v>
      </c>
      <c r="Y630" s="182" t="s">
        <v>913</v>
      </c>
      <c r="Z630" s="130" t="s">
        <v>3928</v>
      </c>
      <c r="AA630" s="184"/>
      <c r="AB630" s="182"/>
      <c r="AC630" s="114"/>
      <c r="AD630" s="114"/>
      <c r="AE630" s="114"/>
      <c r="AF630" s="114"/>
      <c r="AG630" s="114"/>
      <c r="AH630" s="106"/>
      <c r="AI630" s="114"/>
      <c r="AJ630" s="106"/>
      <c r="AK630" s="114"/>
      <c r="AL630" s="106"/>
      <c r="AM630" s="114"/>
      <c r="AN630" s="106"/>
      <c r="AO630" s="114"/>
      <c r="AP630" s="106"/>
      <c r="AQ630" s="114"/>
      <c r="AR630" s="106"/>
      <c r="AS630" s="114"/>
      <c r="AT630" s="106"/>
      <c r="AU630" s="114"/>
      <c r="AV630" s="106"/>
      <c r="AW630" s="114"/>
      <c r="AX630" s="157"/>
      <c r="AY630" s="157"/>
      <c r="AZ630" s="157"/>
      <c r="BA630" s="157"/>
      <c r="BB630" s="157"/>
      <c r="BC630" s="157"/>
    </row>
    <row r="631" spans="1:55" ht="39.6" x14ac:dyDescent="0.3">
      <c r="A631" s="114">
        <f t="shared" si="22"/>
        <v>627</v>
      </c>
      <c r="B631" s="179" t="s">
        <v>3937</v>
      </c>
      <c r="C631" s="114">
        <v>0</v>
      </c>
      <c r="D631" s="114" t="s">
        <v>991</v>
      </c>
      <c r="E631" s="114" t="s">
        <v>980</v>
      </c>
      <c r="F631" s="114" t="s">
        <v>923</v>
      </c>
      <c r="G631" s="114" t="s">
        <v>868</v>
      </c>
      <c r="H631" s="114"/>
      <c r="I631" s="114"/>
      <c r="J631" s="114"/>
      <c r="K631" s="114"/>
      <c r="L631" s="114"/>
      <c r="M631" s="114"/>
      <c r="N631" s="114">
        <v>3</v>
      </c>
      <c r="O631" s="180">
        <v>0</v>
      </c>
      <c r="P631" s="127" t="s">
        <v>1191</v>
      </c>
      <c r="Q631" s="127">
        <v>0</v>
      </c>
      <c r="R631" s="180"/>
      <c r="S631" s="180"/>
      <c r="T631" s="128" t="s">
        <v>3938</v>
      </c>
      <c r="U631" s="128" t="s">
        <v>3938</v>
      </c>
      <c r="V631" s="179" t="s">
        <v>3939</v>
      </c>
      <c r="W631" s="114" t="s">
        <v>3940</v>
      </c>
      <c r="X631" s="180">
        <v>16</v>
      </c>
      <c r="Y631" s="182" t="s">
        <v>913</v>
      </c>
      <c r="Z631" s="130" t="s">
        <v>3928</v>
      </c>
      <c r="AA631" s="184"/>
      <c r="AB631" s="182"/>
      <c r="AC631" s="114"/>
      <c r="AD631" s="114"/>
      <c r="AE631" s="114"/>
      <c r="AF631" s="114"/>
      <c r="AG631" s="114"/>
      <c r="AH631" s="106"/>
      <c r="AI631" s="114"/>
      <c r="AJ631" s="106"/>
      <c r="AK631" s="114"/>
      <c r="AL631" s="106"/>
      <c r="AM631" s="114"/>
      <c r="AN631" s="106"/>
      <c r="AO631" s="114"/>
      <c r="AP631" s="106"/>
      <c r="AQ631" s="114"/>
      <c r="AR631" s="106"/>
      <c r="AS631" s="114"/>
      <c r="AT631" s="106"/>
      <c r="AU631" s="114"/>
      <c r="AV631" s="106"/>
      <c r="AW631" s="114"/>
      <c r="AX631" s="157"/>
      <c r="AY631" s="157"/>
      <c r="AZ631" s="157"/>
      <c r="BA631" s="157"/>
      <c r="BB631" s="157"/>
      <c r="BC631" s="157"/>
    </row>
    <row r="632" spans="1:55" ht="39.6" x14ac:dyDescent="0.3">
      <c r="A632" s="114">
        <f t="shared" si="22"/>
        <v>628</v>
      </c>
      <c r="B632" s="179" t="s">
        <v>3941</v>
      </c>
      <c r="C632" s="114">
        <v>0</v>
      </c>
      <c r="D632" s="114" t="s">
        <v>991</v>
      </c>
      <c r="E632" s="114" t="s">
        <v>929</v>
      </c>
      <c r="F632" s="114" t="s">
        <v>909</v>
      </c>
      <c r="G632" s="114"/>
      <c r="H632" s="199" t="s">
        <v>869</v>
      </c>
      <c r="I632" s="114" t="s">
        <v>870</v>
      </c>
      <c r="J632" s="114"/>
      <c r="K632" s="114"/>
      <c r="L632" s="114"/>
      <c r="M632" s="114"/>
      <c r="N632" s="114">
        <v>1</v>
      </c>
      <c r="O632" s="180">
        <v>0</v>
      </c>
      <c r="P632" s="180">
        <v>2</v>
      </c>
      <c r="Q632" s="180">
        <v>0</v>
      </c>
      <c r="R632" s="180"/>
      <c r="S632" s="180"/>
      <c r="T632" s="181" t="s">
        <v>3942</v>
      </c>
      <c r="U632" s="179" t="s">
        <v>3943</v>
      </c>
      <c r="V632" s="179" t="s">
        <v>3944</v>
      </c>
      <c r="W632" s="114" t="s">
        <v>3945</v>
      </c>
      <c r="X632" s="179">
        <v>16</v>
      </c>
      <c r="Y632" s="182" t="s">
        <v>913</v>
      </c>
      <c r="Z632" s="183" t="s">
        <v>3946</v>
      </c>
      <c r="AA632" s="184"/>
      <c r="AB632" s="182"/>
      <c r="AC632" s="114">
        <v>8</v>
      </c>
      <c r="AD632" s="172" t="s">
        <v>887</v>
      </c>
      <c r="AE632" s="114"/>
      <c r="AF632" s="114"/>
      <c r="AG632" s="114"/>
      <c r="AH632" s="106" t="s">
        <v>915</v>
      </c>
      <c r="AI632" s="114"/>
      <c r="AJ632" s="106"/>
      <c r="AK632" s="114"/>
      <c r="AL632" s="106"/>
      <c r="AM632" s="114"/>
      <c r="AN632" s="106"/>
      <c r="AO632" s="114"/>
      <c r="AP632" s="106"/>
      <c r="AQ632" s="114"/>
      <c r="AR632" s="106"/>
      <c r="AS632" s="114"/>
      <c r="AT632" s="106"/>
      <c r="AU632" s="114"/>
      <c r="AV632" s="106"/>
      <c r="AW632" s="114"/>
      <c r="AX632" s="157"/>
      <c r="AY632" s="157"/>
      <c r="AZ632" s="157"/>
      <c r="BA632" s="157"/>
      <c r="BB632" s="157"/>
      <c r="BC632" s="157"/>
    </row>
    <row r="633" spans="1:55" ht="79.2" x14ac:dyDescent="0.3">
      <c r="A633" s="114">
        <f t="shared" si="22"/>
        <v>629</v>
      </c>
      <c r="B633" s="179" t="s">
        <v>3947</v>
      </c>
      <c r="C633" s="114">
        <v>0</v>
      </c>
      <c r="D633" s="114" t="s">
        <v>991</v>
      </c>
      <c r="E633" s="114" t="s">
        <v>980</v>
      </c>
      <c r="F633" s="114" t="s">
        <v>909</v>
      </c>
      <c r="G633" s="114"/>
      <c r="H633" s="114" t="s">
        <v>869</v>
      </c>
      <c r="I633" s="114"/>
      <c r="J633" s="114"/>
      <c r="K633" s="114"/>
      <c r="L633" s="114"/>
      <c r="M633" s="114"/>
      <c r="N633" s="114">
        <v>1</v>
      </c>
      <c r="O633" s="180">
        <v>0</v>
      </c>
      <c r="P633" s="180">
        <v>200</v>
      </c>
      <c r="Q633" s="180">
        <v>100</v>
      </c>
      <c r="R633" s="180"/>
      <c r="S633" s="180" t="s">
        <v>3948</v>
      </c>
      <c r="T633" s="181" t="s">
        <v>3949</v>
      </c>
      <c r="U633" s="179" t="s">
        <v>3950</v>
      </c>
      <c r="V633" s="179" t="s">
        <v>102</v>
      </c>
      <c r="W633" s="114" t="s">
        <v>3951</v>
      </c>
      <c r="X633" s="179">
        <v>16</v>
      </c>
      <c r="Y633" s="182" t="s">
        <v>913</v>
      </c>
      <c r="Z633" s="183" t="s">
        <v>3952</v>
      </c>
      <c r="AA633" s="184"/>
      <c r="AB633" s="182"/>
      <c r="AC633" s="114">
        <v>1</v>
      </c>
      <c r="AD633" s="172" t="s">
        <v>887</v>
      </c>
      <c r="AE633" s="114"/>
      <c r="AF633" s="114"/>
      <c r="AG633" s="114"/>
      <c r="AH633" s="106"/>
      <c r="AI633" s="114"/>
      <c r="AJ633" s="106"/>
      <c r="AK633" s="114"/>
      <c r="AL633" s="106"/>
      <c r="AM633" s="114"/>
      <c r="AN633" s="106"/>
      <c r="AO633" s="114"/>
      <c r="AP633" s="106"/>
      <c r="AQ633" s="114"/>
      <c r="AR633" s="106"/>
      <c r="AS633" s="114"/>
      <c r="AT633" s="106"/>
      <c r="AU633" s="114"/>
      <c r="AV633" s="106"/>
      <c r="AW633" s="114"/>
      <c r="AX633" s="157"/>
      <c r="AY633" s="157"/>
      <c r="AZ633" s="157"/>
      <c r="BA633" s="157"/>
      <c r="BB633" s="157"/>
      <c r="BC633" s="157"/>
    </row>
    <row r="634" spans="1:55" x14ac:dyDescent="0.3">
      <c r="A634" s="114">
        <f t="shared" si="22"/>
        <v>630</v>
      </c>
      <c r="B634" s="179" t="s">
        <v>3953</v>
      </c>
      <c r="C634" s="114">
        <v>0</v>
      </c>
      <c r="D634" s="114" t="s">
        <v>991</v>
      </c>
      <c r="E634" s="114" t="s">
        <v>966</v>
      </c>
      <c r="F634" s="114" t="s">
        <v>923</v>
      </c>
      <c r="G634" s="109"/>
      <c r="H634" s="109" t="s">
        <v>869</v>
      </c>
      <c r="I634" s="114"/>
      <c r="J634" s="114"/>
      <c r="K634" s="114"/>
      <c r="L634" s="114"/>
      <c r="M634" s="114"/>
      <c r="N634" s="114">
        <v>1</v>
      </c>
      <c r="O634" s="180">
        <v>0</v>
      </c>
      <c r="P634" s="180">
        <v>500000</v>
      </c>
      <c r="Q634" s="180">
        <v>0</v>
      </c>
      <c r="R634" s="141">
        <v>1E-3</v>
      </c>
      <c r="S634" s="180" t="s">
        <v>3954</v>
      </c>
      <c r="T634" s="181" t="s">
        <v>3955</v>
      </c>
      <c r="U634" s="181" t="s">
        <v>3956</v>
      </c>
      <c r="V634" s="179" t="s">
        <v>3957</v>
      </c>
      <c r="W634" s="114" t="s">
        <v>3958</v>
      </c>
      <c r="X634" s="179">
        <v>32</v>
      </c>
      <c r="Y634" s="182" t="s">
        <v>913</v>
      </c>
      <c r="Z634" s="183" t="s">
        <v>3959</v>
      </c>
      <c r="AA634" s="184"/>
      <c r="AB634" s="182"/>
      <c r="AC634" s="114"/>
      <c r="AD634" s="114"/>
      <c r="AE634" s="114"/>
      <c r="AF634" s="114"/>
      <c r="AG634" s="114"/>
      <c r="AH634" s="106"/>
      <c r="AI634" s="114"/>
      <c r="AJ634" s="106"/>
      <c r="AK634" s="114"/>
      <c r="AL634" s="106"/>
      <c r="AM634" s="114"/>
      <c r="AN634" s="106"/>
      <c r="AO634" s="114"/>
      <c r="AP634" s="106"/>
      <c r="AQ634" s="114"/>
      <c r="AR634" s="106"/>
      <c r="AS634" s="114"/>
      <c r="AT634" s="106"/>
      <c r="AU634" s="114"/>
      <c r="AV634" s="106"/>
      <c r="AW634" s="114"/>
      <c r="AX634" s="157"/>
      <c r="AY634" s="157"/>
      <c r="AZ634" s="157"/>
      <c r="BA634" s="157"/>
      <c r="BB634" s="157"/>
      <c r="BC634" s="157"/>
    </row>
    <row r="635" spans="1:55" ht="79.2" x14ac:dyDescent="0.3">
      <c r="A635" s="114">
        <f t="shared" si="22"/>
        <v>631</v>
      </c>
      <c r="B635" s="179" t="s">
        <v>3960</v>
      </c>
      <c r="C635" s="114">
        <v>0</v>
      </c>
      <c r="D635" s="114" t="s">
        <v>991</v>
      </c>
      <c r="E635" s="114" t="s">
        <v>966</v>
      </c>
      <c r="F635" s="114" t="s">
        <v>923</v>
      </c>
      <c r="G635" s="109"/>
      <c r="H635" s="109" t="s">
        <v>869</v>
      </c>
      <c r="I635" s="131" t="s">
        <v>870</v>
      </c>
      <c r="J635" s="114"/>
      <c r="K635" s="114"/>
      <c r="L635" s="114"/>
      <c r="M635" s="114"/>
      <c r="N635" s="114">
        <v>1</v>
      </c>
      <c r="O635" s="180">
        <v>18</v>
      </c>
      <c r="P635" s="180">
        <v>62500000</v>
      </c>
      <c r="Q635" s="180">
        <v>1000</v>
      </c>
      <c r="R635" s="180"/>
      <c r="S635" s="180" t="s">
        <v>3961</v>
      </c>
      <c r="T635" s="181" t="s">
        <v>3962</v>
      </c>
      <c r="U635" s="179" t="s">
        <v>3963</v>
      </c>
      <c r="V635" s="179" t="s">
        <v>3963</v>
      </c>
      <c r="W635" s="114" t="s">
        <v>3964</v>
      </c>
      <c r="X635" s="179">
        <v>32</v>
      </c>
      <c r="Y635" s="182" t="s">
        <v>913</v>
      </c>
      <c r="Z635" s="183" t="s">
        <v>3965</v>
      </c>
      <c r="AA635" s="184"/>
      <c r="AB635" s="182"/>
      <c r="AC635" s="114"/>
      <c r="AD635" s="114"/>
      <c r="AE635" s="114"/>
      <c r="AF635" s="114"/>
      <c r="AG635" s="114"/>
      <c r="AH635" s="106"/>
      <c r="AI635" s="114"/>
      <c r="AJ635" s="106"/>
      <c r="AK635" s="114"/>
      <c r="AL635" s="106"/>
      <c r="AM635" s="114"/>
      <c r="AN635" s="106"/>
      <c r="AO635" s="114"/>
      <c r="AP635" s="106"/>
      <c r="AQ635" s="114"/>
      <c r="AR635" s="106"/>
      <c r="AS635" s="114"/>
      <c r="AT635" s="106"/>
      <c r="AU635" s="114"/>
      <c r="AV635" s="106"/>
      <c r="AW635" s="114"/>
      <c r="AX635" s="157"/>
      <c r="AY635" s="157"/>
      <c r="AZ635" s="157"/>
      <c r="BA635" s="157"/>
      <c r="BB635" s="157"/>
      <c r="BC635" s="157"/>
    </row>
    <row r="636" spans="1:55" ht="39.6" x14ac:dyDescent="0.3">
      <c r="A636" s="114">
        <f t="shared" si="22"/>
        <v>632</v>
      </c>
      <c r="B636" s="179" t="s">
        <v>3966</v>
      </c>
      <c r="C636" s="114">
        <v>0</v>
      </c>
      <c r="D636" s="114" t="s">
        <v>991</v>
      </c>
      <c r="E636" s="114" t="s">
        <v>980</v>
      </c>
      <c r="F636" s="114" t="s">
        <v>909</v>
      </c>
      <c r="G636" s="114"/>
      <c r="H636" s="114" t="s">
        <v>869</v>
      </c>
      <c r="I636" s="114" t="s">
        <v>870</v>
      </c>
      <c r="J636" s="114"/>
      <c r="K636" s="114"/>
      <c r="L636" s="114"/>
      <c r="M636" s="114"/>
      <c r="N636" s="114">
        <v>1</v>
      </c>
      <c r="O636" s="180">
        <v>0</v>
      </c>
      <c r="P636" s="180">
        <v>1</v>
      </c>
      <c r="Q636" s="180">
        <v>0</v>
      </c>
      <c r="R636" s="180"/>
      <c r="S636" s="180"/>
      <c r="T636" s="181" t="s">
        <v>3967</v>
      </c>
      <c r="U636" s="179" t="s">
        <v>3968</v>
      </c>
      <c r="V636" s="179" t="s">
        <v>3968</v>
      </c>
      <c r="W636" s="114" t="s">
        <v>3969</v>
      </c>
      <c r="X636" s="179">
        <v>16</v>
      </c>
      <c r="Y636" s="182" t="s">
        <v>913</v>
      </c>
      <c r="Z636" s="183" t="s">
        <v>3970</v>
      </c>
      <c r="AA636" s="184"/>
      <c r="AB636" s="182"/>
      <c r="AC636" s="114"/>
      <c r="AD636" s="114"/>
      <c r="AE636" s="114"/>
      <c r="AF636" s="114"/>
      <c r="AG636" s="114"/>
      <c r="AH636" s="106"/>
      <c r="AI636" s="114"/>
      <c r="AJ636" s="106"/>
      <c r="AK636" s="114"/>
      <c r="AL636" s="106"/>
      <c r="AM636" s="114"/>
      <c r="AN636" s="106"/>
      <c r="AO636" s="114"/>
      <c r="AP636" s="106"/>
      <c r="AQ636" s="114"/>
      <c r="AR636" s="106"/>
      <c r="AS636" s="114"/>
      <c r="AT636" s="106"/>
      <c r="AU636" s="114"/>
      <c r="AV636" s="106"/>
      <c r="AW636" s="114"/>
      <c r="AX636" s="157"/>
      <c r="AY636" s="157"/>
      <c r="AZ636" s="157"/>
      <c r="BA636" s="157"/>
      <c r="BB636" s="157"/>
      <c r="BC636" s="157"/>
    </row>
    <row r="637" spans="1:55" ht="15.6" x14ac:dyDescent="0.3">
      <c r="A637" s="114">
        <f t="shared" si="22"/>
        <v>633</v>
      </c>
      <c r="B637" s="179" t="s">
        <v>3971</v>
      </c>
      <c r="C637" s="114">
        <v>0</v>
      </c>
      <c r="D637" s="114" t="s">
        <v>991</v>
      </c>
      <c r="E637" s="114" t="s">
        <v>944</v>
      </c>
      <c r="F637" s="114" t="s">
        <v>909</v>
      </c>
      <c r="G637" s="114"/>
      <c r="H637" s="114" t="s">
        <v>869</v>
      </c>
      <c r="I637" s="114"/>
      <c r="J637" s="114"/>
      <c r="K637" s="114"/>
      <c r="L637" s="114"/>
      <c r="M637" s="114"/>
      <c r="N637" s="114">
        <v>1</v>
      </c>
      <c r="O637" s="180">
        <v>0</v>
      </c>
      <c r="P637" s="180">
        <v>65535</v>
      </c>
      <c r="Q637" s="180">
        <v>0</v>
      </c>
      <c r="R637" s="180">
        <v>1E-3</v>
      </c>
      <c r="S637" s="180" t="s">
        <v>3972</v>
      </c>
      <c r="T637" s="179" t="s">
        <v>3973</v>
      </c>
      <c r="U637" s="179" t="s">
        <v>86</v>
      </c>
      <c r="V637" s="179" t="s">
        <v>3974</v>
      </c>
      <c r="W637" s="114" t="s">
        <v>3975</v>
      </c>
      <c r="X637" s="179">
        <v>32</v>
      </c>
      <c r="Y637" s="182" t="s">
        <v>913</v>
      </c>
      <c r="Z637" s="183" t="s">
        <v>3976</v>
      </c>
      <c r="AA637" s="184"/>
      <c r="AB637" s="182"/>
      <c r="AC637" s="114">
        <v>1</v>
      </c>
      <c r="AD637" s="172" t="s">
        <v>887</v>
      </c>
      <c r="AE637" s="114"/>
      <c r="AF637" s="114"/>
      <c r="AG637" s="114"/>
      <c r="AH637" s="106"/>
      <c r="AI637" s="114"/>
      <c r="AJ637" s="106"/>
      <c r="AK637" s="114"/>
      <c r="AL637" s="106"/>
      <c r="AM637" s="114"/>
      <c r="AN637" s="106"/>
      <c r="AO637" s="114"/>
      <c r="AP637" s="106"/>
      <c r="AQ637" s="114"/>
      <c r="AR637" s="106"/>
      <c r="AS637" s="114"/>
      <c r="AT637" s="106"/>
      <c r="AU637" s="114"/>
      <c r="AV637" s="106"/>
      <c r="AW637" s="114"/>
      <c r="AX637" s="157"/>
      <c r="AY637" s="157"/>
      <c r="AZ637" s="157"/>
      <c r="BA637" s="157"/>
      <c r="BB637" s="157"/>
      <c r="BC637" s="157"/>
    </row>
    <row r="638" spans="1:55" ht="15.6" x14ac:dyDescent="0.3">
      <c r="A638" s="114">
        <f t="shared" si="22"/>
        <v>634</v>
      </c>
      <c r="B638" s="179" t="s">
        <v>3977</v>
      </c>
      <c r="C638" s="114">
        <v>0</v>
      </c>
      <c r="D638" s="114" t="s">
        <v>991</v>
      </c>
      <c r="E638" s="114" t="s">
        <v>944</v>
      </c>
      <c r="F638" s="114" t="s">
        <v>909</v>
      </c>
      <c r="G638" s="114"/>
      <c r="H638" s="114" t="s">
        <v>869</v>
      </c>
      <c r="I638" s="114"/>
      <c r="J638" s="114"/>
      <c r="K638" s="114"/>
      <c r="L638" s="114"/>
      <c r="M638" s="114"/>
      <c r="N638" s="114">
        <v>1</v>
      </c>
      <c r="O638" s="180">
        <v>0</v>
      </c>
      <c r="P638" s="180">
        <v>65535</v>
      </c>
      <c r="Q638" s="180">
        <v>0</v>
      </c>
      <c r="R638" s="180"/>
      <c r="S638" s="180" t="s">
        <v>3978</v>
      </c>
      <c r="T638" s="179" t="s">
        <v>3979</v>
      </c>
      <c r="U638" s="179" t="s">
        <v>87</v>
      </c>
      <c r="V638" s="179" t="s">
        <v>3980</v>
      </c>
      <c r="W638" s="114" t="s">
        <v>3981</v>
      </c>
      <c r="X638" s="179">
        <v>32</v>
      </c>
      <c r="Y638" s="182" t="s">
        <v>913</v>
      </c>
      <c r="Z638" s="183" t="s">
        <v>3976</v>
      </c>
      <c r="AA638" s="184"/>
      <c r="AB638" s="182"/>
      <c r="AC638" s="114">
        <v>1</v>
      </c>
      <c r="AD638" s="172" t="s">
        <v>887</v>
      </c>
      <c r="AE638" s="114"/>
      <c r="AF638" s="114"/>
      <c r="AG638" s="114"/>
      <c r="AH638" s="106"/>
      <c r="AI638" s="114"/>
      <c r="AJ638" s="106"/>
      <c r="AK638" s="114"/>
      <c r="AL638" s="106"/>
      <c r="AM638" s="114"/>
      <c r="AN638" s="106"/>
      <c r="AO638" s="114"/>
      <c r="AP638" s="106"/>
      <c r="AQ638" s="114"/>
      <c r="AR638" s="106"/>
      <c r="AS638" s="114"/>
      <c r="AT638" s="106"/>
      <c r="AU638" s="114"/>
      <c r="AV638" s="106"/>
      <c r="AW638" s="114"/>
      <c r="AX638" s="157"/>
      <c r="AY638" s="157"/>
      <c r="AZ638" s="157"/>
      <c r="BA638" s="157"/>
      <c r="BB638" s="157"/>
      <c r="BC638" s="157"/>
    </row>
    <row r="639" spans="1:55" ht="15.6" x14ac:dyDescent="0.3">
      <c r="A639" s="114">
        <f t="shared" si="22"/>
        <v>635</v>
      </c>
      <c r="B639" s="179" t="s">
        <v>3982</v>
      </c>
      <c r="C639" s="114">
        <v>0</v>
      </c>
      <c r="D639" s="114" t="s">
        <v>991</v>
      </c>
      <c r="E639" s="114" t="s">
        <v>944</v>
      </c>
      <c r="F639" s="114" t="s">
        <v>909</v>
      </c>
      <c r="G639" s="114"/>
      <c r="H639" s="114" t="s">
        <v>869</v>
      </c>
      <c r="I639" s="114"/>
      <c r="J639" s="114"/>
      <c r="K639" s="114"/>
      <c r="L639" s="114"/>
      <c r="M639" s="114"/>
      <c r="N639" s="114">
        <v>1</v>
      </c>
      <c r="O639" s="180">
        <v>0</v>
      </c>
      <c r="P639" s="180">
        <v>65535</v>
      </c>
      <c r="Q639" s="180">
        <v>0</v>
      </c>
      <c r="R639" s="180">
        <v>1E-3</v>
      </c>
      <c r="S639" s="180" t="s">
        <v>3972</v>
      </c>
      <c r="T639" s="179" t="s">
        <v>3983</v>
      </c>
      <c r="U639" s="179" t="s">
        <v>88</v>
      </c>
      <c r="V639" s="179" t="s">
        <v>3984</v>
      </c>
      <c r="W639" s="114" t="s">
        <v>3985</v>
      </c>
      <c r="X639" s="179">
        <v>32</v>
      </c>
      <c r="Y639" s="182" t="s">
        <v>913</v>
      </c>
      <c r="Z639" s="183" t="s">
        <v>3976</v>
      </c>
      <c r="AA639" s="184"/>
      <c r="AB639" s="182"/>
      <c r="AC639" s="114">
        <v>1</v>
      </c>
      <c r="AD639" s="172" t="s">
        <v>887</v>
      </c>
      <c r="AE639" s="114"/>
      <c r="AF639" s="114"/>
      <c r="AG639" s="114"/>
      <c r="AH639" s="106"/>
      <c r="AI639" s="114"/>
      <c r="AJ639" s="106"/>
      <c r="AK639" s="114"/>
      <c r="AL639" s="106"/>
      <c r="AM639" s="114"/>
      <c r="AN639" s="106"/>
      <c r="AO639" s="114"/>
      <c r="AP639" s="106"/>
      <c r="AQ639" s="114"/>
      <c r="AR639" s="106"/>
      <c r="AS639" s="114"/>
      <c r="AT639" s="106"/>
      <c r="AU639" s="114"/>
      <c r="AV639" s="106"/>
      <c r="AW639" s="114"/>
      <c r="AX639" s="157"/>
      <c r="AY639" s="157"/>
      <c r="AZ639" s="157"/>
      <c r="BA639" s="157"/>
      <c r="BB639" s="157"/>
      <c r="BC639" s="157"/>
    </row>
    <row r="640" spans="1:55" ht="15.6" x14ac:dyDescent="0.3">
      <c r="A640" s="114">
        <f t="shared" si="22"/>
        <v>636</v>
      </c>
      <c r="B640" s="179" t="s">
        <v>3986</v>
      </c>
      <c r="C640" s="114">
        <v>0</v>
      </c>
      <c r="D640" s="114" t="s">
        <v>991</v>
      </c>
      <c r="E640" s="114" t="s">
        <v>944</v>
      </c>
      <c r="F640" s="114" t="s">
        <v>909</v>
      </c>
      <c r="G640" s="114"/>
      <c r="H640" s="114" t="s">
        <v>869</v>
      </c>
      <c r="I640" s="114"/>
      <c r="J640" s="114"/>
      <c r="K640" s="114"/>
      <c r="L640" s="114"/>
      <c r="M640" s="114"/>
      <c r="N640" s="114">
        <v>1</v>
      </c>
      <c r="O640" s="180">
        <v>0</v>
      </c>
      <c r="P640" s="180">
        <v>65535</v>
      </c>
      <c r="Q640" s="180">
        <v>0</v>
      </c>
      <c r="R640" s="180"/>
      <c r="S640" s="180" t="s">
        <v>3978</v>
      </c>
      <c r="T640" s="179" t="s">
        <v>3987</v>
      </c>
      <c r="U640" s="179" t="s">
        <v>89</v>
      </c>
      <c r="V640" s="179" t="s">
        <v>3988</v>
      </c>
      <c r="W640" s="114" t="s">
        <v>3989</v>
      </c>
      <c r="X640" s="179">
        <v>32</v>
      </c>
      <c r="Y640" s="182" t="s">
        <v>913</v>
      </c>
      <c r="Z640" s="183" t="s">
        <v>3976</v>
      </c>
      <c r="AA640" s="184"/>
      <c r="AB640" s="182"/>
      <c r="AC640" s="114">
        <v>1</v>
      </c>
      <c r="AD640" s="172" t="s">
        <v>887</v>
      </c>
      <c r="AE640" s="114"/>
      <c r="AF640" s="114"/>
      <c r="AG640" s="114"/>
      <c r="AH640" s="106"/>
      <c r="AI640" s="114"/>
      <c r="AJ640" s="106"/>
      <c r="AK640" s="114"/>
      <c r="AL640" s="106"/>
      <c r="AM640" s="114"/>
      <c r="AN640" s="106"/>
      <c r="AO640" s="114"/>
      <c r="AP640" s="106"/>
      <c r="AQ640" s="114"/>
      <c r="AR640" s="106"/>
      <c r="AS640" s="114"/>
      <c r="AT640" s="106"/>
      <c r="AU640" s="114"/>
      <c r="AV640" s="106"/>
      <c r="AW640" s="114"/>
      <c r="AX640" s="157"/>
      <c r="AY640" s="157"/>
      <c r="AZ640" s="157"/>
      <c r="BA640" s="157"/>
      <c r="BB640" s="157"/>
      <c r="BC640" s="157"/>
    </row>
    <row r="641" spans="1:55" ht="92.4" x14ac:dyDescent="0.3">
      <c r="A641" s="114">
        <f t="shared" si="22"/>
        <v>637</v>
      </c>
      <c r="B641" s="179" t="s">
        <v>3990</v>
      </c>
      <c r="C641" s="114">
        <v>0</v>
      </c>
      <c r="D641" s="114" t="s">
        <v>991</v>
      </c>
      <c r="E641" s="114" t="s">
        <v>980</v>
      </c>
      <c r="F641" s="114" t="s">
        <v>909</v>
      </c>
      <c r="G641" s="114"/>
      <c r="H641" s="114" t="s">
        <v>869</v>
      </c>
      <c r="I641" s="114"/>
      <c r="J641" s="114"/>
      <c r="K641" s="114"/>
      <c r="L641" s="114"/>
      <c r="M641" s="114"/>
      <c r="N641" s="114">
        <v>1</v>
      </c>
      <c r="O641" s="180">
        <v>0</v>
      </c>
      <c r="P641" s="180">
        <v>2</v>
      </c>
      <c r="Q641" s="180">
        <v>0</v>
      </c>
      <c r="R641" s="180"/>
      <c r="S641" s="180"/>
      <c r="T641" s="179" t="s">
        <v>3991</v>
      </c>
      <c r="U641" s="179" t="s">
        <v>3992</v>
      </c>
      <c r="V641" s="179" t="s">
        <v>3993</v>
      </c>
      <c r="W641" s="114" t="s">
        <v>3994</v>
      </c>
      <c r="X641" s="179">
        <v>16</v>
      </c>
      <c r="Y641" s="182" t="s">
        <v>913</v>
      </c>
      <c r="Z641" s="183" t="s">
        <v>3995</v>
      </c>
      <c r="AA641" s="184"/>
      <c r="AB641" s="182"/>
      <c r="AC641" s="114">
        <v>1</v>
      </c>
      <c r="AD641" s="172" t="s">
        <v>887</v>
      </c>
      <c r="AE641" s="114"/>
      <c r="AF641" s="114"/>
      <c r="AG641" s="114"/>
      <c r="AH641" s="106"/>
      <c r="AI641" s="114"/>
      <c r="AJ641" s="106"/>
      <c r="AK641" s="114"/>
      <c r="AL641" s="106"/>
      <c r="AM641" s="114"/>
      <c r="AN641" s="106"/>
      <c r="AO641" s="114"/>
      <c r="AP641" s="106"/>
      <c r="AQ641" s="114"/>
      <c r="AR641" s="106"/>
      <c r="AS641" s="114"/>
      <c r="AT641" s="106"/>
      <c r="AU641" s="114"/>
      <c r="AV641" s="106"/>
      <c r="AW641" s="114"/>
      <c r="AX641" s="157"/>
      <c r="AY641" s="157"/>
      <c r="AZ641" s="157"/>
      <c r="BA641" s="157"/>
      <c r="BB641" s="157"/>
      <c r="BC641" s="157"/>
    </row>
    <row r="642" spans="1:55" ht="15" customHeight="1" x14ac:dyDescent="0.3">
      <c r="A642" s="114">
        <f t="shared" si="22"/>
        <v>638</v>
      </c>
      <c r="B642" s="179" t="s">
        <v>3996</v>
      </c>
      <c r="C642" s="114">
        <v>0</v>
      </c>
      <c r="D642" s="114" t="s">
        <v>991</v>
      </c>
      <c r="E642" s="114" t="s">
        <v>980</v>
      </c>
      <c r="F642" s="114" t="s">
        <v>909</v>
      </c>
      <c r="G642" s="114"/>
      <c r="H642" s="114" t="s">
        <v>869</v>
      </c>
      <c r="I642" s="114"/>
      <c r="J642" s="114"/>
      <c r="K642" s="114"/>
      <c r="L642" s="114"/>
      <c r="M642" s="114"/>
      <c r="N642" s="114">
        <v>1</v>
      </c>
      <c r="O642" s="180">
        <v>1</v>
      </c>
      <c r="P642" s="180">
        <v>10000</v>
      </c>
      <c r="Q642" s="180">
        <v>10000</v>
      </c>
      <c r="R642" s="180">
        <v>0.01</v>
      </c>
      <c r="S642" s="187" t="s">
        <v>1044</v>
      </c>
      <c r="T642" s="179" t="s">
        <v>3997</v>
      </c>
      <c r="U642" s="179" t="s">
        <v>91</v>
      </c>
      <c r="V642" s="179" t="s">
        <v>3998</v>
      </c>
      <c r="W642" s="114" t="s">
        <v>3999</v>
      </c>
      <c r="X642" s="179">
        <v>16</v>
      </c>
      <c r="Y642" s="182" t="s">
        <v>913</v>
      </c>
      <c r="Z642" s="230" t="s">
        <v>4000</v>
      </c>
      <c r="AA642" s="200"/>
      <c r="AB642" s="182"/>
      <c r="AC642" s="114">
        <v>1</v>
      </c>
      <c r="AD642" s="172" t="s">
        <v>887</v>
      </c>
      <c r="AE642" s="114"/>
      <c r="AF642" s="114"/>
      <c r="AG642" s="114"/>
      <c r="AH642" s="106"/>
      <c r="AI642" s="114"/>
      <c r="AJ642" s="106"/>
      <c r="AK642" s="114"/>
      <c r="AL642" s="106"/>
      <c r="AM642" s="114"/>
      <c r="AN642" s="106"/>
      <c r="AO642" s="114"/>
      <c r="AP642" s="106"/>
      <c r="AQ642" s="114"/>
      <c r="AR642" s="106"/>
      <c r="AS642" s="114"/>
      <c r="AT642" s="106"/>
      <c r="AU642" s="114"/>
      <c r="AV642" s="106"/>
      <c r="AW642" s="114"/>
      <c r="AX642" s="157"/>
      <c r="AY642" s="157"/>
      <c r="AZ642" s="157"/>
      <c r="BA642" s="157"/>
      <c r="BB642" s="157"/>
      <c r="BC642" s="157"/>
    </row>
    <row r="643" spans="1:55" x14ac:dyDescent="0.3">
      <c r="A643" s="114">
        <f t="shared" si="22"/>
        <v>639</v>
      </c>
      <c r="B643" s="179" t="s">
        <v>4001</v>
      </c>
      <c r="C643" s="114">
        <v>0</v>
      </c>
      <c r="D643" s="114" t="s">
        <v>991</v>
      </c>
      <c r="E643" s="114" t="s">
        <v>980</v>
      </c>
      <c r="F643" s="114" t="s">
        <v>909</v>
      </c>
      <c r="G643" s="114"/>
      <c r="H643" s="114" t="s">
        <v>869</v>
      </c>
      <c r="I643" s="114"/>
      <c r="J643" s="114"/>
      <c r="K643" s="114"/>
      <c r="L643" s="114"/>
      <c r="M643" s="114"/>
      <c r="N643" s="114">
        <v>1</v>
      </c>
      <c r="O643" s="180">
        <v>1</v>
      </c>
      <c r="P643" s="180">
        <v>10000</v>
      </c>
      <c r="Q643" s="180">
        <v>10000</v>
      </c>
      <c r="R643" s="180">
        <v>0.01</v>
      </c>
      <c r="S643" s="187" t="s">
        <v>1044</v>
      </c>
      <c r="T643" s="179" t="s">
        <v>4002</v>
      </c>
      <c r="U643" s="179" t="s">
        <v>92</v>
      </c>
      <c r="V643" s="179" t="s">
        <v>4003</v>
      </c>
      <c r="W643" s="114" t="s">
        <v>4004</v>
      </c>
      <c r="X643" s="179">
        <v>16</v>
      </c>
      <c r="Y643" s="182" t="s">
        <v>913</v>
      </c>
      <c r="Z643" s="231"/>
      <c r="AA643" s="200"/>
      <c r="AB643" s="182"/>
      <c r="AC643" s="114">
        <v>1</v>
      </c>
      <c r="AD643" s="172" t="s">
        <v>887</v>
      </c>
      <c r="AE643" s="114"/>
      <c r="AF643" s="114"/>
      <c r="AG643" s="114"/>
      <c r="AH643" s="106"/>
      <c r="AI643" s="114"/>
      <c r="AJ643" s="106"/>
      <c r="AK643" s="114"/>
      <c r="AL643" s="106"/>
      <c r="AM643" s="114"/>
      <c r="AN643" s="106"/>
      <c r="AO643" s="114"/>
      <c r="AP643" s="106"/>
      <c r="AQ643" s="114"/>
      <c r="AR643" s="106"/>
      <c r="AS643" s="114"/>
      <c r="AT643" s="106"/>
      <c r="AU643" s="114"/>
      <c r="AV643" s="106"/>
      <c r="AW643" s="114"/>
      <c r="AX643" s="157"/>
      <c r="AY643" s="157"/>
      <c r="AZ643" s="157"/>
      <c r="BA643" s="157"/>
      <c r="BB643" s="157"/>
      <c r="BC643" s="157"/>
    </row>
    <row r="644" spans="1:55" x14ac:dyDescent="0.3">
      <c r="A644" s="114">
        <f t="shared" si="22"/>
        <v>640</v>
      </c>
      <c r="B644" s="179" t="s">
        <v>4005</v>
      </c>
      <c r="C644" s="114">
        <v>0</v>
      </c>
      <c r="D644" s="114" t="s">
        <v>991</v>
      </c>
      <c r="E644" s="114" t="s">
        <v>980</v>
      </c>
      <c r="F644" s="114" t="s">
        <v>909</v>
      </c>
      <c r="G644" s="114"/>
      <c r="H644" s="114" t="s">
        <v>869</v>
      </c>
      <c r="I644" s="114"/>
      <c r="J644" s="114"/>
      <c r="K644" s="114"/>
      <c r="L644" s="114"/>
      <c r="M644" s="114"/>
      <c r="N644" s="114">
        <v>1</v>
      </c>
      <c r="O644" s="180">
        <v>1</v>
      </c>
      <c r="P644" s="180">
        <v>10000</v>
      </c>
      <c r="Q644" s="180">
        <v>10000</v>
      </c>
      <c r="R644" s="180">
        <v>0.01</v>
      </c>
      <c r="S644" s="187" t="s">
        <v>1044</v>
      </c>
      <c r="T644" s="179" t="s">
        <v>4006</v>
      </c>
      <c r="U644" s="179" t="s">
        <v>93</v>
      </c>
      <c r="V644" s="179" t="s">
        <v>4007</v>
      </c>
      <c r="W644" s="114" t="s">
        <v>4008</v>
      </c>
      <c r="X644" s="179">
        <v>16</v>
      </c>
      <c r="Y644" s="182" t="s">
        <v>913</v>
      </c>
      <c r="Z644" s="231"/>
      <c r="AA644" s="200"/>
      <c r="AB644" s="182"/>
      <c r="AC644" s="114">
        <v>1</v>
      </c>
      <c r="AD644" s="172" t="s">
        <v>887</v>
      </c>
      <c r="AE644" s="114"/>
      <c r="AF644" s="114"/>
      <c r="AG644" s="114"/>
      <c r="AH644" s="106"/>
      <c r="AI644" s="114"/>
      <c r="AJ644" s="106"/>
      <c r="AK644" s="114"/>
      <c r="AL644" s="106"/>
      <c r="AM644" s="114"/>
      <c r="AN644" s="106"/>
      <c r="AO644" s="114"/>
      <c r="AP644" s="106"/>
      <c r="AQ644" s="114"/>
      <c r="AR644" s="106"/>
      <c r="AS644" s="114"/>
      <c r="AT644" s="106"/>
      <c r="AU644" s="114"/>
      <c r="AV644" s="106"/>
      <c r="AW644" s="114"/>
      <c r="AX644" s="157"/>
      <c r="AY644" s="157"/>
      <c r="AZ644" s="157"/>
      <c r="BA644" s="157"/>
      <c r="BB644" s="157"/>
      <c r="BC644" s="157"/>
    </row>
    <row r="645" spans="1:55" x14ac:dyDescent="0.3">
      <c r="A645" s="114">
        <f t="shared" si="22"/>
        <v>641</v>
      </c>
      <c r="B645" s="179" t="s">
        <v>4009</v>
      </c>
      <c r="C645" s="114">
        <v>0</v>
      </c>
      <c r="D645" s="114" t="s">
        <v>991</v>
      </c>
      <c r="E645" s="114" t="s">
        <v>980</v>
      </c>
      <c r="F645" s="114" t="s">
        <v>909</v>
      </c>
      <c r="G645" s="114"/>
      <c r="H645" s="114" t="s">
        <v>869</v>
      </c>
      <c r="I645" s="114"/>
      <c r="J645" s="114"/>
      <c r="K645" s="114"/>
      <c r="L645" s="114"/>
      <c r="M645" s="114"/>
      <c r="N645" s="114">
        <v>1</v>
      </c>
      <c r="O645" s="180">
        <v>1</v>
      </c>
      <c r="P645" s="180">
        <v>10000</v>
      </c>
      <c r="Q645" s="180">
        <v>10000</v>
      </c>
      <c r="R645" s="180">
        <v>0.01</v>
      </c>
      <c r="S645" s="187" t="s">
        <v>1044</v>
      </c>
      <c r="T645" s="179" t="s">
        <v>4010</v>
      </c>
      <c r="U645" s="179" t="s">
        <v>94</v>
      </c>
      <c r="V645" s="179" t="s">
        <v>4011</v>
      </c>
      <c r="W645" s="114" t="s">
        <v>4012</v>
      </c>
      <c r="X645" s="179">
        <v>16</v>
      </c>
      <c r="Y645" s="182" t="s">
        <v>913</v>
      </c>
      <c r="Z645" s="231"/>
      <c r="AA645" s="200"/>
      <c r="AB645" s="182"/>
      <c r="AC645" s="114">
        <v>1</v>
      </c>
      <c r="AD645" s="172" t="s">
        <v>887</v>
      </c>
      <c r="AE645" s="114"/>
      <c r="AF645" s="114"/>
      <c r="AG645" s="114"/>
      <c r="AH645" s="106"/>
      <c r="AI645" s="114"/>
      <c r="AJ645" s="106"/>
      <c r="AK645" s="114"/>
      <c r="AL645" s="106"/>
      <c r="AM645" s="114"/>
      <c r="AN645" s="106"/>
      <c r="AO645" s="114"/>
      <c r="AP645" s="106"/>
      <c r="AQ645" s="114"/>
      <c r="AR645" s="106"/>
      <c r="AS645" s="114"/>
      <c r="AT645" s="106"/>
      <c r="AU645" s="114"/>
      <c r="AV645" s="106"/>
      <c r="AW645" s="114"/>
      <c r="AX645" s="157"/>
      <c r="AY645" s="157"/>
      <c r="AZ645" s="157"/>
      <c r="BA645" s="157"/>
      <c r="BB645" s="157"/>
      <c r="BC645" s="157"/>
    </row>
    <row r="646" spans="1:55" x14ac:dyDescent="0.3">
      <c r="A646" s="114">
        <f t="shared" si="22"/>
        <v>642</v>
      </c>
      <c r="B646" s="179" t="s">
        <v>4013</v>
      </c>
      <c r="C646" s="114">
        <v>0</v>
      </c>
      <c r="D646" s="114" t="s">
        <v>991</v>
      </c>
      <c r="E646" s="114" t="s">
        <v>980</v>
      </c>
      <c r="F646" s="114" t="s">
        <v>909</v>
      </c>
      <c r="G646" s="114"/>
      <c r="H646" s="114" t="s">
        <v>869</v>
      </c>
      <c r="I646" s="114"/>
      <c r="J646" s="114"/>
      <c r="K646" s="114"/>
      <c r="L646" s="114"/>
      <c r="M646" s="114"/>
      <c r="N646" s="114">
        <v>1</v>
      </c>
      <c r="O646" s="180">
        <v>1</v>
      </c>
      <c r="P646" s="180">
        <v>10000</v>
      </c>
      <c r="Q646" s="180">
        <v>10000</v>
      </c>
      <c r="R646" s="180">
        <v>0.01</v>
      </c>
      <c r="S646" s="187" t="s">
        <v>1044</v>
      </c>
      <c r="T646" s="179" t="s">
        <v>4014</v>
      </c>
      <c r="U646" s="179" t="s">
        <v>95</v>
      </c>
      <c r="V646" s="179" t="s">
        <v>4015</v>
      </c>
      <c r="W646" s="114" t="s">
        <v>4016</v>
      </c>
      <c r="X646" s="179">
        <v>16</v>
      </c>
      <c r="Y646" s="182" t="s">
        <v>913</v>
      </c>
      <c r="Z646" s="231"/>
      <c r="AA646" s="200"/>
      <c r="AB646" s="182"/>
      <c r="AC646" s="114">
        <v>1</v>
      </c>
      <c r="AD646" s="172" t="s">
        <v>887</v>
      </c>
      <c r="AE646" s="114"/>
      <c r="AF646" s="114"/>
      <c r="AG646" s="114"/>
      <c r="AH646" s="106"/>
      <c r="AI646" s="114"/>
      <c r="AJ646" s="106"/>
      <c r="AK646" s="114"/>
      <c r="AL646" s="106"/>
      <c r="AM646" s="114"/>
      <c r="AN646" s="106"/>
      <c r="AO646" s="114"/>
      <c r="AP646" s="106"/>
      <c r="AQ646" s="114"/>
      <c r="AR646" s="106"/>
      <c r="AS646" s="114"/>
      <c r="AT646" s="106"/>
      <c r="AU646" s="114"/>
      <c r="AV646" s="106"/>
      <c r="AW646" s="114"/>
      <c r="AX646" s="157"/>
      <c r="AY646" s="157"/>
      <c r="AZ646" s="157"/>
      <c r="BA646" s="157"/>
      <c r="BB646" s="157"/>
      <c r="BC646" s="157"/>
    </row>
    <row r="647" spans="1:55" x14ac:dyDescent="0.3">
      <c r="A647" s="114">
        <f t="shared" si="22"/>
        <v>643</v>
      </c>
      <c r="B647" s="179" t="s">
        <v>4017</v>
      </c>
      <c r="C647" s="114">
        <v>0</v>
      </c>
      <c r="D647" s="114" t="s">
        <v>991</v>
      </c>
      <c r="E647" s="114" t="s">
        <v>980</v>
      </c>
      <c r="F647" s="114" t="s">
        <v>909</v>
      </c>
      <c r="G647" s="114"/>
      <c r="H647" s="114" t="s">
        <v>869</v>
      </c>
      <c r="I647" s="114"/>
      <c r="J647" s="114"/>
      <c r="K647" s="114"/>
      <c r="L647" s="114"/>
      <c r="M647" s="114"/>
      <c r="N647" s="114">
        <v>1</v>
      </c>
      <c r="O647" s="180">
        <v>1</v>
      </c>
      <c r="P647" s="180">
        <v>10000</v>
      </c>
      <c r="Q647" s="180">
        <v>10000</v>
      </c>
      <c r="R647" s="180">
        <v>0.01</v>
      </c>
      <c r="S647" s="187" t="s">
        <v>1044</v>
      </c>
      <c r="T647" s="179" t="s">
        <v>4018</v>
      </c>
      <c r="U647" s="179" t="s">
        <v>96</v>
      </c>
      <c r="V647" s="179" t="s">
        <v>4019</v>
      </c>
      <c r="W647" s="114" t="s">
        <v>4020</v>
      </c>
      <c r="X647" s="179">
        <v>16</v>
      </c>
      <c r="Y647" s="182" t="s">
        <v>913</v>
      </c>
      <c r="Z647" s="231"/>
      <c r="AA647" s="200"/>
      <c r="AB647" s="182"/>
      <c r="AC647" s="114">
        <v>1</v>
      </c>
      <c r="AD647" s="172" t="s">
        <v>887</v>
      </c>
      <c r="AE647" s="114"/>
      <c r="AF647" s="114"/>
      <c r="AG647" s="114"/>
      <c r="AH647" s="106"/>
      <c r="AI647" s="114"/>
      <c r="AJ647" s="106"/>
      <c r="AK647" s="114"/>
      <c r="AL647" s="106"/>
      <c r="AM647" s="114"/>
      <c r="AN647" s="106"/>
      <c r="AO647" s="114"/>
      <c r="AP647" s="106"/>
      <c r="AQ647" s="114"/>
      <c r="AR647" s="106"/>
      <c r="AS647" s="114"/>
      <c r="AT647" s="106"/>
      <c r="AU647" s="114"/>
      <c r="AV647" s="106"/>
      <c r="AW647" s="114"/>
      <c r="AX647" s="157"/>
      <c r="AY647" s="157"/>
      <c r="AZ647" s="157"/>
      <c r="BA647" s="157"/>
      <c r="BB647" s="157"/>
      <c r="BC647" s="157"/>
    </row>
    <row r="648" spans="1:55" x14ac:dyDescent="0.3">
      <c r="A648" s="114">
        <f t="shared" si="22"/>
        <v>644</v>
      </c>
      <c r="B648" s="179" t="s">
        <v>4021</v>
      </c>
      <c r="C648" s="114">
        <v>0</v>
      </c>
      <c r="D648" s="114" t="s">
        <v>991</v>
      </c>
      <c r="E648" s="114" t="s">
        <v>980</v>
      </c>
      <c r="F648" s="114" t="s">
        <v>909</v>
      </c>
      <c r="G648" s="114"/>
      <c r="H648" s="114" t="s">
        <v>869</v>
      </c>
      <c r="I648" s="114"/>
      <c r="J648" s="114"/>
      <c r="K648" s="114"/>
      <c r="L648" s="114"/>
      <c r="M648" s="114"/>
      <c r="N648" s="114">
        <v>1</v>
      </c>
      <c r="O648" s="180">
        <v>1</v>
      </c>
      <c r="P648" s="180">
        <v>10000</v>
      </c>
      <c r="Q648" s="180">
        <v>10000</v>
      </c>
      <c r="R648" s="180">
        <v>0.01</v>
      </c>
      <c r="S648" s="187" t="s">
        <v>1044</v>
      </c>
      <c r="T648" s="179" t="s">
        <v>4022</v>
      </c>
      <c r="U648" s="179" t="s">
        <v>97</v>
      </c>
      <c r="V648" s="179" t="s">
        <v>4023</v>
      </c>
      <c r="W648" s="114" t="s">
        <v>4024</v>
      </c>
      <c r="X648" s="179">
        <v>16</v>
      </c>
      <c r="Y648" s="182" t="s">
        <v>913</v>
      </c>
      <c r="Z648" s="231"/>
      <c r="AA648" s="200"/>
      <c r="AB648" s="182"/>
      <c r="AC648" s="114">
        <v>1</v>
      </c>
      <c r="AD648" s="172" t="s">
        <v>887</v>
      </c>
      <c r="AE648" s="114"/>
      <c r="AF648" s="114"/>
      <c r="AG648" s="114"/>
      <c r="AH648" s="106"/>
      <c r="AI648" s="114"/>
      <c r="AJ648" s="106"/>
      <c r="AK648" s="114"/>
      <c r="AL648" s="106"/>
      <c r="AM648" s="114"/>
      <c r="AN648" s="106"/>
      <c r="AO648" s="114"/>
      <c r="AP648" s="106"/>
      <c r="AQ648" s="114"/>
      <c r="AR648" s="106"/>
      <c r="AS648" s="114"/>
      <c r="AT648" s="106"/>
      <c r="AU648" s="114"/>
      <c r="AV648" s="106"/>
      <c r="AW648" s="114"/>
      <c r="AX648" s="157"/>
      <c r="AY648" s="157"/>
      <c r="AZ648" s="157"/>
      <c r="BA648" s="157"/>
      <c r="BB648" s="157"/>
      <c r="BC648" s="157"/>
    </row>
    <row r="649" spans="1:55" x14ac:dyDescent="0.3">
      <c r="A649" s="114">
        <f t="shared" si="22"/>
        <v>645</v>
      </c>
      <c r="B649" s="179" t="s">
        <v>4025</v>
      </c>
      <c r="C649" s="114">
        <v>0</v>
      </c>
      <c r="D649" s="114" t="s">
        <v>991</v>
      </c>
      <c r="E649" s="114" t="s">
        <v>980</v>
      </c>
      <c r="F649" s="114" t="s">
        <v>909</v>
      </c>
      <c r="G649" s="114"/>
      <c r="H649" s="114" t="s">
        <v>869</v>
      </c>
      <c r="I649" s="114"/>
      <c r="J649" s="114"/>
      <c r="K649" s="114"/>
      <c r="L649" s="114"/>
      <c r="M649" s="114"/>
      <c r="N649" s="114">
        <v>1</v>
      </c>
      <c r="O649" s="180">
        <v>1</v>
      </c>
      <c r="P649" s="180">
        <v>10000</v>
      </c>
      <c r="Q649" s="180">
        <v>10000</v>
      </c>
      <c r="R649" s="180">
        <v>0.01</v>
      </c>
      <c r="S649" s="187" t="s">
        <v>1044</v>
      </c>
      <c r="T649" s="179" t="s">
        <v>4026</v>
      </c>
      <c r="U649" s="179" t="s">
        <v>98</v>
      </c>
      <c r="V649" s="179" t="s">
        <v>4027</v>
      </c>
      <c r="W649" s="114" t="s">
        <v>4028</v>
      </c>
      <c r="X649" s="179">
        <v>16</v>
      </c>
      <c r="Y649" s="182" t="s">
        <v>913</v>
      </c>
      <c r="Z649" s="232"/>
      <c r="AA649" s="200"/>
      <c r="AB649" s="182"/>
      <c r="AC649" s="114">
        <v>1</v>
      </c>
      <c r="AD649" s="172" t="s">
        <v>887</v>
      </c>
      <c r="AE649" s="114"/>
      <c r="AF649" s="114"/>
      <c r="AG649" s="114"/>
      <c r="AH649" s="106"/>
      <c r="AI649" s="114"/>
      <c r="AJ649" s="106"/>
      <c r="AK649" s="114"/>
      <c r="AL649" s="106"/>
      <c r="AM649" s="114"/>
      <c r="AN649" s="106"/>
      <c r="AO649" s="114"/>
      <c r="AP649" s="106"/>
      <c r="AQ649" s="114"/>
      <c r="AR649" s="106"/>
      <c r="AS649" s="114"/>
      <c r="AT649" s="106"/>
      <c r="AU649" s="114"/>
      <c r="AV649" s="106"/>
      <c r="AW649" s="114"/>
      <c r="AX649" s="157"/>
      <c r="AY649" s="157"/>
      <c r="AZ649" s="157"/>
      <c r="BA649" s="157"/>
      <c r="BB649" s="157"/>
      <c r="BC649" s="157"/>
    </row>
    <row r="650" spans="1:55" ht="39.6" x14ac:dyDescent="0.3">
      <c r="A650" s="114">
        <f t="shared" si="22"/>
        <v>646</v>
      </c>
      <c r="B650" s="179" t="s">
        <v>4029</v>
      </c>
      <c r="C650" s="114">
        <v>0</v>
      </c>
      <c r="D650" s="114" t="s">
        <v>991</v>
      </c>
      <c r="E650" s="114" t="s">
        <v>944</v>
      </c>
      <c r="F650" s="114" t="s">
        <v>923</v>
      </c>
      <c r="G650" s="114" t="s">
        <v>868</v>
      </c>
      <c r="H650" s="114"/>
      <c r="I650" s="114"/>
      <c r="J650" s="114" t="s">
        <v>871</v>
      </c>
      <c r="K650" s="114"/>
      <c r="L650" s="114"/>
      <c r="M650" s="114"/>
      <c r="N650" s="114">
        <v>1</v>
      </c>
      <c r="O650" s="180">
        <v>0</v>
      </c>
      <c r="P650" s="180" t="s">
        <v>1182</v>
      </c>
      <c r="Q650" s="180">
        <v>0</v>
      </c>
      <c r="R650" s="180"/>
      <c r="S650" s="180"/>
      <c r="T650" s="181" t="s">
        <v>4030</v>
      </c>
      <c r="U650" s="179" t="s">
        <v>4031</v>
      </c>
      <c r="V650" s="179" t="s">
        <v>4032</v>
      </c>
      <c r="W650" s="114" t="s">
        <v>4033</v>
      </c>
      <c r="X650" s="179">
        <v>32</v>
      </c>
      <c r="Y650" s="182" t="s">
        <v>913</v>
      </c>
      <c r="Z650" s="183" t="s">
        <v>4034</v>
      </c>
      <c r="AA650" s="184"/>
      <c r="AB650" s="182"/>
      <c r="AC650" s="114"/>
      <c r="AD650" s="114"/>
      <c r="AE650" s="114"/>
      <c r="AF650" s="114"/>
      <c r="AG650" s="114"/>
      <c r="AH650" s="106"/>
      <c r="AI650" s="114"/>
      <c r="AJ650" s="106"/>
      <c r="AK650" s="114"/>
      <c r="AL650" s="106"/>
      <c r="AM650" s="114"/>
      <c r="AN650" s="106"/>
      <c r="AO650" s="114"/>
      <c r="AP650" s="106"/>
      <c r="AQ650" s="114"/>
      <c r="AR650" s="106"/>
      <c r="AS650" s="114"/>
      <c r="AT650" s="106"/>
      <c r="AU650" s="114"/>
      <c r="AV650" s="106"/>
      <c r="AW650" s="114"/>
      <c r="AX650" s="157"/>
      <c r="AY650" s="157"/>
      <c r="AZ650" s="157"/>
      <c r="BA650" s="157"/>
      <c r="BB650" s="157"/>
      <c r="BC650" s="157"/>
    </row>
    <row r="651" spans="1:55" ht="26.4" x14ac:dyDescent="0.3">
      <c r="A651" s="114">
        <f t="shared" si="22"/>
        <v>647</v>
      </c>
      <c r="B651" s="179" t="s">
        <v>4035</v>
      </c>
      <c r="C651" s="114">
        <v>0</v>
      </c>
      <c r="D651" s="114" t="s">
        <v>991</v>
      </c>
      <c r="E651" s="114" t="s">
        <v>929</v>
      </c>
      <c r="F651" s="114" t="s">
        <v>909</v>
      </c>
      <c r="G651" s="114"/>
      <c r="H651" s="114" t="s">
        <v>869</v>
      </c>
      <c r="I651" s="114"/>
      <c r="J651" s="114"/>
      <c r="K651" s="114"/>
      <c r="L651" s="114"/>
      <c r="M651" s="114"/>
      <c r="N651" s="114">
        <v>1</v>
      </c>
      <c r="O651" s="179">
        <v>0</v>
      </c>
      <c r="P651" s="179">
        <v>65535</v>
      </c>
      <c r="Q651" s="180">
        <v>0</v>
      </c>
      <c r="R651" s="180">
        <v>0.01</v>
      </c>
      <c r="S651" s="107" t="s">
        <v>4036</v>
      </c>
      <c r="T651" s="179" t="s">
        <v>4037</v>
      </c>
      <c r="U651" s="179" t="s">
        <v>100</v>
      </c>
      <c r="V651" s="179" t="s">
        <v>4038</v>
      </c>
      <c r="W651" s="114" t="s">
        <v>4039</v>
      </c>
      <c r="X651" s="179">
        <v>16</v>
      </c>
      <c r="Y651" s="182" t="s">
        <v>913</v>
      </c>
      <c r="Z651" s="183" t="s">
        <v>4040</v>
      </c>
      <c r="AA651" s="184"/>
      <c r="AB651" s="182"/>
      <c r="AC651" s="114">
        <v>1</v>
      </c>
      <c r="AD651" s="172" t="s">
        <v>887</v>
      </c>
      <c r="AE651" s="114"/>
      <c r="AF651" s="114"/>
      <c r="AG651" s="114"/>
      <c r="AH651" s="106"/>
      <c r="AI651" s="114"/>
      <c r="AJ651" s="106"/>
      <c r="AK651" s="114"/>
      <c r="AL651" s="106"/>
      <c r="AM651" s="114"/>
      <c r="AN651" s="106"/>
      <c r="AO651" s="114"/>
      <c r="AP651" s="106"/>
      <c r="AQ651" s="114"/>
      <c r="AR651" s="106"/>
      <c r="AS651" s="114"/>
      <c r="AT651" s="106"/>
      <c r="AU651" s="114"/>
      <c r="AV651" s="106"/>
      <c r="AW651" s="114"/>
      <c r="AX651" s="157"/>
      <c r="AY651" s="157"/>
      <c r="AZ651" s="157"/>
      <c r="BA651" s="157"/>
      <c r="BB651" s="157"/>
      <c r="BC651" s="157"/>
    </row>
    <row r="652" spans="1:55" ht="66" x14ac:dyDescent="0.3">
      <c r="A652" s="114">
        <f t="shared" si="22"/>
        <v>648</v>
      </c>
      <c r="B652" s="179" t="s">
        <v>4041</v>
      </c>
      <c r="C652" s="114">
        <v>0</v>
      </c>
      <c r="D652" s="114" t="s">
        <v>991</v>
      </c>
      <c r="E652" s="114" t="s">
        <v>4042</v>
      </c>
      <c r="F652" s="114" t="s">
        <v>923</v>
      </c>
      <c r="G652" s="114"/>
      <c r="H652" s="114" t="s">
        <v>869</v>
      </c>
      <c r="I652" s="114"/>
      <c r="J652" s="114"/>
      <c r="K652" s="114"/>
      <c r="L652" s="114"/>
      <c r="M652" s="114"/>
      <c r="N652" s="114">
        <v>1</v>
      </c>
      <c r="O652" s="179">
        <v>0</v>
      </c>
      <c r="P652" s="179">
        <v>6553500</v>
      </c>
      <c r="Q652" s="180">
        <v>0</v>
      </c>
      <c r="R652" s="180">
        <v>0.01</v>
      </c>
      <c r="S652" s="180" t="s">
        <v>4043</v>
      </c>
      <c r="T652" s="179" t="s">
        <v>4044</v>
      </c>
      <c r="U652" s="179" t="s">
        <v>4045</v>
      </c>
      <c r="V652" s="179" t="s">
        <v>4046</v>
      </c>
      <c r="W652" s="114" t="s">
        <v>4047</v>
      </c>
      <c r="X652" s="179">
        <v>16</v>
      </c>
      <c r="Y652" s="182" t="s">
        <v>913</v>
      </c>
      <c r="Z652" s="183" t="s">
        <v>4048</v>
      </c>
      <c r="AA652" s="184"/>
      <c r="AB652" s="182"/>
      <c r="AC652" s="114"/>
      <c r="AD652" s="114"/>
      <c r="AE652" s="114"/>
      <c r="AF652" s="114"/>
      <c r="AG652" s="114"/>
      <c r="AH652" s="106"/>
      <c r="AI652" s="114"/>
      <c r="AJ652" s="106"/>
      <c r="AK652" s="114"/>
      <c r="AL652" s="106"/>
      <c r="AM652" s="114"/>
      <c r="AN652" s="106"/>
      <c r="AO652" s="114"/>
      <c r="AP652" s="106"/>
      <c r="AQ652" s="114"/>
      <c r="AR652" s="106"/>
      <c r="AS652" s="114"/>
      <c r="AT652" s="106"/>
      <c r="AU652" s="114"/>
      <c r="AV652" s="106"/>
      <c r="AW652" s="114"/>
      <c r="AX652" s="157"/>
      <c r="AY652" s="157"/>
      <c r="AZ652" s="157"/>
      <c r="BA652" s="157"/>
      <c r="BB652" s="157"/>
      <c r="BC652" s="157"/>
    </row>
    <row r="653" spans="1:55" x14ac:dyDescent="0.3">
      <c r="A653" s="114">
        <f t="shared" si="22"/>
        <v>649</v>
      </c>
      <c r="B653" s="179" t="s">
        <v>4049</v>
      </c>
      <c r="C653" s="114">
        <v>0</v>
      </c>
      <c r="D653" s="114" t="s">
        <v>991</v>
      </c>
      <c r="E653" s="114" t="s">
        <v>980</v>
      </c>
      <c r="F653" s="114" t="s">
        <v>923</v>
      </c>
      <c r="G653" s="114" t="s">
        <v>868</v>
      </c>
      <c r="H653" s="114"/>
      <c r="I653" s="114"/>
      <c r="J653" s="114" t="s">
        <v>871</v>
      </c>
      <c r="K653" s="114"/>
      <c r="L653" s="114"/>
      <c r="M653" s="114"/>
      <c r="N653" s="114">
        <v>1</v>
      </c>
      <c r="O653" s="179">
        <v>0</v>
      </c>
      <c r="P653" s="179">
        <v>10000</v>
      </c>
      <c r="Q653" s="180">
        <v>0</v>
      </c>
      <c r="R653" s="180">
        <v>0.01</v>
      </c>
      <c r="S653" s="187" t="s">
        <v>1044</v>
      </c>
      <c r="T653" s="179" t="s">
        <v>4050</v>
      </c>
      <c r="U653" s="179" t="s">
        <v>102</v>
      </c>
      <c r="V653" s="179" t="s">
        <v>102</v>
      </c>
      <c r="W653" s="114" t="s">
        <v>4051</v>
      </c>
      <c r="X653" s="179">
        <v>16</v>
      </c>
      <c r="Y653" s="182" t="s">
        <v>913</v>
      </c>
      <c r="Z653" s="183"/>
      <c r="AA653" s="184"/>
      <c r="AB653" s="182"/>
      <c r="AC653" s="114"/>
      <c r="AD653" s="114"/>
      <c r="AE653" s="114"/>
      <c r="AF653" s="114"/>
      <c r="AG653" s="114"/>
      <c r="AH653" s="106"/>
      <c r="AI653" s="114"/>
      <c r="AJ653" s="106"/>
      <c r="AK653" s="114"/>
      <c r="AL653" s="106"/>
      <c r="AM653" s="114"/>
      <c r="AN653" s="106"/>
      <c r="AO653" s="114"/>
      <c r="AP653" s="106"/>
      <c r="AQ653" s="114"/>
      <c r="AR653" s="106"/>
      <c r="AS653" s="114"/>
      <c r="AT653" s="106"/>
      <c r="AU653" s="114"/>
      <c r="AV653" s="106"/>
      <c r="AW653" s="114"/>
      <c r="AX653" s="157"/>
      <c r="AY653" s="157"/>
      <c r="AZ653" s="157"/>
      <c r="BA653" s="157"/>
      <c r="BB653" s="157"/>
      <c r="BC653" s="157"/>
    </row>
    <row r="654" spans="1:55" ht="105.6" x14ac:dyDescent="0.3">
      <c r="A654" s="114">
        <f t="shared" si="22"/>
        <v>650</v>
      </c>
      <c r="B654" s="179" t="s">
        <v>4052</v>
      </c>
      <c r="C654" s="114">
        <v>0</v>
      </c>
      <c r="D654" s="114" t="s">
        <v>991</v>
      </c>
      <c r="E654" s="114" t="s">
        <v>929</v>
      </c>
      <c r="F654" s="114" t="s">
        <v>909</v>
      </c>
      <c r="G654" s="114"/>
      <c r="H654" s="114" t="s">
        <v>869</v>
      </c>
      <c r="I654" s="114"/>
      <c r="J654" s="114"/>
      <c r="K654" s="114"/>
      <c r="L654" s="114"/>
      <c r="M654" s="114"/>
      <c r="N654" s="114">
        <v>7</v>
      </c>
      <c r="O654" s="180">
        <v>0</v>
      </c>
      <c r="P654" s="180" t="s">
        <v>4053</v>
      </c>
      <c r="Q654" s="180" t="s">
        <v>1985</v>
      </c>
      <c r="R654" s="180"/>
      <c r="S654" s="180"/>
      <c r="T654" s="179" t="s">
        <v>4054</v>
      </c>
      <c r="U654" s="179" t="s">
        <v>4055</v>
      </c>
      <c r="V654" s="179" t="s">
        <v>4055</v>
      </c>
      <c r="W654" s="114" t="s">
        <v>4056</v>
      </c>
      <c r="X654" s="179">
        <v>16</v>
      </c>
      <c r="Y654" s="182" t="s">
        <v>913</v>
      </c>
      <c r="Z654" s="183" t="s">
        <v>4057</v>
      </c>
      <c r="AA654" s="184"/>
      <c r="AB654" s="182"/>
      <c r="AC654" s="114"/>
      <c r="AD654" s="172"/>
      <c r="AE654" s="114"/>
      <c r="AF654" s="114"/>
      <c r="AG654" s="114"/>
      <c r="AH654" s="106"/>
      <c r="AI654" s="114"/>
      <c r="AJ654" s="106"/>
      <c r="AK654" s="114"/>
      <c r="AL654" s="106"/>
      <c r="AM654" s="114"/>
      <c r="AN654" s="106"/>
      <c r="AO654" s="114"/>
      <c r="AP654" s="106"/>
      <c r="AQ654" s="114"/>
      <c r="AR654" s="106"/>
      <c r="AS654" s="114"/>
      <c r="AT654" s="106"/>
      <c r="AU654" s="114"/>
      <c r="AV654" s="106"/>
      <c r="AW654" s="114"/>
      <c r="AX654" s="157"/>
      <c r="AY654" s="157"/>
      <c r="AZ654" s="157"/>
      <c r="BA654" s="157"/>
      <c r="BB654" s="157"/>
      <c r="BC654" s="157"/>
    </row>
    <row r="655" spans="1:55" x14ac:dyDescent="0.3">
      <c r="A655" s="114">
        <f t="shared" ref="A655:A662" si="23">A654+1</f>
        <v>651</v>
      </c>
      <c r="B655" s="179" t="s">
        <v>4058</v>
      </c>
      <c r="C655" s="114">
        <v>6</v>
      </c>
      <c r="D655" s="114" t="s">
        <v>4059</v>
      </c>
      <c r="E655" s="114" t="s">
        <v>929</v>
      </c>
      <c r="F655" s="114" t="s">
        <v>923</v>
      </c>
      <c r="G655" s="114" t="s">
        <v>868</v>
      </c>
      <c r="H655" s="114"/>
      <c r="I655" s="114"/>
      <c r="J655" s="114" t="s">
        <v>871</v>
      </c>
      <c r="K655" s="114" t="s">
        <v>872</v>
      </c>
      <c r="L655" s="114"/>
      <c r="M655" s="114"/>
      <c r="N655" s="114">
        <v>2</v>
      </c>
      <c r="O655" s="180">
        <v>0</v>
      </c>
      <c r="P655" s="180" t="s">
        <v>1191</v>
      </c>
      <c r="Q655" s="180">
        <v>0</v>
      </c>
      <c r="R655" s="180"/>
      <c r="S655" s="180"/>
      <c r="T655" s="179" t="s">
        <v>4060</v>
      </c>
      <c r="U655" s="179" t="s">
        <v>4061</v>
      </c>
      <c r="V655" s="179" t="s">
        <v>4061</v>
      </c>
      <c r="W655" s="114" t="s">
        <v>4062</v>
      </c>
      <c r="X655" s="179">
        <v>16</v>
      </c>
      <c r="Y655" s="182" t="s">
        <v>913</v>
      </c>
      <c r="Z655" s="183" t="s">
        <v>1189</v>
      </c>
      <c r="AA655" s="184"/>
      <c r="AB655" s="182"/>
      <c r="AC655" s="114"/>
      <c r="AD655" s="114"/>
      <c r="AE655" s="114"/>
      <c r="AF655" s="114"/>
      <c r="AG655" s="114"/>
      <c r="AH655" s="106"/>
      <c r="AI655" s="114"/>
      <c r="AJ655" s="106"/>
      <c r="AK655" s="114"/>
      <c r="AL655" s="106"/>
      <c r="AM655" s="114"/>
      <c r="AN655" s="106"/>
      <c r="AO655" s="114"/>
      <c r="AP655" s="106"/>
      <c r="AQ655" s="114"/>
      <c r="AR655" s="106"/>
      <c r="AS655" s="114"/>
      <c r="AT655" s="106"/>
      <c r="AU655" s="114"/>
      <c r="AV655" s="106"/>
      <c r="AW655" s="114"/>
      <c r="AX655" s="157"/>
      <c r="AY655" s="157"/>
      <c r="AZ655" s="157"/>
      <c r="BA655" s="157"/>
      <c r="BB655" s="157"/>
      <c r="BC655" s="157"/>
    </row>
    <row r="656" spans="1:55" ht="224.4" x14ac:dyDescent="0.3">
      <c r="A656" s="114">
        <f t="shared" si="23"/>
        <v>652</v>
      </c>
      <c r="B656" s="179" t="s">
        <v>4063</v>
      </c>
      <c r="C656" s="114">
        <v>0</v>
      </c>
      <c r="D656" s="114" t="s">
        <v>991</v>
      </c>
      <c r="E656" s="114" t="s">
        <v>918</v>
      </c>
      <c r="F656" s="114" t="s">
        <v>909</v>
      </c>
      <c r="G656" s="114"/>
      <c r="H656" s="114" t="s">
        <v>869</v>
      </c>
      <c r="I656" s="114"/>
      <c r="J656" s="114"/>
      <c r="K656" s="114"/>
      <c r="L656" s="114"/>
      <c r="M656" s="114"/>
      <c r="N656" s="114">
        <v>2</v>
      </c>
      <c r="O656" s="180"/>
      <c r="P656" s="180"/>
      <c r="Q656" s="187"/>
      <c r="R656" s="180"/>
      <c r="S656" s="180"/>
      <c r="T656" s="181" t="s">
        <v>4064</v>
      </c>
      <c r="U656" s="179" t="s">
        <v>175</v>
      </c>
      <c r="V656" s="179" t="s">
        <v>4065</v>
      </c>
      <c r="W656" s="114" t="s">
        <v>4066</v>
      </c>
      <c r="X656" s="179">
        <v>32</v>
      </c>
      <c r="Y656" s="198" t="s">
        <v>913</v>
      </c>
      <c r="Z656" s="201" t="s">
        <v>4067</v>
      </c>
      <c r="AA656" s="200"/>
      <c r="AB656" s="182"/>
      <c r="AC656" s="114">
        <v>1</v>
      </c>
      <c r="AD656" s="172" t="s">
        <v>887</v>
      </c>
      <c r="AE656" s="114">
        <v>0</v>
      </c>
      <c r="AF656" s="114">
        <v>32</v>
      </c>
      <c r="AG656" s="114"/>
      <c r="AH656" s="106"/>
      <c r="AI656" s="114"/>
      <c r="AJ656" s="106"/>
      <c r="AK656" s="114"/>
      <c r="AL656" s="106"/>
      <c r="AM656" s="114"/>
      <c r="AN656" s="106"/>
      <c r="AO656" s="114"/>
      <c r="AP656" s="106"/>
      <c r="AQ656" s="114"/>
      <c r="AR656" s="106"/>
      <c r="AS656" s="114"/>
      <c r="AT656" s="106"/>
      <c r="AU656" s="114"/>
      <c r="AV656" s="106"/>
      <c r="AW656" s="114"/>
      <c r="AX656" s="157"/>
      <c r="AY656" s="157"/>
      <c r="AZ656" s="157"/>
      <c r="BA656" s="157"/>
      <c r="BB656" s="157"/>
      <c r="BC656" s="157"/>
    </row>
    <row r="657" spans="1:55" ht="26.4" x14ac:dyDescent="0.3">
      <c r="A657" s="114">
        <f t="shared" si="23"/>
        <v>653</v>
      </c>
      <c r="B657" s="179" t="s">
        <v>4068</v>
      </c>
      <c r="C657" s="114">
        <v>6</v>
      </c>
      <c r="D657" s="114" t="s">
        <v>4069</v>
      </c>
      <c r="E657" s="114" t="s">
        <v>944</v>
      </c>
      <c r="F657" s="114" t="s">
        <v>923</v>
      </c>
      <c r="G657" s="114" t="s">
        <v>868</v>
      </c>
      <c r="H657" s="114"/>
      <c r="I657" s="114"/>
      <c r="J657" s="114" t="s">
        <v>871</v>
      </c>
      <c r="K657" s="114" t="s">
        <v>872</v>
      </c>
      <c r="L657" s="114"/>
      <c r="M657" s="114"/>
      <c r="N657" s="114">
        <v>2</v>
      </c>
      <c r="O657" s="180">
        <v>0</v>
      </c>
      <c r="P657" s="180" t="s">
        <v>1182</v>
      </c>
      <c r="Q657" s="180">
        <v>0</v>
      </c>
      <c r="R657" s="180"/>
      <c r="S657" s="180"/>
      <c r="T657" s="181" t="s">
        <v>4070</v>
      </c>
      <c r="U657" s="179" t="s">
        <v>176</v>
      </c>
      <c r="V657" s="179" t="s">
        <v>4071</v>
      </c>
      <c r="W657" s="114" t="s">
        <v>4072</v>
      </c>
      <c r="X657" s="179">
        <v>32</v>
      </c>
      <c r="Y657" s="201" t="s">
        <v>913</v>
      </c>
      <c r="Z657" s="201" t="s">
        <v>4073</v>
      </c>
      <c r="AA657" s="202"/>
      <c r="AB657" s="182"/>
      <c r="AC657" s="114"/>
      <c r="AD657" s="114"/>
      <c r="AE657" s="114"/>
      <c r="AF657" s="114"/>
      <c r="AG657" s="114"/>
      <c r="AH657" s="106"/>
      <c r="AI657" s="114"/>
      <c r="AJ657" s="106"/>
      <c r="AK657" s="114"/>
      <c r="AL657" s="106"/>
      <c r="AM657" s="114"/>
      <c r="AN657" s="106"/>
      <c r="AO657" s="114"/>
      <c r="AP657" s="106"/>
      <c r="AQ657" s="114"/>
      <c r="AR657" s="106"/>
      <c r="AS657" s="114"/>
      <c r="AT657" s="106"/>
      <c r="AU657" s="114"/>
      <c r="AV657" s="106"/>
      <c r="AW657" s="114"/>
      <c r="AX657" s="157"/>
      <c r="AY657" s="157"/>
      <c r="AZ657" s="157"/>
      <c r="BA657" s="157"/>
      <c r="BB657" s="157"/>
      <c r="BC657" s="157"/>
    </row>
    <row r="658" spans="1:55" ht="79.2" x14ac:dyDescent="0.3">
      <c r="A658" s="114">
        <f>A270+1</f>
        <v>655</v>
      </c>
      <c r="B658" s="179" t="s">
        <v>4074</v>
      </c>
      <c r="C658" s="114">
        <v>0</v>
      </c>
      <c r="D658" s="114" t="s">
        <v>991</v>
      </c>
      <c r="E658" s="114" t="s">
        <v>944</v>
      </c>
      <c r="F658" s="114" t="s">
        <v>923</v>
      </c>
      <c r="G658" s="114" t="s">
        <v>868</v>
      </c>
      <c r="H658" s="114"/>
      <c r="I658" s="114"/>
      <c r="J658" s="114" t="s">
        <v>871</v>
      </c>
      <c r="K658" s="114"/>
      <c r="L658" s="114"/>
      <c r="M658" s="114"/>
      <c r="N658" s="114">
        <v>1</v>
      </c>
      <c r="O658" s="180">
        <v>0</v>
      </c>
      <c r="P658" s="180" t="s">
        <v>1182</v>
      </c>
      <c r="Q658" s="180">
        <v>0</v>
      </c>
      <c r="R658" s="180">
        <v>0.01</v>
      </c>
      <c r="S658" s="180" t="s">
        <v>930</v>
      </c>
      <c r="T658" s="181" t="s">
        <v>4075</v>
      </c>
      <c r="U658" s="179" t="s">
        <v>103</v>
      </c>
      <c r="V658" s="179" t="s">
        <v>4076</v>
      </c>
      <c r="W658" s="114" t="str">
        <f>CONCATENATE("0x",TEXT(DEC2HEX(HEX2DEC("FC")*256+(37)*2),"0000"))</f>
        <v>0xFC4A</v>
      </c>
      <c r="X658" s="179">
        <v>32</v>
      </c>
      <c r="Y658" s="182" t="s">
        <v>913</v>
      </c>
      <c r="Z658" s="183" t="s">
        <v>4077</v>
      </c>
      <c r="AA658" s="184"/>
      <c r="AB658" s="182"/>
      <c r="AC658" s="114"/>
      <c r="AD658" s="114"/>
      <c r="AE658" s="114"/>
      <c r="AF658" s="114"/>
      <c r="AG658" s="114"/>
      <c r="AH658" s="106"/>
      <c r="AI658" s="114"/>
      <c r="AJ658" s="106"/>
      <c r="AK658" s="114"/>
      <c r="AL658" s="106"/>
      <c r="AM658" s="114"/>
      <c r="AN658" s="106"/>
      <c r="AO658" s="114"/>
      <c r="AP658" s="106"/>
      <c r="AQ658" s="114"/>
      <c r="AR658" s="106"/>
      <c r="AS658" s="114"/>
      <c r="AT658" s="106"/>
      <c r="AU658" s="114"/>
      <c r="AV658" s="106"/>
      <c r="AW658" s="114"/>
      <c r="AX658" s="157"/>
      <c r="AY658" s="157"/>
      <c r="AZ658" s="157"/>
      <c r="BA658" s="157"/>
      <c r="BB658" s="157"/>
      <c r="BC658" s="157"/>
    </row>
    <row r="659" spans="1:55" ht="118.8" x14ac:dyDescent="0.3">
      <c r="A659" s="114">
        <f t="shared" si="23"/>
        <v>656</v>
      </c>
      <c r="B659" s="179" t="s">
        <v>4078</v>
      </c>
      <c r="C659" s="114">
        <v>0</v>
      </c>
      <c r="D659" s="114" t="s">
        <v>991</v>
      </c>
      <c r="E659" s="114" t="s">
        <v>980</v>
      </c>
      <c r="F659" s="114" t="s">
        <v>923</v>
      </c>
      <c r="G659" s="114" t="s">
        <v>868</v>
      </c>
      <c r="H659" s="114"/>
      <c r="I659" s="114"/>
      <c r="J659" s="114" t="s">
        <v>871</v>
      </c>
      <c r="K659" s="114"/>
      <c r="L659" s="114"/>
      <c r="M659" s="114"/>
      <c r="N659" s="114">
        <v>1</v>
      </c>
      <c r="O659" s="180">
        <v>0</v>
      </c>
      <c r="P659" s="180">
        <v>1000</v>
      </c>
      <c r="Q659" s="180">
        <v>0</v>
      </c>
      <c r="R659" s="141">
        <v>1</v>
      </c>
      <c r="S659" s="133" t="s">
        <v>1044</v>
      </c>
      <c r="T659" s="134" t="s">
        <v>4079</v>
      </c>
      <c r="U659" s="179" t="s">
        <v>104</v>
      </c>
      <c r="V659" s="179" t="s">
        <v>4080</v>
      </c>
      <c r="W659" s="114" t="str">
        <f>CONCATENATE("0x",TEXT(DEC2HEX(HEX2DEC("FC")*256+(38)*2),"0000"))</f>
        <v>0xFC4C</v>
      </c>
      <c r="X659" s="179">
        <v>16</v>
      </c>
      <c r="Y659" s="182" t="s">
        <v>913</v>
      </c>
      <c r="Z659" s="183" t="s">
        <v>4081</v>
      </c>
      <c r="AA659" s="184"/>
      <c r="AB659" s="182"/>
      <c r="AC659" s="114"/>
      <c r="AD659" s="114"/>
      <c r="AE659" s="114"/>
      <c r="AF659" s="114"/>
      <c r="AG659" s="114"/>
      <c r="AH659" s="106"/>
      <c r="AI659" s="114"/>
      <c r="AJ659" s="106"/>
      <c r="AK659" s="114"/>
      <c r="AL659" s="106"/>
      <c r="AM659" s="114"/>
      <c r="AN659" s="106"/>
      <c r="AO659" s="114"/>
      <c r="AP659" s="106"/>
      <c r="AQ659" s="114"/>
      <c r="AR659" s="106"/>
      <c r="AS659" s="114"/>
      <c r="AT659" s="106"/>
      <c r="AU659" s="114"/>
      <c r="AV659" s="106"/>
      <c r="AW659" s="114"/>
      <c r="AX659" s="157"/>
      <c r="AY659" s="157"/>
      <c r="AZ659" s="157"/>
      <c r="BA659" s="157"/>
      <c r="BB659" s="157"/>
      <c r="BC659" s="157"/>
    </row>
    <row r="660" spans="1:55" ht="15.6" x14ac:dyDescent="0.3">
      <c r="A660" s="114">
        <f t="shared" si="23"/>
        <v>657</v>
      </c>
      <c r="B660" s="179" t="s">
        <v>4082</v>
      </c>
      <c r="C660" s="114">
        <v>0</v>
      </c>
      <c r="D660" s="114" t="s">
        <v>991</v>
      </c>
      <c r="E660" s="114" t="s">
        <v>944</v>
      </c>
      <c r="F660" s="114" t="s">
        <v>923</v>
      </c>
      <c r="G660" s="114" t="s">
        <v>868</v>
      </c>
      <c r="H660" s="114"/>
      <c r="I660" s="114"/>
      <c r="J660" s="114" t="s">
        <v>871</v>
      </c>
      <c r="K660" s="114"/>
      <c r="L660" s="114"/>
      <c r="M660" s="114"/>
      <c r="N660" s="114">
        <v>2</v>
      </c>
      <c r="O660" s="180">
        <v>0</v>
      </c>
      <c r="P660" s="180" t="s">
        <v>1182</v>
      </c>
      <c r="Q660" s="180">
        <v>0</v>
      </c>
      <c r="R660" s="180"/>
      <c r="S660" s="133" t="s">
        <v>4083</v>
      </c>
      <c r="T660" s="134" t="s">
        <v>4084</v>
      </c>
      <c r="U660" s="179" t="s">
        <v>177</v>
      </c>
      <c r="V660" s="179" t="s">
        <v>4085</v>
      </c>
      <c r="W660" s="114" t="str">
        <f>CONCATENATE("0x",TEXT(DEC2HEX(HEX2DEC("FC")*256+(39)*2),"0000"))</f>
        <v>0xFC4E</v>
      </c>
      <c r="X660" s="179">
        <v>32</v>
      </c>
      <c r="Y660" s="182" t="s">
        <v>913</v>
      </c>
      <c r="Z660" s="183"/>
      <c r="AA660" s="184"/>
      <c r="AB660" s="182"/>
      <c r="AC660" s="114"/>
      <c r="AD660" s="114"/>
      <c r="AE660" s="114"/>
      <c r="AF660" s="114"/>
      <c r="AG660" s="114"/>
      <c r="AH660" s="106"/>
      <c r="AI660" s="114"/>
      <c r="AJ660" s="106"/>
      <c r="AK660" s="114"/>
      <c r="AL660" s="106"/>
      <c r="AM660" s="114"/>
      <c r="AN660" s="106"/>
      <c r="AO660" s="114"/>
      <c r="AP660" s="106"/>
      <c r="AQ660" s="114"/>
      <c r="AR660" s="106"/>
      <c r="AS660" s="114"/>
      <c r="AT660" s="106"/>
      <c r="AU660" s="114"/>
      <c r="AV660" s="106"/>
      <c r="AW660" s="114"/>
      <c r="AX660" s="157"/>
      <c r="AY660" s="157"/>
      <c r="AZ660" s="157"/>
      <c r="BA660" s="157"/>
      <c r="BB660" s="157"/>
      <c r="BC660" s="157"/>
    </row>
    <row r="661" spans="1:55" ht="15.6" x14ac:dyDescent="0.3">
      <c r="A661" s="114">
        <f t="shared" si="23"/>
        <v>658</v>
      </c>
      <c r="B661" s="179" t="s">
        <v>4086</v>
      </c>
      <c r="C661" s="114">
        <v>0</v>
      </c>
      <c r="D661" s="114" t="s">
        <v>991</v>
      </c>
      <c r="E661" s="114" t="s">
        <v>944</v>
      </c>
      <c r="F661" s="114" t="s">
        <v>923</v>
      </c>
      <c r="G661" s="114" t="s">
        <v>868</v>
      </c>
      <c r="H661" s="114"/>
      <c r="I661" s="114"/>
      <c r="J661" s="114" t="s">
        <v>871</v>
      </c>
      <c r="K661" s="114"/>
      <c r="L661" s="114"/>
      <c r="M661" s="114"/>
      <c r="N661" s="114">
        <v>4</v>
      </c>
      <c r="O661" s="180">
        <v>0</v>
      </c>
      <c r="P661" s="180" t="s">
        <v>1182</v>
      </c>
      <c r="Q661" s="180">
        <v>0</v>
      </c>
      <c r="R661" s="180"/>
      <c r="S661" s="133" t="s">
        <v>4083</v>
      </c>
      <c r="T661" s="134" t="s">
        <v>4087</v>
      </c>
      <c r="U661" s="179" t="s">
        <v>297</v>
      </c>
      <c r="V661" s="179" t="s">
        <v>297</v>
      </c>
      <c r="W661" s="114" t="str">
        <f>CONCATENATE("0x",TEXT(DEC2HEX(HEX2DEC("FC")*256+(43)*2),"0000"))</f>
        <v>0xFC56</v>
      </c>
      <c r="X661" s="179">
        <v>32</v>
      </c>
      <c r="Y661" s="182" t="s">
        <v>913</v>
      </c>
      <c r="Z661" s="183" t="s">
        <v>4088</v>
      </c>
      <c r="AA661" s="184"/>
      <c r="AB661" s="182"/>
      <c r="AC661" s="114"/>
      <c r="AD661" s="114"/>
      <c r="AE661" s="114"/>
      <c r="AF661" s="114"/>
      <c r="AG661" s="114"/>
      <c r="AH661" s="106"/>
      <c r="AI661" s="114"/>
      <c r="AJ661" s="106"/>
      <c r="AK661" s="114"/>
      <c r="AL661" s="106"/>
      <c r="AM661" s="114"/>
      <c r="AN661" s="106"/>
      <c r="AO661" s="114"/>
      <c r="AP661" s="106"/>
      <c r="AQ661" s="114"/>
      <c r="AR661" s="106"/>
      <c r="AS661" s="114"/>
      <c r="AT661" s="106"/>
      <c r="AU661" s="114"/>
      <c r="AV661" s="106"/>
      <c r="AW661" s="114"/>
      <c r="AX661" s="157"/>
      <c r="AY661" s="157"/>
      <c r="AZ661" s="157"/>
      <c r="BA661" s="157"/>
      <c r="BB661" s="157"/>
      <c r="BC661" s="157"/>
    </row>
    <row r="662" spans="1:55" s="188" customFormat="1" ht="39.6" x14ac:dyDescent="0.3">
      <c r="A662" s="114">
        <f t="shared" si="23"/>
        <v>659</v>
      </c>
      <c r="B662" s="179" t="s">
        <v>4089</v>
      </c>
      <c r="C662" s="114">
        <v>0</v>
      </c>
      <c r="D662" s="114" t="s">
        <v>991</v>
      </c>
      <c r="E662" s="124" t="s">
        <v>3872</v>
      </c>
      <c r="F662" s="124" t="s">
        <v>1272</v>
      </c>
      <c r="G662" s="124"/>
      <c r="H662" s="114"/>
      <c r="I662" s="114"/>
      <c r="J662" s="114"/>
      <c r="K662" s="114"/>
      <c r="L662" s="114"/>
      <c r="M662" s="114"/>
      <c r="N662" s="114">
        <v>1</v>
      </c>
      <c r="O662" s="180">
        <v>0</v>
      </c>
      <c r="P662" s="180">
        <v>2147483647</v>
      </c>
      <c r="Q662" s="180">
        <v>0</v>
      </c>
      <c r="R662" s="180">
        <v>1E-3</v>
      </c>
      <c r="S662" s="222" t="s">
        <v>4090</v>
      </c>
      <c r="T662" s="134" t="s">
        <v>4091</v>
      </c>
      <c r="U662" s="179" t="s">
        <v>4092</v>
      </c>
      <c r="V662" s="179"/>
      <c r="W662" s="114" t="str">
        <f>CONCATENATE("0x",TEXT(DEC2HEX(HEX2DEC("FC")*256+(44)*2),"0000"))</f>
        <v>0xFC58</v>
      </c>
      <c r="X662" s="179">
        <v>16</v>
      </c>
      <c r="Y662" s="182" t="s">
        <v>913</v>
      </c>
      <c r="Z662" s="183" t="s">
        <v>4093</v>
      </c>
      <c r="AA662" s="184"/>
      <c r="AB662" s="182"/>
      <c r="AC662" s="114">
        <v>2</v>
      </c>
      <c r="AD662" s="172" t="s">
        <v>887</v>
      </c>
      <c r="AE662" s="114"/>
      <c r="AF662" s="114"/>
      <c r="AG662" s="114"/>
      <c r="AH662" s="106"/>
      <c r="AI662" s="114"/>
      <c r="AJ662" s="106"/>
      <c r="AK662" s="114"/>
      <c r="AL662" s="106"/>
      <c r="AM662" s="114"/>
      <c r="AN662" s="106"/>
      <c r="AO662" s="114"/>
      <c r="AP662" s="106"/>
      <c r="AQ662" s="114"/>
      <c r="AR662" s="106"/>
      <c r="AS662" s="114"/>
      <c r="AT662" s="106"/>
      <c r="AU662" s="114"/>
      <c r="AV662" s="106"/>
      <c r="AW662" s="114"/>
      <c r="AX662" s="157"/>
      <c r="AY662" s="157"/>
      <c r="AZ662" s="157"/>
      <c r="BA662" s="157"/>
      <c r="BB662" s="157"/>
      <c r="BC662" s="157"/>
    </row>
    <row r="663" spans="1:55" s="188" customFormat="1" ht="26.4" x14ac:dyDescent="0.3">
      <c r="A663" s="114">
        <f>A662+1</f>
        <v>660</v>
      </c>
      <c r="B663" s="179" t="s">
        <v>4094</v>
      </c>
      <c r="C663" s="114">
        <v>0</v>
      </c>
      <c r="D663" s="114" t="s">
        <v>991</v>
      </c>
      <c r="E663" s="114" t="s">
        <v>980</v>
      </c>
      <c r="F663" s="124" t="s">
        <v>1272</v>
      </c>
      <c r="G663" s="124"/>
      <c r="H663" s="114"/>
      <c r="I663" s="114"/>
      <c r="J663" s="114"/>
      <c r="K663" s="114"/>
      <c r="L663" s="114"/>
      <c r="M663" s="114"/>
      <c r="N663" s="114">
        <v>1</v>
      </c>
      <c r="O663" s="180">
        <v>0</v>
      </c>
      <c r="P663" s="180">
        <v>1</v>
      </c>
      <c r="Q663" s="180">
        <v>0</v>
      </c>
      <c r="R663" s="180"/>
      <c r="S663" s="133"/>
      <c r="T663" s="134" t="s">
        <v>4095</v>
      </c>
      <c r="U663" s="179" t="s">
        <v>4096</v>
      </c>
      <c r="V663" s="179"/>
      <c r="W663" s="114" t="str">
        <f>CONCATENATE("0x",TEXT(DEC2HEX(HEX2DEC("FC")*256+(45)*2),"0000"))</f>
        <v>0xFC5A</v>
      </c>
      <c r="X663" s="179">
        <v>16</v>
      </c>
      <c r="Y663" s="182" t="s">
        <v>913</v>
      </c>
      <c r="Z663" s="183" t="s">
        <v>4097</v>
      </c>
      <c r="AA663" s="184"/>
      <c r="AB663" s="182"/>
      <c r="AC663" s="114">
        <v>2</v>
      </c>
      <c r="AD663" s="172" t="s">
        <v>887</v>
      </c>
      <c r="AE663" s="114"/>
      <c r="AF663" s="114"/>
      <c r="AG663" s="114"/>
      <c r="AH663" s="106"/>
      <c r="AI663" s="114"/>
      <c r="AJ663" s="106"/>
      <c r="AK663" s="114"/>
      <c r="AL663" s="106"/>
      <c r="AM663" s="114"/>
      <c r="AN663" s="106"/>
      <c r="AO663" s="114"/>
      <c r="AP663" s="106"/>
      <c r="AQ663" s="114"/>
      <c r="AR663" s="106"/>
      <c r="AS663" s="114"/>
      <c r="AT663" s="106"/>
      <c r="AU663" s="114"/>
      <c r="AV663" s="106"/>
      <c r="AW663" s="114"/>
      <c r="AX663" s="157"/>
      <c r="AY663" s="157"/>
      <c r="AZ663" s="157"/>
      <c r="BA663" s="157"/>
      <c r="BB663" s="157"/>
      <c r="BC663" s="157"/>
    </row>
    <row r="664" spans="1:55" s="188" customFormat="1" ht="39.6" x14ac:dyDescent="0.3">
      <c r="A664" s="114">
        <f>A663+1</f>
        <v>661</v>
      </c>
      <c r="B664" s="179" t="s">
        <v>4098</v>
      </c>
      <c r="C664" s="114">
        <v>0</v>
      </c>
      <c r="D664" s="114" t="s">
        <v>991</v>
      </c>
      <c r="E664" s="114" t="s">
        <v>929</v>
      </c>
      <c r="F664" s="114" t="s">
        <v>909</v>
      </c>
      <c r="G664" s="114"/>
      <c r="H664" s="114" t="s">
        <v>869</v>
      </c>
      <c r="I664" s="114"/>
      <c r="J664" s="114"/>
      <c r="K664" s="114"/>
      <c r="L664" s="114"/>
      <c r="M664" s="114"/>
      <c r="N664" s="114">
        <v>1</v>
      </c>
      <c r="O664" s="180">
        <v>0</v>
      </c>
      <c r="P664" s="180" t="s">
        <v>1191</v>
      </c>
      <c r="Q664" s="180">
        <v>0</v>
      </c>
      <c r="R664" s="180"/>
      <c r="S664" s="133"/>
      <c r="T664" s="134" t="s">
        <v>4099</v>
      </c>
      <c r="U664" s="179" t="s">
        <v>4100</v>
      </c>
      <c r="V664" s="179"/>
      <c r="W664" s="114" t="str">
        <f>CONCATENATE("0x",TEXT(DEC2HEX(HEX2DEC("FC")*256+(46)*2),"0000"))</f>
        <v>0xFC5C</v>
      </c>
      <c r="X664" s="179">
        <v>16</v>
      </c>
      <c r="Y664" s="182" t="s">
        <v>913</v>
      </c>
      <c r="Z664" s="183" t="s">
        <v>4101</v>
      </c>
      <c r="AA664" s="184"/>
      <c r="AB664" s="182"/>
      <c r="AC664" s="114">
        <v>1</v>
      </c>
      <c r="AD664" s="172" t="s">
        <v>887</v>
      </c>
      <c r="AE664" s="114"/>
      <c r="AF664" s="114"/>
      <c r="AG664" s="114"/>
      <c r="AH664" s="106"/>
      <c r="AI664" s="114"/>
      <c r="AJ664" s="106"/>
      <c r="AK664" s="114"/>
      <c r="AL664" s="106"/>
      <c r="AM664" s="114"/>
      <c r="AN664" s="106"/>
      <c r="AO664" s="114"/>
      <c r="AP664" s="106"/>
      <c r="AQ664" s="114"/>
      <c r="AR664" s="106"/>
      <c r="AS664" s="114"/>
      <c r="AT664" s="106"/>
      <c r="AU664" s="114"/>
      <c r="AV664" s="106"/>
      <c r="AW664" s="114"/>
      <c r="AX664" s="157"/>
      <c r="AY664" s="157"/>
      <c r="AZ664" s="157"/>
      <c r="BA664" s="157"/>
      <c r="BB664" s="157"/>
      <c r="BC664" s="157"/>
    </row>
    <row r="665" spans="1:55" ht="54" customHeight="1" x14ac:dyDescent="0.3">
      <c r="A665" s="114">
        <f>A664+1</f>
        <v>662</v>
      </c>
      <c r="B665" s="179" t="s">
        <v>4102</v>
      </c>
      <c r="C665" s="114">
        <v>0</v>
      </c>
      <c r="D665" s="114" t="s">
        <v>991</v>
      </c>
      <c r="E665" s="114" t="s">
        <v>4103</v>
      </c>
      <c r="F665" s="114" t="s">
        <v>923</v>
      </c>
      <c r="G665" s="114" t="s">
        <v>868</v>
      </c>
      <c r="H665" s="114"/>
      <c r="I665" s="114"/>
      <c r="J665" s="114" t="s">
        <v>871</v>
      </c>
      <c r="K665" s="114"/>
      <c r="L665" s="114"/>
      <c r="M665" s="114"/>
      <c r="N665" s="114">
        <v>2</v>
      </c>
      <c r="O665" s="180">
        <v>1</v>
      </c>
      <c r="P665" s="180">
        <v>65535</v>
      </c>
      <c r="Q665" s="180">
        <v>1</v>
      </c>
      <c r="R665" s="180"/>
      <c r="S665" s="132"/>
      <c r="T665" s="134" t="s">
        <v>4104</v>
      </c>
      <c r="U665" s="179" t="s">
        <v>4105</v>
      </c>
      <c r="V665" s="179" t="s">
        <v>4105</v>
      </c>
      <c r="W665" s="114" t="str">
        <f>CONCATENATE("0x",TEXT(DEC2HEX(HEX2DEC("FC")*256+(47)*2),"0000"))</f>
        <v>0xFC5E</v>
      </c>
      <c r="X665" s="179"/>
      <c r="Y665" s="182" t="s">
        <v>913</v>
      </c>
      <c r="Z665" s="183" t="s">
        <v>4106</v>
      </c>
      <c r="AA665" s="184"/>
      <c r="AB665" s="182"/>
      <c r="AC665" s="114"/>
      <c r="AD665" s="114"/>
      <c r="AE665" s="114"/>
      <c r="AF665" s="114"/>
      <c r="AG665" s="114"/>
      <c r="AH665" s="106"/>
      <c r="AI665" s="114"/>
      <c r="AJ665" s="106"/>
      <c r="AK665" s="114"/>
      <c r="AL665" s="106"/>
      <c r="AM665" s="114"/>
      <c r="AN665" s="106"/>
      <c r="AO665" s="114"/>
      <c r="AP665" s="106"/>
      <c r="AQ665" s="114"/>
      <c r="AR665" s="106"/>
      <c r="AS665" s="114"/>
      <c r="AT665" s="106"/>
      <c r="AU665" s="114"/>
      <c r="AV665" s="106"/>
      <c r="AW665" s="114"/>
      <c r="AX665" s="157"/>
      <c r="AY665" s="157"/>
      <c r="AZ665" s="157"/>
      <c r="BA665" s="157"/>
      <c r="BB665" s="157"/>
      <c r="BC665" s="157"/>
    </row>
    <row r="666" spans="1:55" x14ac:dyDescent="0.3">
      <c r="A666" s="114">
        <f t="shared" ref="A666:A675" si="24">A665+1</f>
        <v>663</v>
      </c>
      <c r="B666" s="179" t="s">
        <v>4107</v>
      </c>
      <c r="C666" s="114">
        <v>0</v>
      </c>
      <c r="D666" s="114" t="s">
        <v>991</v>
      </c>
      <c r="E666" s="114" t="s">
        <v>966</v>
      </c>
      <c r="F666" s="114" t="s">
        <v>923</v>
      </c>
      <c r="G666" s="114" t="s">
        <v>868</v>
      </c>
      <c r="H666" s="114"/>
      <c r="I666" s="114"/>
      <c r="J666" s="114" t="s">
        <v>871</v>
      </c>
      <c r="K666" s="114"/>
      <c r="L666" s="114"/>
      <c r="M666" s="114"/>
      <c r="N666" s="114">
        <v>4</v>
      </c>
      <c r="O666" s="180">
        <v>-2147483648</v>
      </c>
      <c r="P666" s="180">
        <v>2147483647</v>
      </c>
      <c r="Q666" s="180">
        <v>0</v>
      </c>
      <c r="R666" s="180"/>
      <c r="S666" s="179"/>
      <c r="T666" s="181" t="s">
        <v>4108</v>
      </c>
      <c r="U666" s="179" t="s">
        <v>4109</v>
      </c>
      <c r="V666" s="179" t="s">
        <v>1092</v>
      </c>
      <c r="W666" s="114" t="s">
        <v>2030</v>
      </c>
      <c r="X666" s="179">
        <v>32</v>
      </c>
      <c r="Y666" s="182" t="s">
        <v>913</v>
      </c>
      <c r="Z666" s="183" t="s">
        <v>4110</v>
      </c>
      <c r="AA666" s="184"/>
      <c r="AB666" s="182"/>
      <c r="AC666" s="114"/>
      <c r="AD666" s="114"/>
      <c r="AE666" s="114"/>
      <c r="AF666" s="114"/>
      <c r="AG666" s="114"/>
      <c r="AH666" s="106"/>
      <c r="AI666" s="114"/>
      <c r="AJ666" s="106"/>
      <c r="AK666" s="114"/>
      <c r="AL666" s="106"/>
      <c r="AM666" s="114"/>
      <c r="AN666" s="106"/>
      <c r="AO666" s="114"/>
      <c r="AP666" s="106"/>
      <c r="AQ666" s="114"/>
      <c r="AR666" s="106"/>
      <c r="AS666" s="114"/>
      <c r="AT666" s="106"/>
      <c r="AU666" s="114"/>
      <c r="AV666" s="106"/>
      <c r="AW666" s="114"/>
      <c r="AX666" s="157"/>
      <c r="AY666" s="157"/>
      <c r="AZ666" s="157"/>
      <c r="BA666" s="157"/>
      <c r="BB666" s="157"/>
      <c r="BC666" s="157"/>
    </row>
    <row r="667" spans="1:55" x14ac:dyDescent="0.3">
      <c r="A667" s="114">
        <f t="shared" si="24"/>
        <v>664</v>
      </c>
      <c r="B667" s="179" t="s">
        <v>4111</v>
      </c>
      <c r="C667" s="114">
        <v>0</v>
      </c>
      <c r="D667" s="114" t="s">
        <v>991</v>
      </c>
      <c r="E667" s="114" t="s">
        <v>966</v>
      </c>
      <c r="F667" s="114" t="s">
        <v>923</v>
      </c>
      <c r="G667" s="114" t="s">
        <v>868</v>
      </c>
      <c r="H667" s="114"/>
      <c r="I667" s="114"/>
      <c r="J667" s="114" t="s">
        <v>871</v>
      </c>
      <c r="K667" s="114"/>
      <c r="L667" s="114"/>
      <c r="M667" s="114"/>
      <c r="N667" s="114">
        <v>4</v>
      </c>
      <c r="O667" s="180">
        <v>-2147483648</v>
      </c>
      <c r="P667" s="180">
        <v>2147483647</v>
      </c>
      <c r="Q667" s="180">
        <v>0</v>
      </c>
      <c r="R667" s="180"/>
      <c r="S667" s="179"/>
      <c r="T667" s="181" t="s">
        <v>4112</v>
      </c>
      <c r="U667" s="179" t="s">
        <v>4113</v>
      </c>
      <c r="V667" s="179" t="s">
        <v>1097</v>
      </c>
      <c r="W667" s="114" t="s">
        <v>4114</v>
      </c>
      <c r="X667" s="179">
        <v>32</v>
      </c>
      <c r="Y667" s="182" t="s">
        <v>913</v>
      </c>
      <c r="Z667" s="183" t="s">
        <v>4110</v>
      </c>
      <c r="AA667" s="184"/>
      <c r="AB667" s="182"/>
      <c r="AC667" s="114"/>
      <c r="AD667" s="114"/>
      <c r="AE667" s="114"/>
      <c r="AF667" s="114"/>
      <c r="AG667" s="114"/>
      <c r="AH667" s="106"/>
      <c r="AI667" s="114"/>
      <c r="AJ667" s="106"/>
      <c r="AK667" s="114"/>
      <c r="AL667" s="106"/>
      <c r="AM667" s="114"/>
      <c r="AN667" s="106"/>
      <c r="AO667" s="114"/>
      <c r="AP667" s="106"/>
      <c r="AQ667" s="114"/>
      <c r="AR667" s="106"/>
      <c r="AS667" s="114"/>
      <c r="AT667" s="106"/>
      <c r="AU667" s="114"/>
      <c r="AV667" s="106"/>
      <c r="AW667" s="114"/>
      <c r="AX667" s="157"/>
      <c r="AY667" s="157"/>
      <c r="AZ667" s="157"/>
      <c r="BA667" s="157"/>
      <c r="BB667" s="157"/>
      <c r="BC667" s="157"/>
    </row>
    <row r="668" spans="1:55" x14ac:dyDescent="0.3">
      <c r="A668" s="114">
        <f t="shared" si="24"/>
        <v>665</v>
      </c>
      <c r="B668" s="179" t="s">
        <v>4115</v>
      </c>
      <c r="C668" s="114">
        <v>0</v>
      </c>
      <c r="D668" s="114" t="s">
        <v>991</v>
      </c>
      <c r="E668" s="114" t="s">
        <v>966</v>
      </c>
      <c r="F668" s="114" t="s">
        <v>923</v>
      </c>
      <c r="G668" s="114" t="s">
        <v>868</v>
      </c>
      <c r="H668" s="114"/>
      <c r="I668" s="114"/>
      <c r="J668" s="114" t="s">
        <v>871</v>
      </c>
      <c r="K668" s="114"/>
      <c r="L668" s="114"/>
      <c r="M668" s="114"/>
      <c r="N668" s="114">
        <v>4</v>
      </c>
      <c r="O668" s="180">
        <v>-2147483648</v>
      </c>
      <c r="P668" s="180">
        <v>2147483647</v>
      </c>
      <c r="Q668" s="180">
        <v>0</v>
      </c>
      <c r="R668" s="180"/>
      <c r="S668" s="179"/>
      <c r="T668" s="181" t="s">
        <v>4116</v>
      </c>
      <c r="U668" s="179" t="s">
        <v>4117</v>
      </c>
      <c r="V668" s="179" t="s">
        <v>1101</v>
      </c>
      <c r="W668" s="114" t="s">
        <v>4118</v>
      </c>
      <c r="X668" s="179">
        <v>32</v>
      </c>
      <c r="Y668" s="182" t="s">
        <v>913</v>
      </c>
      <c r="Z668" s="183" t="s">
        <v>4110</v>
      </c>
      <c r="AA668" s="184"/>
      <c r="AB668" s="182"/>
      <c r="AC668" s="114"/>
      <c r="AD668" s="114"/>
      <c r="AE668" s="114"/>
      <c r="AF668" s="114"/>
      <c r="AG668" s="114"/>
      <c r="AH668" s="106"/>
      <c r="AI668" s="114"/>
      <c r="AJ668" s="106"/>
      <c r="AK668" s="114"/>
      <c r="AL668" s="106"/>
      <c r="AM668" s="114"/>
      <c r="AN668" s="106"/>
      <c r="AO668" s="114"/>
      <c r="AP668" s="106"/>
      <c r="AQ668" s="114"/>
      <c r="AR668" s="106"/>
      <c r="AS668" s="114"/>
      <c r="AT668" s="106"/>
      <c r="AU668" s="114"/>
      <c r="AV668" s="106"/>
      <c r="AW668" s="114"/>
      <c r="AX668" s="157"/>
      <c r="AY668" s="157"/>
      <c r="AZ668" s="157"/>
      <c r="BA668" s="157"/>
      <c r="BB668" s="157"/>
      <c r="BC668" s="157"/>
    </row>
    <row r="669" spans="1:55" x14ac:dyDescent="0.3">
      <c r="A669" s="114">
        <f t="shared" si="24"/>
        <v>666</v>
      </c>
      <c r="B669" s="179" t="s">
        <v>4119</v>
      </c>
      <c r="C669" s="114">
        <v>0</v>
      </c>
      <c r="D669" s="114" t="s">
        <v>991</v>
      </c>
      <c r="E669" s="114" t="s">
        <v>966</v>
      </c>
      <c r="F669" s="114" t="s">
        <v>923</v>
      </c>
      <c r="G669" s="114" t="s">
        <v>868</v>
      </c>
      <c r="H669" s="114"/>
      <c r="I669" s="114"/>
      <c r="J669" s="114" t="s">
        <v>871</v>
      </c>
      <c r="K669" s="114"/>
      <c r="L669" s="114"/>
      <c r="M669" s="114"/>
      <c r="N669" s="114">
        <v>4</v>
      </c>
      <c r="O669" s="180">
        <v>-2147483648</v>
      </c>
      <c r="P669" s="180">
        <v>2147483647</v>
      </c>
      <c r="Q669" s="180">
        <v>0</v>
      </c>
      <c r="R669" s="180"/>
      <c r="S669" s="179"/>
      <c r="T669" s="181" t="s">
        <v>4120</v>
      </c>
      <c r="U669" s="179" t="s">
        <v>4121</v>
      </c>
      <c r="V669" s="179" t="s">
        <v>1105</v>
      </c>
      <c r="W669" s="114" t="s">
        <v>1811</v>
      </c>
      <c r="X669" s="179">
        <v>32</v>
      </c>
      <c r="Y669" s="182" t="s">
        <v>913</v>
      </c>
      <c r="Z669" s="183" t="s">
        <v>4110</v>
      </c>
      <c r="AA669" s="184"/>
      <c r="AB669" s="182"/>
      <c r="AC669" s="114"/>
      <c r="AD669" s="114"/>
      <c r="AE669" s="114"/>
      <c r="AF669" s="114"/>
      <c r="AG669" s="114"/>
      <c r="AH669" s="106"/>
      <c r="AI669" s="114"/>
      <c r="AJ669" s="106"/>
      <c r="AK669" s="114"/>
      <c r="AL669" s="106"/>
      <c r="AM669" s="114"/>
      <c r="AN669" s="106"/>
      <c r="AO669" s="114"/>
      <c r="AP669" s="106"/>
      <c r="AQ669" s="114"/>
      <c r="AR669" s="106"/>
      <c r="AS669" s="114"/>
      <c r="AT669" s="106"/>
      <c r="AU669" s="114"/>
      <c r="AV669" s="106"/>
      <c r="AW669" s="114"/>
      <c r="AX669" s="157"/>
      <c r="AY669" s="157"/>
      <c r="AZ669" s="157"/>
      <c r="BA669" s="157"/>
      <c r="BB669" s="157"/>
      <c r="BC669" s="157"/>
    </row>
    <row r="670" spans="1:55" x14ac:dyDescent="0.3">
      <c r="A670" s="114">
        <f t="shared" si="24"/>
        <v>667</v>
      </c>
      <c r="B670" s="179" t="s">
        <v>4122</v>
      </c>
      <c r="C670" s="114">
        <v>0</v>
      </c>
      <c r="D670" s="114" t="s">
        <v>991</v>
      </c>
      <c r="E670" s="114" t="s">
        <v>966</v>
      </c>
      <c r="F670" s="114" t="s">
        <v>923</v>
      </c>
      <c r="G670" s="114" t="s">
        <v>868</v>
      </c>
      <c r="H670" s="114"/>
      <c r="I670" s="114"/>
      <c r="J670" s="114" t="s">
        <v>871</v>
      </c>
      <c r="K670" s="114"/>
      <c r="L670" s="114"/>
      <c r="M670" s="114"/>
      <c r="N670" s="114">
        <v>4</v>
      </c>
      <c r="O670" s="180">
        <v>-2147483648</v>
      </c>
      <c r="P670" s="180">
        <v>2147483647</v>
      </c>
      <c r="Q670" s="180">
        <v>0</v>
      </c>
      <c r="R670" s="180"/>
      <c r="S670" s="179"/>
      <c r="T670" s="181" t="s">
        <v>4123</v>
      </c>
      <c r="U670" s="179" t="s">
        <v>4124</v>
      </c>
      <c r="V670" s="179" t="s">
        <v>1109</v>
      </c>
      <c r="W670" s="114" t="s">
        <v>4125</v>
      </c>
      <c r="X670" s="179">
        <v>32</v>
      </c>
      <c r="Y670" s="182" t="s">
        <v>913</v>
      </c>
      <c r="Z670" s="183" t="s">
        <v>4110</v>
      </c>
      <c r="AA670" s="184"/>
      <c r="AB670" s="182"/>
      <c r="AC670" s="114"/>
      <c r="AD670" s="114"/>
      <c r="AE670" s="114"/>
      <c r="AF670" s="114"/>
      <c r="AG670" s="114"/>
      <c r="AH670" s="106"/>
      <c r="AI670" s="114"/>
      <c r="AJ670" s="106"/>
      <c r="AK670" s="114"/>
      <c r="AL670" s="106"/>
      <c r="AM670" s="114"/>
      <c r="AN670" s="106"/>
      <c r="AO670" s="114"/>
      <c r="AP670" s="106"/>
      <c r="AQ670" s="114"/>
      <c r="AR670" s="106"/>
      <c r="AS670" s="114"/>
      <c r="AT670" s="106"/>
      <c r="AU670" s="114"/>
      <c r="AV670" s="106"/>
      <c r="AW670" s="114"/>
      <c r="AX670" s="157"/>
      <c r="AY670" s="157"/>
      <c r="AZ670" s="157"/>
      <c r="BA670" s="157"/>
      <c r="BB670" s="157"/>
      <c r="BC670" s="157"/>
    </row>
    <row r="671" spans="1:55" ht="26.4" x14ac:dyDescent="0.3">
      <c r="A671" s="114">
        <f t="shared" si="24"/>
        <v>668</v>
      </c>
      <c r="B671" s="179" t="s">
        <v>4126</v>
      </c>
      <c r="C671" s="114">
        <v>0</v>
      </c>
      <c r="D671" s="114" t="s">
        <v>991</v>
      </c>
      <c r="E671" s="114" t="s">
        <v>980</v>
      </c>
      <c r="F671" s="114" t="s">
        <v>909</v>
      </c>
      <c r="G671" s="114"/>
      <c r="H671" s="114"/>
      <c r="I671" s="114"/>
      <c r="J671" s="114"/>
      <c r="K671" s="114"/>
      <c r="L671" s="114"/>
      <c r="M671" s="114"/>
      <c r="N671" s="114">
        <v>4</v>
      </c>
      <c r="O671" s="180">
        <v>-300</v>
      </c>
      <c r="P671" s="180">
        <v>127</v>
      </c>
      <c r="Q671" s="180">
        <v>0</v>
      </c>
      <c r="R671" s="180"/>
      <c r="S671" s="179"/>
      <c r="T671" s="181" t="s">
        <v>4127</v>
      </c>
      <c r="U671" s="179" t="s">
        <v>4128</v>
      </c>
      <c r="V671" s="179" t="s">
        <v>1113</v>
      </c>
      <c r="W671" s="114" t="s">
        <v>2031</v>
      </c>
      <c r="X671" s="179">
        <v>16</v>
      </c>
      <c r="Y671" s="182" t="s">
        <v>913</v>
      </c>
      <c r="Z671" s="183" t="s">
        <v>4129</v>
      </c>
      <c r="AA671" s="184"/>
      <c r="AB671" s="182"/>
      <c r="AC671" s="114"/>
      <c r="AD671" s="172" t="s">
        <v>887</v>
      </c>
      <c r="AE671" s="114"/>
      <c r="AF671" s="114"/>
      <c r="AG671" s="114"/>
      <c r="AH671" s="106"/>
      <c r="AI671" s="114"/>
      <c r="AJ671" s="106"/>
      <c r="AK671" s="114"/>
      <c r="AL671" s="106"/>
      <c r="AM671" s="114"/>
      <c r="AN671" s="106"/>
      <c r="AO671" s="114"/>
      <c r="AP671" s="106"/>
      <c r="AQ671" s="114"/>
      <c r="AR671" s="106"/>
      <c r="AS671" s="114"/>
      <c r="AT671" s="106"/>
      <c r="AU671" s="114"/>
      <c r="AV671" s="106"/>
      <c r="AW671" s="114"/>
      <c r="AX671" s="157"/>
      <c r="AY671" s="157"/>
      <c r="AZ671" s="157"/>
      <c r="BA671" s="157"/>
      <c r="BB671" s="157"/>
      <c r="BC671" s="157"/>
    </row>
    <row r="672" spans="1:55" ht="26.4" x14ac:dyDescent="0.3">
      <c r="A672" s="114">
        <f t="shared" si="24"/>
        <v>669</v>
      </c>
      <c r="B672" s="179" t="s">
        <v>4130</v>
      </c>
      <c r="C672" s="114">
        <v>0</v>
      </c>
      <c r="D672" s="114" t="s">
        <v>991</v>
      </c>
      <c r="E672" s="114" t="s">
        <v>980</v>
      </c>
      <c r="F672" s="114" t="s">
        <v>909</v>
      </c>
      <c r="G672" s="114"/>
      <c r="H672" s="114"/>
      <c r="I672" s="114"/>
      <c r="J672" s="114"/>
      <c r="K672" s="114"/>
      <c r="L672" s="114"/>
      <c r="M672" s="114"/>
      <c r="N672" s="114">
        <v>4</v>
      </c>
      <c r="O672" s="180">
        <v>-300</v>
      </c>
      <c r="P672" s="180">
        <v>127</v>
      </c>
      <c r="Q672" s="180">
        <v>0</v>
      </c>
      <c r="R672" s="180"/>
      <c r="S672" s="179"/>
      <c r="T672" s="181" t="s">
        <v>4131</v>
      </c>
      <c r="U672" s="179" t="s">
        <v>4132</v>
      </c>
      <c r="V672" s="179" t="s">
        <v>1117</v>
      </c>
      <c r="W672" s="114" t="s">
        <v>4133</v>
      </c>
      <c r="X672" s="179">
        <v>16</v>
      </c>
      <c r="Y672" s="182" t="s">
        <v>913</v>
      </c>
      <c r="Z672" s="183" t="s">
        <v>4129</v>
      </c>
      <c r="AA672" s="184"/>
      <c r="AB672" s="182"/>
      <c r="AC672" s="114"/>
      <c r="AD672" s="172" t="s">
        <v>887</v>
      </c>
      <c r="AE672" s="114"/>
      <c r="AF672" s="114"/>
      <c r="AG672" s="114"/>
      <c r="AH672" s="106"/>
      <c r="AI672" s="114"/>
      <c r="AJ672" s="106"/>
      <c r="AK672" s="114"/>
      <c r="AL672" s="106"/>
      <c r="AM672" s="114"/>
      <c r="AN672" s="106"/>
      <c r="AO672" s="114"/>
      <c r="AP672" s="106"/>
      <c r="AQ672" s="114"/>
      <c r="AR672" s="106"/>
      <c r="AS672" s="114"/>
      <c r="AT672" s="106"/>
      <c r="AU672" s="114"/>
      <c r="AV672" s="106"/>
      <c r="AW672" s="114"/>
      <c r="AX672" s="157"/>
      <c r="AY672" s="157"/>
      <c r="AZ672" s="157"/>
      <c r="BA672" s="157"/>
      <c r="BB672" s="157"/>
      <c r="BC672" s="157"/>
    </row>
    <row r="673" spans="1:55" ht="26.4" x14ac:dyDescent="0.3">
      <c r="A673" s="114">
        <f t="shared" si="24"/>
        <v>670</v>
      </c>
      <c r="B673" s="179" t="s">
        <v>4134</v>
      </c>
      <c r="C673" s="114">
        <v>0</v>
      </c>
      <c r="D673" s="114" t="s">
        <v>991</v>
      </c>
      <c r="E673" s="114" t="s">
        <v>980</v>
      </c>
      <c r="F673" s="114" t="s">
        <v>909</v>
      </c>
      <c r="G673" s="114"/>
      <c r="H673" s="114"/>
      <c r="I673" s="114"/>
      <c r="J673" s="114"/>
      <c r="K673" s="114"/>
      <c r="L673" s="114"/>
      <c r="M673" s="114"/>
      <c r="N673" s="114">
        <v>4</v>
      </c>
      <c r="O673" s="180">
        <v>-300</v>
      </c>
      <c r="P673" s="180">
        <v>127</v>
      </c>
      <c r="Q673" s="180">
        <v>0</v>
      </c>
      <c r="R673" s="180"/>
      <c r="S673" s="179"/>
      <c r="T673" s="181" t="s">
        <v>4135</v>
      </c>
      <c r="U673" s="179" t="s">
        <v>4136</v>
      </c>
      <c r="V673" s="179" t="s">
        <v>1121</v>
      </c>
      <c r="W673" s="114" t="s">
        <v>4137</v>
      </c>
      <c r="X673" s="179">
        <v>16</v>
      </c>
      <c r="Y673" s="182" t="s">
        <v>913</v>
      </c>
      <c r="Z673" s="183" t="s">
        <v>4129</v>
      </c>
      <c r="AA673" s="184"/>
      <c r="AB673" s="182"/>
      <c r="AC673" s="114"/>
      <c r="AD673" s="172" t="s">
        <v>887</v>
      </c>
      <c r="AE673" s="114"/>
      <c r="AF673" s="114"/>
      <c r="AG673" s="114"/>
      <c r="AH673" s="106"/>
      <c r="AI673" s="114"/>
      <c r="AJ673" s="106"/>
      <c r="AK673" s="114"/>
      <c r="AL673" s="106"/>
      <c r="AM673" s="114"/>
      <c r="AN673" s="106"/>
      <c r="AO673" s="114"/>
      <c r="AP673" s="106"/>
      <c r="AQ673" s="114"/>
      <c r="AR673" s="106"/>
      <c r="AS673" s="114"/>
      <c r="AT673" s="106"/>
      <c r="AU673" s="114"/>
      <c r="AV673" s="106"/>
      <c r="AW673" s="114"/>
      <c r="AX673" s="157"/>
      <c r="AY673" s="157"/>
      <c r="AZ673" s="157"/>
      <c r="BA673" s="157"/>
      <c r="BB673" s="157"/>
      <c r="BC673" s="157"/>
    </row>
    <row r="674" spans="1:55" ht="26.4" x14ac:dyDescent="0.3">
      <c r="A674" s="114">
        <f t="shared" si="24"/>
        <v>671</v>
      </c>
      <c r="B674" s="179" t="s">
        <v>4138</v>
      </c>
      <c r="C674" s="114">
        <v>0</v>
      </c>
      <c r="D674" s="114" t="s">
        <v>991</v>
      </c>
      <c r="E674" s="114" t="s">
        <v>980</v>
      </c>
      <c r="F674" s="114" t="s">
        <v>909</v>
      </c>
      <c r="G674" s="114"/>
      <c r="H674" s="114"/>
      <c r="I674" s="114"/>
      <c r="J674" s="114"/>
      <c r="K674" s="114"/>
      <c r="L674" s="114"/>
      <c r="M674" s="114"/>
      <c r="N674" s="114">
        <v>4</v>
      </c>
      <c r="O674" s="180">
        <v>-300</v>
      </c>
      <c r="P674" s="180">
        <v>127</v>
      </c>
      <c r="Q674" s="180">
        <v>0</v>
      </c>
      <c r="R674" s="180"/>
      <c r="S674" s="179"/>
      <c r="T674" s="181" t="s">
        <v>4139</v>
      </c>
      <c r="U674" s="179" t="s">
        <v>4140</v>
      </c>
      <c r="V674" s="179" t="s">
        <v>1125</v>
      </c>
      <c r="W674" s="114" t="s">
        <v>4141</v>
      </c>
      <c r="X674" s="179">
        <v>16</v>
      </c>
      <c r="Y674" s="182" t="s">
        <v>913</v>
      </c>
      <c r="Z674" s="183" t="s">
        <v>4129</v>
      </c>
      <c r="AA674" s="184"/>
      <c r="AB674" s="182"/>
      <c r="AC674" s="114"/>
      <c r="AD674" s="172" t="s">
        <v>887</v>
      </c>
      <c r="AE674" s="114"/>
      <c r="AF674" s="114"/>
      <c r="AG674" s="114"/>
      <c r="AH674" s="106"/>
      <c r="AI674" s="114"/>
      <c r="AJ674" s="106"/>
      <c r="AK674" s="114"/>
      <c r="AL674" s="106"/>
      <c r="AM674" s="114"/>
      <c r="AN674" s="106"/>
      <c r="AO674" s="114"/>
      <c r="AP674" s="106"/>
      <c r="AQ674" s="114"/>
      <c r="AR674" s="106"/>
      <c r="AS674" s="114"/>
      <c r="AT674" s="106"/>
      <c r="AU674" s="114"/>
      <c r="AV674" s="106"/>
      <c r="AW674" s="114"/>
      <c r="AX674" s="157"/>
      <c r="AY674" s="157"/>
      <c r="AZ674" s="157"/>
      <c r="BA674" s="157"/>
      <c r="BB674" s="157"/>
      <c r="BC674" s="157"/>
    </row>
    <row r="675" spans="1:55" ht="26.4" x14ac:dyDescent="0.25">
      <c r="A675" s="114">
        <f t="shared" si="24"/>
        <v>672</v>
      </c>
      <c r="B675" s="179" t="s">
        <v>4142</v>
      </c>
      <c r="C675" s="114">
        <v>0</v>
      </c>
      <c r="D675" s="114" t="s">
        <v>991</v>
      </c>
      <c r="E675" s="114" t="s">
        <v>980</v>
      </c>
      <c r="F675" s="114" t="s">
        <v>909</v>
      </c>
      <c r="G675" s="114"/>
      <c r="H675" s="114"/>
      <c r="I675" s="114"/>
      <c r="J675" s="114"/>
      <c r="K675" s="114"/>
      <c r="L675" s="114"/>
      <c r="M675" s="114"/>
      <c r="N675" s="114">
        <v>4</v>
      </c>
      <c r="O675" s="180">
        <v>-300</v>
      </c>
      <c r="P675" s="180">
        <v>127</v>
      </c>
      <c r="Q675" s="180">
        <v>0</v>
      </c>
      <c r="R675" s="180"/>
      <c r="S675" s="179"/>
      <c r="T675" s="181" t="s">
        <v>4143</v>
      </c>
      <c r="U675" s="179" t="s">
        <v>4144</v>
      </c>
      <c r="V675" s="179" t="s">
        <v>1129</v>
      </c>
      <c r="W675" s="114" t="s">
        <v>4145</v>
      </c>
      <c r="X675" s="179">
        <v>16</v>
      </c>
      <c r="Y675" s="182" t="s">
        <v>913</v>
      </c>
      <c r="Z675" s="183" t="s">
        <v>4129</v>
      </c>
      <c r="AA675" s="184"/>
      <c r="AB675" s="182"/>
      <c r="AC675" s="203"/>
      <c r="AD675" s="172" t="s">
        <v>887</v>
      </c>
      <c r="AE675" s="203"/>
      <c r="AF675" s="203"/>
      <c r="AG675" s="203"/>
      <c r="AH675" s="106"/>
      <c r="AI675" s="114"/>
      <c r="AJ675" s="106"/>
      <c r="AK675" s="114"/>
      <c r="AL675" s="106"/>
      <c r="AM675" s="114"/>
      <c r="AN675" s="106"/>
      <c r="AO675" s="114"/>
      <c r="AP675" s="106"/>
      <c r="AQ675" s="114"/>
      <c r="AR675" s="106"/>
      <c r="AS675" s="114"/>
      <c r="AT675" s="106"/>
      <c r="AU675" s="114"/>
      <c r="AV675" s="106"/>
      <c r="AW675" s="114"/>
      <c r="AX675" s="157"/>
      <c r="AY675" s="157"/>
      <c r="AZ675" s="157"/>
      <c r="BA675" s="157"/>
      <c r="BB675" s="157"/>
      <c r="BC675" s="157"/>
    </row>
    <row r="676" spans="1:55" ht="92.4" x14ac:dyDescent="0.25">
      <c r="A676" s="114">
        <v>673</v>
      </c>
      <c r="B676" s="179" t="s">
        <v>4146</v>
      </c>
      <c r="C676" s="114">
        <v>0</v>
      </c>
      <c r="D676" s="114" t="s">
        <v>991</v>
      </c>
      <c r="E676" s="114" t="s">
        <v>980</v>
      </c>
      <c r="F676" s="114" t="s">
        <v>923</v>
      </c>
      <c r="G676" s="114" t="s">
        <v>868</v>
      </c>
      <c r="H676" s="114"/>
      <c r="I676" s="114"/>
      <c r="J676" s="114" t="s">
        <v>871</v>
      </c>
      <c r="K676" s="172"/>
      <c r="L676" s="114"/>
      <c r="M676" s="114"/>
      <c r="N676" s="114">
        <v>2</v>
      </c>
      <c r="O676" s="180">
        <v>0</v>
      </c>
      <c r="P676" s="180">
        <v>32767</v>
      </c>
      <c r="Q676" s="180">
        <v>0</v>
      </c>
      <c r="R676" s="180"/>
      <c r="S676" s="179"/>
      <c r="T676" s="181" t="s">
        <v>4147</v>
      </c>
      <c r="U676" s="179" t="s">
        <v>179</v>
      </c>
      <c r="V676" s="179"/>
      <c r="W676" s="114" t="str">
        <f>CONCATENATE("0x",TEXT(DEC2HEX(HEX2DEC("FC")*256+(48)*2),"0000"))</f>
        <v>0xFC60</v>
      </c>
      <c r="X676" s="179">
        <v>16</v>
      </c>
      <c r="Y676" s="182" t="s">
        <v>913</v>
      </c>
      <c r="Z676" s="183" t="s">
        <v>4148</v>
      </c>
      <c r="AA676" s="184"/>
      <c r="AB676" s="182"/>
      <c r="AC676" s="203"/>
      <c r="AD676" s="203"/>
      <c r="AE676" s="203"/>
      <c r="AF676" s="203"/>
      <c r="AG676" s="203"/>
      <c r="AH676" s="106"/>
      <c r="AI676" s="114"/>
      <c r="AJ676" s="106"/>
      <c r="AK676" s="114"/>
      <c r="AL676" s="106"/>
      <c r="AM676" s="114"/>
      <c r="AN676" s="106"/>
      <c r="AO676" s="114"/>
      <c r="AP676" s="106"/>
      <c r="AQ676" s="114"/>
      <c r="AR676" s="106"/>
      <c r="AS676" s="114"/>
      <c r="AT676" s="106"/>
      <c r="AU676" s="114"/>
      <c r="AV676" s="106"/>
      <c r="AW676" s="114"/>
      <c r="AX676" s="157"/>
      <c r="AY676" s="157"/>
      <c r="AZ676" s="157"/>
      <c r="BA676" s="157"/>
      <c r="BB676" s="157"/>
      <c r="BC676" s="157"/>
    </row>
    <row r="677" spans="1:55" ht="52.8" x14ac:dyDescent="0.25">
      <c r="A677" s="114">
        <v>674</v>
      </c>
      <c r="B677" s="179" t="s">
        <v>4149</v>
      </c>
      <c r="C677" s="114">
        <v>0</v>
      </c>
      <c r="D677" s="114" t="s">
        <v>991</v>
      </c>
      <c r="E677" s="114" t="s">
        <v>966</v>
      </c>
      <c r="F677" s="114" t="s">
        <v>923</v>
      </c>
      <c r="G677" s="114" t="s">
        <v>868</v>
      </c>
      <c r="H677" s="114"/>
      <c r="I677" s="114"/>
      <c r="J677" s="114" t="s">
        <v>871</v>
      </c>
      <c r="K677" s="172"/>
      <c r="L677" s="114"/>
      <c r="M677" s="114"/>
      <c r="N677" s="114">
        <v>2</v>
      </c>
      <c r="O677" s="180">
        <v>0</v>
      </c>
      <c r="P677" s="180">
        <v>2147483647</v>
      </c>
      <c r="Q677" s="180">
        <v>0</v>
      </c>
      <c r="R677" s="180"/>
      <c r="S677" s="179"/>
      <c r="T677" s="181" t="s">
        <v>4150</v>
      </c>
      <c r="U677" s="179" t="s">
        <v>4151</v>
      </c>
      <c r="V677" s="179"/>
      <c r="W677" s="114" t="str">
        <f>CONCATENATE("0x",TEXT(DEC2HEX(HEX2DEC("FC")*256+(49)*2),"0000"))</f>
        <v>0xFC62</v>
      </c>
      <c r="X677" s="179">
        <v>32</v>
      </c>
      <c r="Y677" s="182" t="s">
        <v>913</v>
      </c>
      <c r="Z677" s="183" t="s">
        <v>4152</v>
      </c>
      <c r="AA677" s="184"/>
      <c r="AB677" s="182"/>
      <c r="AC677" s="203"/>
      <c r="AD677" s="203"/>
      <c r="AE677" s="203"/>
      <c r="AF677" s="203"/>
      <c r="AG677" s="203"/>
      <c r="AH677" s="106"/>
      <c r="AI677" s="114"/>
      <c r="AJ677" s="106"/>
      <c r="AK677" s="114"/>
      <c r="AL677" s="106"/>
      <c r="AM677" s="114"/>
      <c r="AN677" s="106"/>
      <c r="AO677" s="114"/>
      <c r="AP677" s="106"/>
      <c r="AQ677" s="114"/>
      <c r="AR677" s="106"/>
      <c r="AS677" s="114"/>
      <c r="AT677" s="106"/>
      <c r="AU677" s="114"/>
      <c r="AV677" s="106"/>
      <c r="AW677" s="114"/>
      <c r="AX677" s="157"/>
      <c r="AY677" s="157"/>
      <c r="AZ677" s="157"/>
      <c r="BA677" s="157"/>
      <c r="BB677" s="157"/>
      <c r="BC677" s="157"/>
    </row>
    <row r="678" spans="1:55" ht="39.6" x14ac:dyDescent="0.25">
      <c r="A678" s="114">
        <v>675</v>
      </c>
      <c r="B678" s="179" t="s">
        <v>4153</v>
      </c>
      <c r="C678" s="114">
        <v>0</v>
      </c>
      <c r="D678" s="114" t="s">
        <v>991</v>
      </c>
      <c r="E678" s="114" t="s">
        <v>929</v>
      </c>
      <c r="F678" s="114" t="s">
        <v>909</v>
      </c>
      <c r="G678" s="114"/>
      <c r="H678" s="114" t="s">
        <v>869</v>
      </c>
      <c r="I678" s="114"/>
      <c r="J678" s="114"/>
      <c r="K678" s="114"/>
      <c r="L678" s="114"/>
      <c r="M678" s="114" t="s">
        <v>874</v>
      </c>
      <c r="N678" s="114">
        <v>3</v>
      </c>
      <c r="O678" s="180">
        <v>0</v>
      </c>
      <c r="P678" s="180" t="s">
        <v>4154</v>
      </c>
      <c r="Q678" s="107" t="s">
        <v>4155</v>
      </c>
      <c r="R678" s="180"/>
      <c r="S678" s="179"/>
      <c r="T678" s="181" t="s">
        <v>4156</v>
      </c>
      <c r="U678" s="179" t="s">
        <v>4157</v>
      </c>
      <c r="V678" s="179"/>
      <c r="W678" s="114" t="str">
        <f>CONCATENATE("0x",TEXT(DEC2HEX(HEX2DEC("1")*256+(32)*2),"0000"))</f>
        <v>0x0140</v>
      </c>
      <c r="X678" s="179">
        <v>16</v>
      </c>
      <c r="Y678" s="182" t="s">
        <v>913</v>
      </c>
      <c r="Z678" s="183" t="s">
        <v>4158</v>
      </c>
      <c r="AA678" s="184"/>
      <c r="AB678" s="182"/>
      <c r="AC678" s="203">
        <v>2</v>
      </c>
      <c r="AD678" s="204" t="s">
        <v>887</v>
      </c>
      <c r="AE678" s="203"/>
      <c r="AF678" s="203"/>
      <c r="AG678" s="203"/>
      <c r="AH678" s="106"/>
      <c r="AI678" s="114" t="s">
        <v>915</v>
      </c>
      <c r="AJ678" s="106"/>
      <c r="AK678" s="114"/>
      <c r="AL678" s="106"/>
      <c r="AM678" s="114"/>
      <c r="AN678" s="106"/>
      <c r="AO678" s="114"/>
      <c r="AP678" s="106"/>
      <c r="AQ678" s="114"/>
      <c r="AR678" s="106"/>
      <c r="AS678" s="114"/>
      <c r="AT678" s="106"/>
      <c r="AU678" s="114"/>
      <c r="AV678" s="106"/>
      <c r="AW678" s="114"/>
      <c r="AX678" s="157"/>
      <c r="AY678" s="157"/>
      <c r="AZ678" s="157"/>
      <c r="BA678" s="157"/>
      <c r="BB678" s="157"/>
      <c r="BC678" s="157"/>
    </row>
    <row r="679" spans="1:55" ht="39.6" x14ac:dyDescent="0.25">
      <c r="A679" s="114">
        <v>676</v>
      </c>
      <c r="B679" s="179"/>
      <c r="C679" s="114">
        <v>0</v>
      </c>
      <c r="D679" s="114" t="s">
        <v>991</v>
      </c>
      <c r="E679" s="114" t="s">
        <v>929</v>
      </c>
      <c r="F679" s="114" t="s">
        <v>923</v>
      </c>
      <c r="G679" s="114" t="s">
        <v>868</v>
      </c>
      <c r="H679" s="114" t="s">
        <v>869</v>
      </c>
      <c r="I679" s="114"/>
      <c r="J679" s="114"/>
      <c r="K679" s="114"/>
      <c r="L679" s="114"/>
      <c r="M679" s="114" t="s">
        <v>874</v>
      </c>
      <c r="N679" s="114">
        <v>255</v>
      </c>
      <c r="O679" s="180">
        <v>0</v>
      </c>
      <c r="P679" s="180" t="s">
        <v>1838</v>
      </c>
      <c r="Q679" s="180">
        <v>0</v>
      </c>
      <c r="R679" s="180"/>
      <c r="S679" s="180"/>
      <c r="T679" s="181" t="s">
        <v>4159</v>
      </c>
      <c r="U679" s="181" t="s">
        <v>4159</v>
      </c>
      <c r="V679" s="181"/>
      <c r="W679" s="114"/>
      <c r="X679" s="179"/>
      <c r="Y679" s="182"/>
      <c r="Z679" s="183" t="s">
        <v>4160</v>
      </c>
      <c r="AA679" s="184"/>
      <c r="AB679" s="182"/>
      <c r="AC679" s="203"/>
      <c r="AD679" s="172"/>
      <c r="AE679" s="203"/>
      <c r="AF679" s="203"/>
      <c r="AG679" s="203"/>
      <c r="AH679" s="106"/>
      <c r="AI679" s="114"/>
      <c r="AJ679" s="106"/>
      <c r="AK679" s="114"/>
      <c r="AL679" s="106"/>
      <c r="AM679" s="114"/>
      <c r="AN679" s="106"/>
      <c r="AO679" s="114"/>
      <c r="AP679" s="106"/>
      <c r="AQ679" s="114"/>
      <c r="AR679" s="106"/>
      <c r="AS679" s="114"/>
      <c r="AT679" s="106"/>
      <c r="AU679" s="114"/>
      <c r="AV679" s="106"/>
      <c r="AW679" s="114"/>
      <c r="AX679" s="157"/>
      <c r="AY679" s="157"/>
      <c r="AZ679" s="157"/>
      <c r="BA679" s="157"/>
      <c r="BB679" s="157"/>
      <c r="BC679" s="157"/>
    </row>
    <row r="680" spans="1:55" ht="26.4" x14ac:dyDescent="0.25">
      <c r="A680" s="114">
        <v>677</v>
      </c>
      <c r="B680" s="179" t="s">
        <v>4161</v>
      </c>
      <c r="C680" s="114">
        <v>0</v>
      </c>
      <c r="D680" s="114" t="s">
        <v>991</v>
      </c>
      <c r="E680" s="114" t="s">
        <v>929</v>
      </c>
      <c r="F680" s="114" t="s">
        <v>909</v>
      </c>
      <c r="G680" s="114"/>
      <c r="H680" s="114"/>
      <c r="I680" s="114"/>
      <c r="J680" s="114"/>
      <c r="K680" s="114"/>
      <c r="L680" s="114"/>
      <c r="M680" s="114"/>
      <c r="N680" s="114">
        <v>5</v>
      </c>
      <c r="O680" s="180">
        <v>0</v>
      </c>
      <c r="P680" s="180" t="s">
        <v>4162</v>
      </c>
      <c r="Q680" s="180">
        <v>0</v>
      </c>
      <c r="R680" s="180"/>
      <c r="S680" s="180" t="s">
        <v>1232</v>
      </c>
      <c r="T680" s="181" t="s">
        <v>4163</v>
      </c>
      <c r="U680" s="181" t="s">
        <v>4164</v>
      </c>
      <c r="V680" s="181" t="s">
        <v>4165</v>
      </c>
      <c r="W680" s="114" t="s">
        <v>4166</v>
      </c>
      <c r="X680" s="179">
        <v>16</v>
      </c>
      <c r="Y680" s="182" t="s">
        <v>4167</v>
      </c>
      <c r="Z680" s="183" t="s">
        <v>4168</v>
      </c>
      <c r="AA680" s="184"/>
      <c r="AB680" s="182"/>
      <c r="AC680" s="203">
        <v>1</v>
      </c>
      <c r="AD680" s="172" t="s">
        <v>887</v>
      </c>
      <c r="AE680" s="203"/>
      <c r="AF680" s="203"/>
      <c r="AG680" s="203"/>
      <c r="AH680" s="106"/>
      <c r="AI680" s="114"/>
      <c r="AJ680" s="106"/>
      <c r="AK680" s="114"/>
      <c r="AL680" s="106"/>
      <c r="AM680" s="114"/>
      <c r="AN680" s="106"/>
      <c r="AO680" s="114"/>
      <c r="AP680" s="106"/>
      <c r="AQ680" s="114"/>
      <c r="AR680" s="106"/>
      <c r="AS680" s="114"/>
      <c r="AT680" s="106"/>
      <c r="AU680" s="114"/>
      <c r="AV680" s="106"/>
      <c r="AW680" s="114"/>
      <c r="AX680" s="157"/>
      <c r="AY680" s="157"/>
      <c r="AZ680" s="157"/>
      <c r="BA680" s="157"/>
      <c r="BB680" s="157"/>
      <c r="BC680" s="157"/>
    </row>
    <row r="681" spans="1:55" x14ac:dyDescent="0.25">
      <c r="A681" s="114">
        <v>678</v>
      </c>
      <c r="B681" s="179" t="s">
        <v>4169</v>
      </c>
      <c r="C681" s="114">
        <v>0</v>
      </c>
      <c r="D681" s="114" t="s">
        <v>991</v>
      </c>
      <c r="E681" s="114" t="s">
        <v>980</v>
      </c>
      <c r="F681" s="114" t="s">
        <v>909</v>
      </c>
      <c r="G681" s="114"/>
      <c r="H681" s="114"/>
      <c r="I681" s="114"/>
      <c r="J681" s="114"/>
      <c r="K681" s="114"/>
      <c r="L681" s="114"/>
      <c r="M681" s="114"/>
      <c r="N681" s="114">
        <v>3</v>
      </c>
      <c r="O681" s="180">
        <v>-300</v>
      </c>
      <c r="P681" s="180">
        <v>300</v>
      </c>
      <c r="Q681" s="180">
        <v>0</v>
      </c>
      <c r="R681" s="180"/>
      <c r="S681" s="180" t="s">
        <v>4170</v>
      </c>
      <c r="T681" s="125" t="s">
        <v>4171</v>
      </c>
      <c r="U681" s="111" t="s">
        <v>4172</v>
      </c>
      <c r="V681" s="110" t="s">
        <v>4173</v>
      </c>
      <c r="W681" s="114" t="s">
        <v>4174</v>
      </c>
      <c r="X681" s="179">
        <v>16</v>
      </c>
      <c r="Y681" s="182" t="s">
        <v>4175</v>
      </c>
      <c r="Z681" s="183" t="s">
        <v>4176</v>
      </c>
      <c r="AA681" s="184"/>
      <c r="AB681" s="182"/>
      <c r="AC681" s="203">
        <v>2</v>
      </c>
      <c r="AD681" s="172" t="s">
        <v>887</v>
      </c>
      <c r="AE681" s="203"/>
      <c r="AF681" s="203"/>
      <c r="AG681" s="203"/>
      <c r="AH681" s="106"/>
      <c r="AI681" s="114"/>
      <c r="AJ681" s="106"/>
      <c r="AK681" s="114"/>
      <c r="AL681" s="106"/>
      <c r="AM681" s="114"/>
      <c r="AN681" s="106"/>
      <c r="AO681" s="114"/>
      <c r="AP681" s="106"/>
      <c r="AQ681" s="114"/>
      <c r="AR681" s="106"/>
      <c r="AS681" s="114"/>
      <c r="AT681" s="106"/>
      <c r="AU681" s="114"/>
      <c r="AV681" s="106"/>
      <c r="AW681" s="114"/>
    </row>
    <row r="682" spans="1:55" ht="26.4" x14ac:dyDescent="0.25">
      <c r="A682" s="114">
        <v>679</v>
      </c>
      <c r="B682" s="179" t="s">
        <v>4177</v>
      </c>
      <c r="C682" s="114">
        <v>0</v>
      </c>
      <c r="D682" s="114" t="s">
        <v>991</v>
      </c>
      <c r="E682" s="114" t="s">
        <v>966</v>
      </c>
      <c r="F682" s="114" t="s">
        <v>909</v>
      </c>
      <c r="G682" s="114"/>
      <c r="H682" s="114"/>
      <c r="I682" s="114"/>
      <c r="J682" s="114"/>
      <c r="K682" s="114"/>
      <c r="L682" s="114"/>
      <c r="M682" s="114"/>
      <c r="N682" s="114">
        <v>3</v>
      </c>
      <c r="O682" s="192" t="s">
        <v>1444</v>
      </c>
      <c r="P682" s="192" t="s">
        <v>1452</v>
      </c>
      <c r="Q682" s="192" t="s">
        <v>1453</v>
      </c>
      <c r="R682" s="180"/>
      <c r="S682" s="192" t="s">
        <v>1437</v>
      </c>
      <c r="T682" s="181" t="s">
        <v>4178</v>
      </c>
      <c r="U682" s="181" t="s">
        <v>4179</v>
      </c>
      <c r="V682" s="181" t="s">
        <v>4180</v>
      </c>
      <c r="W682" s="114" t="s">
        <v>4181</v>
      </c>
      <c r="X682" s="179">
        <v>32</v>
      </c>
      <c r="Y682" s="182" t="s">
        <v>4182</v>
      </c>
      <c r="Z682" s="183" t="s">
        <v>4183</v>
      </c>
      <c r="AA682" s="184"/>
      <c r="AB682" s="182"/>
      <c r="AC682" s="203">
        <v>2</v>
      </c>
      <c r="AD682" s="172" t="s">
        <v>887</v>
      </c>
      <c r="AE682" s="203"/>
      <c r="AF682" s="203"/>
      <c r="AG682" s="203"/>
      <c r="AH682" s="106"/>
      <c r="AI682" s="114"/>
      <c r="AJ682" s="106"/>
      <c r="AK682" s="114"/>
      <c r="AL682" s="106"/>
      <c r="AM682" s="114"/>
      <c r="AN682" s="106"/>
      <c r="AO682" s="114"/>
      <c r="AP682" s="106"/>
      <c r="AQ682" s="114"/>
      <c r="AR682" s="106"/>
      <c r="AS682" s="114"/>
      <c r="AT682" s="106"/>
      <c r="AU682" s="114"/>
      <c r="AV682" s="106"/>
      <c r="AW682" s="114"/>
    </row>
    <row r="683" spans="1:55" ht="26.4" x14ac:dyDescent="0.25">
      <c r="A683" s="114">
        <v>680</v>
      </c>
      <c r="B683" s="179" t="s">
        <v>4184</v>
      </c>
      <c r="C683" s="114">
        <v>0</v>
      </c>
      <c r="D683" s="114" t="s">
        <v>991</v>
      </c>
      <c r="E683" s="114" t="s">
        <v>980</v>
      </c>
      <c r="F683" s="114" t="s">
        <v>909</v>
      </c>
      <c r="G683" s="114"/>
      <c r="H683" s="114"/>
      <c r="I683" s="114"/>
      <c r="J683" s="114"/>
      <c r="K683" s="114"/>
      <c r="L683" s="114"/>
      <c r="M683" s="114"/>
      <c r="N683" s="114">
        <v>3</v>
      </c>
      <c r="O683" s="180">
        <v>0</v>
      </c>
      <c r="P683" s="180">
        <v>1000</v>
      </c>
      <c r="Q683" s="180">
        <v>0</v>
      </c>
      <c r="R683" s="180"/>
      <c r="S683" s="180" t="s">
        <v>4185</v>
      </c>
      <c r="T683" s="198" t="s">
        <v>4186</v>
      </c>
      <c r="U683" s="198" t="s">
        <v>4187</v>
      </c>
      <c r="V683" s="198" t="s">
        <v>4188</v>
      </c>
      <c r="W683" s="114" t="s">
        <v>4189</v>
      </c>
      <c r="X683" s="179">
        <v>16</v>
      </c>
      <c r="Y683" s="182" t="s">
        <v>4182</v>
      </c>
      <c r="Z683" s="183" t="s">
        <v>4190</v>
      </c>
      <c r="AA683" s="184"/>
      <c r="AB683" s="182"/>
      <c r="AC683" s="203">
        <v>2</v>
      </c>
      <c r="AD683" s="204" t="s">
        <v>887</v>
      </c>
      <c r="AE683" s="203"/>
      <c r="AF683" s="203"/>
      <c r="AG683" s="203"/>
      <c r="AH683" s="106"/>
      <c r="AI683" s="114"/>
      <c r="AJ683" s="106"/>
      <c r="AK683" s="114"/>
      <c r="AL683" s="106"/>
      <c r="AM683" s="114"/>
      <c r="AN683" s="106"/>
      <c r="AO683" s="114"/>
      <c r="AP683" s="106"/>
      <c r="AQ683" s="114"/>
      <c r="AR683" s="106"/>
      <c r="AS683" s="114"/>
      <c r="AT683" s="106"/>
      <c r="AU683" s="114"/>
      <c r="AV683" s="106"/>
      <c r="AW683" s="114"/>
    </row>
    <row r="684" spans="1:55" ht="26.4" x14ac:dyDescent="0.25">
      <c r="A684" s="114">
        <v>681</v>
      </c>
      <c r="B684" s="179" t="s">
        <v>4191</v>
      </c>
      <c r="C684" s="114">
        <v>0</v>
      </c>
      <c r="D684" s="114" t="s">
        <v>991</v>
      </c>
      <c r="E684" s="114" t="s">
        <v>929</v>
      </c>
      <c r="F684" s="114" t="s">
        <v>923</v>
      </c>
      <c r="G684" s="114" t="s">
        <v>868</v>
      </c>
      <c r="H684" s="114"/>
      <c r="I684" s="114"/>
      <c r="J684" s="114"/>
      <c r="K684" s="114"/>
      <c r="L684" s="114"/>
      <c r="M684" s="114"/>
      <c r="N684" s="114">
        <v>3</v>
      </c>
      <c r="O684" s="180">
        <v>0</v>
      </c>
      <c r="P684" s="180" t="s">
        <v>4192</v>
      </c>
      <c r="Q684" s="180">
        <v>0</v>
      </c>
      <c r="R684" s="180"/>
      <c r="S684" s="180"/>
      <c r="T684" s="181" t="s">
        <v>4193</v>
      </c>
      <c r="U684" s="181" t="s">
        <v>4194</v>
      </c>
      <c r="V684" s="181" t="s">
        <v>4193</v>
      </c>
      <c r="W684" s="114" t="s">
        <v>4195</v>
      </c>
      <c r="X684" s="179">
        <v>16</v>
      </c>
      <c r="Y684" s="182" t="s">
        <v>4175</v>
      </c>
      <c r="Z684" s="183" t="s">
        <v>4196</v>
      </c>
      <c r="AA684" s="184"/>
      <c r="AB684" s="182"/>
      <c r="AC684" s="203"/>
      <c r="AD684" s="203"/>
      <c r="AE684" s="203"/>
      <c r="AF684" s="203"/>
      <c r="AG684" s="203"/>
      <c r="AH684" s="106"/>
      <c r="AI684" s="114"/>
      <c r="AJ684" s="106"/>
      <c r="AK684" s="114"/>
      <c r="AL684" s="106"/>
      <c r="AM684" s="114"/>
      <c r="AN684" s="106"/>
      <c r="AO684" s="114"/>
      <c r="AP684" s="106"/>
      <c r="AQ684" s="114"/>
      <c r="AR684" s="106"/>
      <c r="AS684" s="114"/>
      <c r="AT684" s="106"/>
      <c r="AU684" s="114"/>
      <c r="AV684" s="106"/>
      <c r="AW684" s="114"/>
    </row>
    <row r="685" spans="1:55" ht="26.4" x14ac:dyDescent="0.25">
      <c r="A685" s="114">
        <v>682</v>
      </c>
      <c r="B685" s="179" t="s">
        <v>4197</v>
      </c>
      <c r="C685" s="114">
        <v>0</v>
      </c>
      <c r="D685" s="114" t="s">
        <v>991</v>
      </c>
      <c r="E685" s="114" t="s">
        <v>929</v>
      </c>
      <c r="F685" s="114" t="s">
        <v>923</v>
      </c>
      <c r="G685" s="114" t="s">
        <v>868</v>
      </c>
      <c r="H685" s="114" t="s">
        <v>869</v>
      </c>
      <c r="I685" s="114"/>
      <c r="J685" s="114"/>
      <c r="K685" s="114"/>
      <c r="L685" s="114"/>
      <c r="M685" s="114"/>
      <c r="N685" s="114">
        <v>3</v>
      </c>
      <c r="O685" s="180">
        <v>0</v>
      </c>
      <c r="P685" s="180" t="s">
        <v>4198</v>
      </c>
      <c r="Q685" s="180">
        <v>0</v>
      </c>
      <c r="R685" s="180"/>
      <c r="S685" s="180"/>
      <c r="T685" s="181" t="s">
        <v>4199</v>
      </c>
      <c r="U685" s="181" t="s">
        <v>4200</v>
      </c>
      <c r="V685" s="181" t="s">
        <v>4199</v>
      </c>
      <c r="W685" s="114" t="s">
        <v>4201</v>
      </c>
      <c r="X685" s="179">
        <v>16</v>
      </c>
      <c r="Y685" s="182" t="s">
        <v>4175</v>
      </c>
      <c r="Z685" s="183" t="s">
        <v>4196</v>
      </c>
      <c r="AA685" s="184"/>
      <c r="AB685" s="182"/>
      <c r="AC685" s="203"/>
      <c r="AD685" s="203"/>
      <c r="AE685" s="203"/>
      <c r="AF685" s="203"/>
      <c r="AG685" s="203"/>
      <c r="AH685" s="106"/>
      <c r="AI685" s="114"/>
      <c r="AJ685" s="106"/>
      <c r="AK685" s="114"/>
      <c r="AL685" s="106"/>
      <c r="AM685" s="114"/>
      <c r="AN685" s="106"/>
      <c r="AO685" s="114"/>
      <c r="AP685" s="106"/>
      <c r="AQ685" s="114"/>
      <c r="AR685" s="106"/>
      <c r="AS685" s="114"/>
      <c r="AT685" s="106"/>
      <c r="AU685" s="114"/>
      <c r="AV685" s="106"/>
      <c r="AW685" s="114"/>
    </row>
    <row r="686" spans="1:55" x14ac:dyDescent="0.25">
      <c r="A686" s="114">
        <v>683</v>
      </c>
      <c r="B686" s="179" t="s">
        <v>4202</v>
      </c>
      <c r="C686" s="114">
        <v>0</v>
      </c>
      <c r="D686" s="114" t="s">
        <v>991</v>
      </c>
      <c r="E686" s="114" t="s">
        <v>980</v>
      </c>
      <c r="F686" s="114" t="s">
        <v>909</v>
      </c>
      <c r="G686" s="114"/>
      <c r="H686" s="114"/>
      <c r="I686" s="114"/>
      <c r="J686" s="114"/>
      <c r="K686" s="114"/>
      <c r="L686" s="114"/>
      <c r="M686" s="114"/>
      <c r="N686" s="114">
        <v>5</v>
      </c>
      <c r="O686" s="180">
        <v>0</v>
      </c>
      <c r="P686" s="180">
        <v>100</v>
      </c>
      <c r="Q686" s="180">
        <v>0</v>
      </c>
      <c r="R686" s="180"/>
      <c r="S686" s="180" t="s">
        <v>1620</v>
      </c>
      <c r="T686" s="181" t="s">
        <v>4203</v>
      </c>
      <c r="U686" s="181" t="s">
        <v>374</v>
      </c>
      <c r="V686" s="181"/>
      <c r="W686" s="114" t="s">
        <v>4204</v>
      </c>
      <c r="X686" s="179"/>
      <c r="Y686" s="182" t="s">
        <v>1311</v>
      </c>
      <c r="Z686" s="183"/>
      <c r="AA686" s="184"/>
      <c r="AB686" s="182"/>
      <c r="AC686" s="114">
        <v>2</v>
      </c>
      <c r="AD686" s="114" t="s">
        <v>887</v>
      </c>
      <c r="AE686" s="203"/>
      <c r="AF686" s="203"/>
      <c r="AG686" s="203"/>
      <c r="AH686" s="106"/>
      <c r="AI686" s="114"/>
      <c r="AJ686" s="106"/>
      <c r="AK686" s="114"/>
      <c r="AL686" s="106"/>
      <c r="AM686" s="114"/>
      <c r="AN686" s="106"/>
      <c r="AO686" s="114"/>
      <c r="AP686" s="106"/>
      <c r="AQ686" s="114"/>
      <c r="AR686" s="106"/>
      <c r="AS686" s="114"/>
      <c r="AT686" s="106"/>
      <c r="AU686" s="114"/>
      <c r="AV686" s="106"/>
      <c r="AW686" s="114"/>
    </row>
    <row r="687" spans="1:55" ht="13.2" customHeight="1" x14ac:dyDescent="0.25">
      <c r="A687" s="114">
        <v>684</v>
      </c>
      <c r="B687" s="179" t="s">
        <v>4205</v>
      </c>
      <c r="C687" s="114">
        <v>0</v>
      </c>
      <c r="D687" s="114" t="s">
        <v>991</v>
      </c>
      <c r="E687" s="114" t="s">
        <v>980</v>
      </c>
      <c r="F687" s="114" t="s">
        <v>909</v>
      </c>
      <c r="G687" s="114"/>
      <c r="H687" s="114"/>
      <c r="I687" s="114"/>
      <c r="J687" s="114"/>
      <c r="K687" s="114"/>
      <c r="L687" s="114"/>
      <c r="M687" s="114"/>
      <c r="N687" s="114">
        <v>5</v>
      </c>
      <c r="O687" s="180">
        <v>0</v>
      </c>
      <c r="P687" s="180">
        <v>100</v>
      </c>
      <c r="Q687" s="180">
        <v>0</v>
      </c>
      <c r="R687" s="180"/>
      <c r="S687" s="180" t="s">
        <v>1620</v>
      </c>
      <c r="T687" s="181" t="s">
        <v>4206</v>
      </c>
      <c r="U687" s="181" t="s">
        <v>375</v>
      </c>
      <c r="V687" s="181"/>
      <c r="W687" s="114" t="s">
        <v>4207</v>
      </c>
      <c r="X687" s="179"/>
      <c r="Y687" s="182" t="s">
        <v>4208</v>
      </c>
      <c r="Z687" s="183"/>
      <c r="AA687" s="184"/>
      <c r="AB687" s="182"/>
      <c r="AC687" s="114">
        <v>2</v>
      </c>
      <c r="AD687" s="114" t="s">
        <v>887</v>
      </c>
      <c r="AE687" s="203"/>
      <c r="AF687" s="203"/>
      <c r="AG687" s="203"/>
      <c r="AH687" s="106"/>
      <c r="AI687" s="114"/>
      <c r="AJ687" s="106"/>
      <c r="AK687" s="114"/>
      <c r="AL687" s="106"/>
      <c r="AM687" s="114"/>
      <c r="AN687" s="106"/>
      <c r="AO687" s="114"/>
      <c r="AP687" s="106"/>
      <c r="AQ687" s="114"/>
      <c r="AR687" s="106"/>
      <c r="AS687" s="114"/>
      <c r="AT687" s="106"/>
      <c r="AU687" s="114"/>
      <c r="AV687" s="106"/>
      <c r="AW687" s="114"/>
    </row>
    <row r="688" spans="1:55" ht="66" x14ac:dyDescent="0.25">
      <c r="A688" s="120">
        <v>685</v>
      </c>
      <c r="B688" s="118" t="s">
        <v>4209</v>
      </c>
      <c r="C688" s="120">
        <v>0</v>
      </c>
      <c r="D688" s="120" t="s">
        <v>991</v>
      </c>
      <c r="E688" s="120" t="s">
        <v>4103</v>
      </c>
      <c r="F688" s="120" t="s">
        <v>1272</v>
      </c>
      <c r="G688" s="120"/>
      <c r="H688" s="120"/>
      <c r="I688" s="120"/>
      <c r="J688" s="120"/>
      <c r="K688" s="120"/>
      <c r="L688" s="120"/>
      <c r="M688" s="120"/>
      <c r="N688" s="120">
        <v>3</v>
      </c>
      <c r="O688" s="117" t="s">
        <v>1272</v>
      </c>
      <c r="P688" s="117" t="s">
        <v>4210</v>
      </c>
      <c r="Q688" s="117" t="s">
        <v>1272</v>
      </c>
      <c r="R688" s="117"/>
      <c r="S688" s="117"/>
      <c r="T688" s="116" t="s">
        <v>4211</v>
      </c>
      <c r="U688" s="116" t="s">
        <v>4212</v>
      </c>
      <c r="V688" s="116"/>
      <c r="W688" s="120" t="s">
        <v>4213</v>
      </c>
      <c r="X688" s="118"/>
      <c r="Y688" s="115" t="s">
        <v>4214</v>
      </c>
      <c r="Z688" s="183" t="s">
        <v>4215</v>
      </c>
      <c r="AA688" s="184" t="s">
        <v>4216</v>
      </c>
      <c r="AB688" s="182"/>
      <c r="AC688" s="114">
        <v>2</v>
      </c>
      <c r="AD688" s="114" t="s">
        <v>887</v>
      </c>
      <c r="AE688" s="203"/>
      <c r="AF688" s="203"/>
      <c r="AG688" s="203"/>
      <c r="AH688" s="106"/>
      <c r="AI688" s="114"/>
      <c r="AJ688" s="106"/>
      <c r="AK688" s="114"/>
      <c r="AL688" s="106"/>
      <c r="AM688" s="114"/>
      <c r="AN688" s="106"/>
      <c r="AO688" s="114"/>
      <c r="AP688" s="106"/>
      <c r="AQ688" s="114"/>
      <c r="AR688" s="106"/>
      <c r="AS688" s="114"/>
      <c r="AT688" s="106"/>
      <c r="AU688" s="114"/>
      <c r="AV688" s="106"/>
      <c r="AW688" s="114"/>
    </row>
    <row r="689" spans="1:55" ht="132" x14ac:dyDescent="0.25">
      <c r="A689" s="120">
        <v>686</v>
      </c>
      <c r="B689" s="118" t="s">
        <v>4217</v>
      </c>
      <c r="C689" s="120">
        <v>0</v>
      </c>
      <c r="D689" s="120" t="s">
        <v>991</v>
      </c>
      <c r="E689" s="120" t="s">
        <v>4103</v>
      </c>
      <c r="F689" s="120" t="s">
        <v>909</v>
      </c>
      <c r="G689" s="120"/>
      <c r="H689" s="120"/>
      <c r="I689" s="120"/>
      <c r="J689" s="120"/>
      <c r="K689" s="120"/>
      <c r="L689" s="120"/>
      <c r="M689" s="120"/>
      <c r="N689" s="120">
        <v>3</v>
      </c>
      <c r="O689" s="117" t="s">
        <v>1272</v>
      </c>
      <c r="P689" s="117" t="s">
        <v>4218</v>
      </c>
      <c r="Q689" s="117" t="s">
        <v>1272</v>
      </c>
      <c r="R689" s="117"/>
      <c r="S689" s="117"/>
      <c r="T689" s="119" t="s">
        <v>4219</v>
      </c>
      <c r="U689" s="119" t="s">
        <v>4220</v>
      </c>
      <c r="V689" s="116"/>
      <c r="W689" s="120" t="s">
        <v>4221</v>
      </c>
      <c r="X689" s="118"/>
      <c r="Y689" s="115" t="s">
        <v>4214</v>
      </c>
      <c r="Z689" s="183" t="s">
        <v>4222</v>
      </c>
      <c r="AA689" s="184"/>
      <c r="AB689" s="182"/>
      <c r="AC689" s="114">
        <v>2</v>
      </c>
      <c r="AD689" s="114" t="s">
        <v>887</v>
      </c>
      <c r="AE689" s="203"/>
      <c r="AF689" s="203"/>
      <c r="AG689" s="203"/>
      <c r="AH689" s="106"/>
      <c r="AI689" s="114"/>
      <c r="AJ689" s="106"/>
      <c r="AK689" s="114"/>
      <c r="AL689" s="106"/>
      <c r="AM689" s="114"/>
      <c r="AN689" s="106"/>
      <c r="AO689" s="114"/>
      <c r="AP689" s="106"/>
      <c r="AQ689" s="114"/>
      <c r="AR689" s="106"/>
      <c r="AS689" s="114"/>
      <c r="AT689" s="106"/>
      <c r="AU689" s="114"/>
      <c r="AV689" s="106"/>
      <c r="AW689" s="114"/>
    </row>
    <row r="690" spans="1:55" x14ac:dyDescent="0.25">
      <c r="A690" s="120">
        <v>687</v>
      </c>
      <c r="B690" s="118" t="s">
        <v>4223</v>
      </c>
      <c r="C690" s="120">
        <v>0</v>
      </c>
      <c r="D690" s="120" t="s">
        <v>991</v>
      </c>
      <c r="E690" s="120" t="s">
        <v>929</v>
      </c>
      <c r="F690" s="120" t="s">
        <v>909</v>
      </c>
      <c r="G690" s="120"/>
      <c r="H690" s="120"/>
      <c r="I690" s="120"/>
      <c r="J690" s="120"/>
      <c r="K690" s="120"/>
      <c r="L690" s="120"/>
      <c r="M690" s="120"/>
      <c r="N690" s="120">
        <v>9</v>
      </c>
      <c r="O690" s="117" t="s">
        <v>909</v>
      </c>
      <c r="P690" s="117" t="s">
        <v>4224</v>
      </c>
      <c r="Q690" s="117" t="s">
        <v>909</v>
      </c>
      <c r="R690" s="117"/>
      <c r="S690" s="117" t="s">
        <v>1573</v>
      </c>
      <c r="T690" s="119" t="s">
        <v>4225</v>
      </c>
      <c r="U690" s="119" t="s">
        <v>4226</v>
      </c>
      <c r="V690" s="116"/>
      <c r="W690" s="120" t="s">
        <v>4227</v>
      </c>
      <c r="X690" s="118"/>
      <c r="Y690" s="115" t="s">
        <v>4228</v>
      </c>
      <c r="Z690" s="183" t="s">
        <v>4229</v>
      </c>
      <c r="AA690" s="184"/>
      <c r="AB690" s="182"/>
      <c r="AC690" s="114">
        <v>3</v>
      </c>
      <c r="AD690" s="114" t="s">
        <v>887</v>
      </c>
      <c r="AE690" s="203"/>
      <c r="AF690" s="203"/>
      <c r="AG690" s="203"/>
      <c r="AH690" s="106"/>
      <c r="AI690" s="114"/>
      <c r="AJ690" s="106"/>
      <c r="AK690" s="114"/>
      <c r="AL690" s="106" t="s">
        <v>915</v>
      </c>
      <c r="AM690" s="114"/>
      <c r="AN690" s="106"/>
      <c r="AO690" s="114"/>
      <c r="AP690" s="106"/>
      <c r="AQ690" s="114"/>
      <c r="AR690" s="106"/>
      <c r="AS690" s="114"/>
      <c r="AT690" s="106"/>
      <c r="AU690" s="114" t="s">
        <v>915</v>
      </c>
      <c r="AV690" s="106"/>
      <c r="AW690" s="114"/>
    </row>
    <row r="691" spans="1:55" x14ac:dyDescent="0.3">
      <c r="A691" s="131">
        <f>A690+1</f>
        <v>688</v>
      </c>
      <c r="B691" s="132" t="s">
        <v>4230</v>
      </c>
      <c r="C691" s="131">
        <v>0</v>
      </c>
      <c r="D691" s="131" t="s">
        <v>991</v>
      </c>
      <c r="E691" s="131" t="s">
        <v>980</v>
      </c>
      <c r="F691" s="131" t="s">
        <v>923</v>
      </c>
      <c r="G691" s="131"/>
      <c r="H691" s="131" t="s">
        <v>869</v>
      </c>
      <c r="I691" s="131"/>
      <c r="J691" s="131"/>
      <c r="K691" s="131"/>
      <c r="L691" s="131"/>
      <c r="M691" s="131"/>
      <c r="N691" s="131">
        <v>1</v>
      </c>
      <c r="O691" s="133">
        <v>0</v>
      </c>
      <c r="P691" s="133">
        <v>15999</v>
      </c>
      <c r="Q691" s="133">
        <v>0</v>
      </c>
      <c r="R691" s="133">
        <v>1E-3</v>
      </c>
      <c r="S691" s="133" t="s">
        <v>1511</v>
      </c>
      <c r="T691" s="134" t="s">
        <v>4231</v>
      </c>
      <c r="U691" s="132" t="s">
        <v>108</v>
      </c>
      <c r="V691" s="132" t="s">
        <v>3896</v>
      </c>
      <c r="W691" s="131" t="s">
        <v>4232</v>
      </c>
      <c r="X691" s="133">
        <v>16</v>
      </c>
      <c r="Y691" s="135" t="s">
        <v>913</v>
      </c>
      <c r="Z691" s="136"/>
      <c r="AA691" s="135"/>
      <c r="AB691" s="135"/>
      <c r="AC691" s="131"/>
      <c r="AD691" s="131"/>
      <c r="AE691" s="131"/>
      <c r="AF691" s="131"/>
      <c r="AG691" s="131"/>
      <c r="AH691" s="137"/>
      <c r="AI691" s="131"/>
      <c r="AJ691" s="137"/>
      <c r="AK691" s="131"/>
      <c r="AL691" s="137"/>
      <c r="AM691" s="131"/>
      <c r="AN691" s="137"/>
      <c r="AO691" s="131"/>
      <c r="AP691" s="137"/>
      <c r="AQ691" s="131"/>
      <c r="AR691" s="137"/>
      <c r="AS691" s="131"/>
      <c r="AT691" s="137"/>
      <c r="AU691" s="131"/>
      <c r="AV691" s="137"/>
      <c r="AW691" s="131"/>
    </row>
    <row r="692" spans="1:55" x14ac:dyDescent="0.3">
      <c r="A692" s="131">
        <v>689</v>
      </c>
      <c r="B692" s="132" t="s">
        <v>4233</v>
      </c>
      <c r="C692" s="131">
        <v>0</v>
      </c>
      <c r="D692" s="131" t="s">
        <v>991</v>
      </c>
      <c r="E692" s="131" t="s">
        <v>4234</v>
      </c>
      <c r="F692" s="131" t="s">
        <v>909</v>
      </c>
      <c r="G692" s="131"/>
      <c r="H692" s="131" t="s">
        <v>869</v>
      </c>
      <c r="I692" s="131" t="s">
        <v>870</v>
      </c>
      <c r="J692" s="131"/>
      <c r="K692" s="131"/>
      <c r="L692" s="131"/>
      <c r="M692" s="131"/>
      <c r="N692" s="190">
        <v>5</v>
      </c>
      <c r="O692" s="133" t="s">
        <v>1272</v>
      </c>
      <c r="P692" s="133" t="s">
        <v>4235</v>
      </c>
      <c r="Q692" s="180" t="s">
        <v>1272</v>
      </c>
      <c r="R692" s="133"/>
      <c r="S692" s="133"/>
      <c r="T692" s="134" t="s">
        <v>4236</v>
      </c>
      <c r="U692" s="132" t="s">
        <v>4237</v>
      </c>
      <c r="V692" s="132"/>
      <c r="W692" s="131" t="s">
        <v>4238</v>
      </c>
      <c r="X692" s="133"/>
      <c r="Y692" s="135" t="s">
        <v>4239</v>
      </c>
      <c r="Z692" s="136"/>
      <c r="AA692" s="135"/>
      <c r="AB692" s="135"/>
      <c r="AC692" s="131"/>
      <c r="AD692" s="131"/>
      <c r="AE692" s="131"/>
      <c r="AF692" s="131"/>
      <c r="AG692" s="131"/>
      <c r="AH692" s="137"/>
      <c r="AI692" s="131"/>
      <c r="AJ692" s="137"/>
      <c r="AK692" s="131"/>
      <c r="AL692" s="137"/>
      <c r="AM692" s="131"/>
      <c r="AN692" s="137"/>
      <c r="AO692" s="131"/>
      <c r="AP692" s="137"/>
      <c r="AQ692" s="131"/>
      <c r="AR692" s="137"/>
      <c r="AS692" s="131"/>
      <c r="AT692" s="137"/>
      <c r="AU692" s="131"/>
      <c r="AV692" s="137"/>
      <c r="AW692" s="131"/>
    </row>
    <row r="693" spans="1:55" x14ac:dyDescent="0.3">
      <c r="A693" s="131">
        <v>690</v>
      </c>
      <c r="B693" s="132" t="s">
        <v>4240</v>
      </c>
      <c r="C693" s="131">
        <v>0</v>
      </c>
      <c r="D693" s="131" t="s">
        <v>991</v>
      </c>
      <c r="E693" s="131" t="s">
        <v>3872</v>
      </c>
      <c r="F693" s="131" t="s">
        <v>909</v>
      </c>
      <c r="G693" s="131"/>
      <c r="H693" s="131" t="s">
        <v>869</v>
      </c>
      <c r="I693" s="131"/>
      <c r="J693" s="131"/>
      <c r="K693" s="131"/>
      <c r="L693" s="131"/>
      <c r="M693" s="131"/>
      <c r="N693" s="190">
        <v>5</v>
      </c>
      <c r="O693" s="133">
        <v>10</v>
      </c>
      <c r="P693" s="133">
        <v>7000</v>
      </c>
      <c r="Q693" s="180">
        <v>275</v>
      </c>
      <c r="R693" s="133"/>
      <c r="S693" s="133" t="s">
        <v>4241</v>
      </c>
      <c r="T693" s="134" t="s">
        <v>4242</v>
      </c>
      <c r="U693" s="132" t="s">
        <v>4243</v>
      </c>
      <c r="V693" s="132"/>
      <c r="W693" s="131" t="s">
        <v>4244</v>
      </c>
      <c r="X693" s="133"/>
      <c r="Y693" s="135" t="s">
        <v>4239</v>
      </c>
      <c r="Z693" s="136"/>
      <c r="AA693" s="135"/>
      <c r="AB693" s="135"/>
      <c r="AC693" s="131"/>
      <c r="AD693" s="131"/>
      <c r="AE693" s="131"/>
      <c r="AF693" s="131"/>
      <c r="AG693" s="131"/>
      <c r="AH693" s="137"/>
      <c r="AI693" s="131"/>
      <c r="AJ693" s="137"/>
      <c r="AK693" s="131"/>
      <c r="AL693" s="137"/>
      <c r="AM693" s="131"/>
      <c r="AN693" s="137"/>
      <c r="AO693" s="131"/>
      <c r="AP693" s="137"/>
      <c r="AQ693" s="131"/>
      <c r="AR693" s="137"/>
      <c r="AS693" s="131"/>
      <c r="AT693" s="137"/>
      <c r="AU693" s="131"/>
      <c r="AV693" s="137"/>
      <c r="AW693" s="131"/>
    </row>
    <row r="694" spans="1:55" x14ac:dyDescent="0.3">
      <c r="A694" s="131">
        <v>691</v>
      </c>
      <c r="B694" s="132" t="s">
        <v>4245</v>
      </c>
      <c r="C694" s="131">
        <v>0</v>
      </c>
      <c r="D694" s="131" t="s">
        <v>991</v>
      </c>
      <c r="E694" s="131" t="s">
        <v>3872</v>
      </c>
      <c r="F694" s="131" t="s">
        <v>909</v>
      </c>
      <c r="G694" s="131"/>
      <c r="H694" s="131" t="s">
        <v>869</v>
      </c>
      <c r="I694" s="131"/>
      <c r="J694" s="131"/>
      <c r="K694" s="131"/>
      <c r="L694" s="131"/>
      <c r="M694" s="131"/>
      <c r="N694" s="190">
        <v>5</v>
      </c>
      <c r="O694" s="133">
        <v>300</v>
      </c>
      <c r="P694" s="133">
        <v>27500</v>
      </c>
      <c r="Q694" s="180">
        <v>1575</v>
      </c>
      <c r="R694" s="133"/>
      <c r="S694" s="133" t="s">
        <v>4241</v>
      </c>
      <c r="T694" s="134" t="s">
        <v>4246</v>
      </c>
      <c r="U694" s="132" t="s">
        <v>4247</v>
      </c>
      <c r="V694" s="132"/>
      <c r="W694" s="131" t="s">
        <v>4248</v>
      </c>
      <c r="X694" s="133"/>
      <c r="Y694" s="135" t="s">
        <v>4239</v>
      </c>
      <c r="Z694" s="136"/>
      <c r="AA694" s="135"/>
      <c r="AB694" s="135"/>
      <c r="AC694" s="131"/>
      <c r="AD694" s="131"/>
      <c r="AE694" s="131"/>
      <c r="AF694" s="131"/>
      <c r="AG694" s="131"/>
      <c r="AH694" s="137"/>
      <c r="AI694" s="131"/>
      <c r="AJ694" s="137"/>
      <c r="AK694" s="131"/>
      <c r="AL694" s="137"/>
      <c r="AM694" s="131"/>
      <c r="AN694" s="137"/>
      <c r="AO694" s="131"/>
      <c r="AP694" s="137"/>
      <c r="AQ694" s="131"/>
      <c r="AR694" s="137"/>
      <c r="AS694" s="131"/>
      <c r="AT694" s="137"/>
      <c r="AU694" s="131"/>
      <c r="AV694" s="137"/>
      <c r="AW694" s="131"/>
    </row>
    <row r="695" spans="1:55" x14ac:dyDescent="0.3">
      <c r="A695" s="131">
        <f t="shared" ref="A695:A697" si="25">A694+1</f>
        <v>692</v>
      </c>
      <c r="B695" s="132" t="s">
        <v>4249</v>
      </c>
      <c r="C695" s="131">
        <v>0</v>
      </c>
      <c r="D695" s="131" t="s">
        <v>991</v>
      </c>
      <c r="E695" s="131" t="s">
        <v>980</v>
      </c>
      <c r="F695" s="131" t="s">
        <v>923</v>
      </c>
      <c r="G695" s="131"/>
      <c r="H695" s="131" t="s">
        <v>869</v>
      </c>
      <c r="I695" s="131" t="s">
        <v>870</v>
      </c>
      <c r="J695" s="131"/>
      <c r="K695" s="131"/>
      <c r="L695" s="131"/>
      <c r="M695" s="131"/>
      <c r="N695" s="131">
        <v>1</v>
      </c>
      <c r="O695" s="133">
        <v>0</v>
      </c>
      <c r="P695" s="133">
        <v>15999</v>
      </c>
      <c r="Q695" s="180">
        <v>4000</v>
      </c>
      <c r="R695" s="133"/>
      <c r="S695" s="133" t="s">
        <v>4250</v>
      </c>
      <c r="T695" s="134" t="s">
        <v>4251</v>
      </c>
      <c r="U695" s="134" t="s">
        <v>109</v>
      </c>
      <c r="V695" s="132" t="s">
        <v>3876</v>
      </c>
      <c r="W695" s="131" t="s">
        <v>4252</v>
      </c>
      <c r="X695" s="133">
        <v>16</v>
      </c>
      <c r="Y695" s="135" t="s">
        <v>913</v>
      </c>
      <c r="Z695" s="136"/>
      <c r="AA695" s="135"/>
      <c r="AB695" s="135"/>
      <c r="AC695" s="131"/>
      <c r="AD695" s="131"/>
      <c r="AE695" s="131"/>
      <c r="AF695" s="131"/>
      <c r="AG695" s="131"/>
      <c r="AH695" s="137"/>
      <c r="AI695" s="131"/>
      <c r="AJ695" s="137"/>
      <c r="AK695" s="131"/>
      <c r="AL695" s="137"/>
      <c r="AM695" s="131"/>
      <c r="AN695" s="137"/>
      <c r="AO695" s="131"/>
      <c r="AP695" s="137"/>
      <c r="AQ695" s="131"/>
      <c r="AR695" s="137"/>
      <c r="AS695" s="131"/>
      <c r="AT695" s="137"/>
      <c r="AU695" s="131"/>
      <c r="AV695" s="137"/>
      <c r="AW695" s="131"/>
    </row>
    <row r="696" spans="1:55" ht="11.25" customHeight="1" x14ac:dyDescent="0.3">
      <c r="A696" s="131">
        <f t="shared" si="25"/>
        <v>693</v>
      </c>
      <c r="B696" s="132" t="s">
        <v>4253</v>
      </c>
      <c r="C696" s="131">
        <v>0</v>
      </c>
      <c r="D696" s="131" t="s">
        <v>991</v>
      </c>
      <c r="E696" s="131" t="s">
        <v>4234</v>
      </c>
      <c r="F696" s="131" t="s">
        <v>923</v>
      </c>
      <c r="G696" s="131"/>
      <c r="H696" s="131" t="s">
        <v>869</v>
      </c>
      <c r="I696" s="131" t="s">
        <v>870</v>
      </c>
      <c r="J696" s="131"/>
      <c r="K696" s="131"/>
      <c r="L696" s="131"/>
      <c r="M696" s="131"/>
      <c r="N696" s="131">
        <v>1</v>
      </c>
      <c r="O696" s="133">
        <v>0</v>
      </c>
      <c r="P696" s="133">
        <v>15999</v>
      </c>
      <c r="Q696" s="133">
        <v>4000</v>
      </c>
      <c r="R696" s="133"/>
      <c r="S696" s="133" t="s">
        <v>4250</v>
      </c>
      <c r="T696" s="134" t="s">
        <v>4254</v>
      </c>
      <c r="U696" s="134" t="s">
        <v>110</v>
      </c>
      <c r="V696" s="132" t="s">
        <v>3876</v>
      </c>
      <c r="W696" s="131" t="s">
        <v>4255</v>
      </c>
      <c r="X696" s="133">
        <v>16</v>
      </c>
      <c r="Y696" s="135" t="s">
        <v>913</v>
      </c>
      <c r="Z696" s="136"/>
      <c r="AA696" s="135"/>
      <c r="AB696" s="135"/>
      <c r="AC696" s="131"/>
      <c r="AD696" s="131"/>
      <c r="AE696" s="131"/>
      <c r="AF696" s="131"/>
      <c r="AG696" s="131"/>
      <c r="AH696" s="137"/>
      <c r="AI696" s="131"/>
      <c r="AJ696" s="137"/>
      <c r="AK696" s="131"/>
      <c r="AL696" s="137"/>
      <c r="AM696" s="131"/>
      <c r="AN696" s="137"/>
      <c r="AO696" s="131"/>
      <c r="AP696" s="137"/>
      <c r="AQ696" s="131"/>
      <c r="AR696" s="137"/>
      <c r="AS696" s="131"/>
      <c r="AT696" s="137"/>
      <c r="AU696" s="131"/>
      <c r="AV696" s="137"/>
      <c r="AW696" s="131"/>
    </row>
    <row r="697" spans="1:55" x14ac:dyDescent="0.3">
      <c r="A697" s="114">
        <f t="shared" si="25"/>
        <v>694</v>
      </c>
      <c r="B697" s="179" t="s">
        <v>4256</v>
      </c>
      <c r="C697" s="114">
        <v>0</v>
      </c>
      <c r="D697" s="114" t="s">
        <v>991</v>
      </c>
      <c r="E697" s="114" t="s">
        <v>980</v>
      </c>
      <c r="F697" s="114" t="s">
        <v>923</v>
      </c>
      <c r="G697" s="114"/>
      <c r="H697" s="114" t="s">
        <v>869</v>
      </c>
      <c r="I697" s="114"/>
      <c r="J697" s="114"/>
      <c r="K697" s="114"/>
      <c r="L697" s="114"/>
      <c r="M697" s="114"/>
      <c r="N697" s="114">
        <v>1</v>
      </c>
      <c r="O697" s="180">
        <v>0</v>
      </c>
      <c r="P697" s="180">
        <v>5912</v>
      </c>
      <c r="Q697" s="180">
        <v>0</v>
      </c>
      <c r="R697" s="180">
        <v>0.1</v>
      </c>
      <c r="S697" s="180" t="s">
        <v>4257</v>
      </c>
      <c r="T697" s="181" t="s">
        <v>4258</v>
      </c>
      <c r="U697" s="181" t="s">
        <v>111</v>
      </c>
      <c r="V697" s="179" t="s">
        <v>3876</v>
      </c>
      <c r="W697" s="114" t="s">
        <v>4259</v>
      </c>
      <c r="X697" s="180">
        <v>16</v>
      </c>
      <c r="Y697" s="182" t="s">
        <v>913</v>
      </c>
      <c r="Z697" s="183"/>
      <c r="AA697" s="135"/>
      <c r="AB697" s="135"/>
      <c r="AC697" s="131"/>
      <c r="AD697" s="131"/>
      <c r="AE697" s="131"/>
      <c r="AF697" s="131"/>
      <c r="AG697" s="131"/>
      <c r="AH697" s="137"/>
      <c r="AI697" s="131"/>
      <c r="AJ697" s="137"/>
      <c r="AK697" s="131"/>
      <c r="AL697" s="137"/>
      <c r="AM697" s="131"/>
      <c r="AN697" s="137"/>
      <c r="AO697" s="131"/>
      <c r="AP697" s="137"/>
      <c r="AQ697" s="131"/>
      <c r="AR697" s="137"/>
      <c r="AS697" s="131"/>
      <c r="AT697" s="137"/>
      <c r="AU697" s="131"/>
      <c r="AV697" s="137"/>
      <c r="AW697" s="131"/>
    </row>
    <row r="698" spans="1:55" s="157" customFormat="1" x14ac:dyDescent="0.3">
      <c r="A698" s="114">
        <f>A697+1</f>
        <v>695</v>
      </c>
      <c r="B698" s="179" t="s">
        <v>4260</v>
      </c>
      <c r="C698" s="114">
        <v>6</v>
      </c>
      <c r="D698" s="114" t="s">
        <v>985</v>
      </c>
      <c r="E698" s="114" t="s">
        <v>986</v>
      </c>
      <c r="F698" s="114" t="s">
        <v>923</v>
      </c>
      <c r="G698" s="114" t="s">
        <v>868</v>
      </c>
      <c r="H698" s="114"/>
      <c r="I698" s="114"/>
      <c r="J698" s="114" t="s">
        <v>871</v>
      </c>
      <c r="K698" s="114"/>
      <c r="L698" s="114"/>
      <c r="M698" s="114"/>
      <c r="N698" s="114">
        <v>1</v>
      </c>
      <c r="O698" s="180"/>
      <c r="P698" s="180"/>
      <c r="Q698" s="180"/>
      <c r="R698" s="180"/>
      <c r="S698" s="180"/>
      <c r="T698" s="179" t="s">
        <v>4261</v>
      </c>
      <c r="U698" s="179" t="s">
        <v>112</v>
      </c>
      <c r="V698" s="179" t="s">
        <v>989</v>
      </c>
      <c r="W698" s="114" t="str">
        <f>CONCATENATE("0x",TEXT(DEC2HEX(HEX2DEC("FC")*256+(50)*2),"0000"))</f>
        <v>0xFC64</v>
      </c>
      <c r="X698" s="179"/>
      <c r="Y698" s="182" t="s">
        <v>913</v>
      </c>
      <c r="Z698" s="183" t="s">
        <v>4262</v>
      </c>
      <c r="AA698" s="182"/>
      <c r="AB698" s="182"/>
      <c r="AC698" s="114"/>
      <c r="AD698" s="114"/>
      <c r="AE698" s="114"/>
      <c r="AF698" s="114"/>
      <c r="AG698" s="114"/>
      <c r="AH698" s="106"/>
      <c r="AI698" s="114"/>
      <c r="AJ698" s="106"/>
      <c r="AK698" s="114"/>
      <c r="AL698" s="106"/>
      <c r="AM698" s="114"/>
      <c r="AN698" s="106"/>
      <c r="AO698" s="114"/>
      <c r="AP698" s="106"/>
      <c r="AQ698" s="114"/>
      <c r="AR698" s="106"/>
      <c r="AS698" s="114"/>
      <c r="AT698" s="106"/>
      <c r="AU698" s="114"/>
      <c r="AV698" s="106"/>
      <c r="AW698" s="114"/>
    </row>
    <row r="699" spans="1:55" x14ac:dyDescent="0.3">
      <c r="A699" s="114">
        <f>A698+1</f>
        <v>696</v>
      </c>
      <c r="B699" s="179" t="s">
        <v>4263</v>
      </c>
      <c r="C699" s="114">
        <v>0</v>
      </c>
      <c r="D699" s="114" t="s">
        <v>991</v>
      </c>
      <c r="E699" s="114" t="s">
        <v>980</v>
      </c>
      <c r="F699" s="114" t="s">
        <v>909</v>
      </c>
      <c r="G699" s="114"/>
      <c r="H699" s="114" t="s">
        <v>869</v>
      </c>
      <c r="I699" s="114"/>
      <c r="J699" s="114"/>
      <c r="K699" s="114"/>
      <c r="L699" s="114"/>
      <c r="M699" s="114"/>
      <c r="N699" s="114">
        <v>1</v>
      </c>
      <c r="O699" s="180">
        <v>0</v>
      </c>
      <c r="P699" s="180">
        <v>4096</v>
      </c>
      <c r="Q699" s="180">
        <v>20</v>
      </c>
      <c r="R699" s="180"/>
      <c r="S699" s="180" t="s">
        <v>4264</v>
      </c>
      <c r="T699" s="179" t="s">
        <v>4265</v>
      </c>
      <c r="U699" s="179" t="s">
        <v>113</v>
      </c>
      <c r="V699" s="179" t="s">
        <v>989</v>
      </c>
      <c r="W699" s="114" t="str">
        <f>CONCATENATE("0x",TEXT(DEC2HEX(HEX2DEC("FC")*256+(53)*2),"0000"))</f>
        <v>0xFC6A</v>
      </c>
      <c r="X699" s="179"/>
      <c r="Y699" s="182" t="s">
        <v>913</v>
      </c>
      <c r="Z699" s="183"/>
      <c r="AA699" s="182"/>
      <c r="AB699" s="182"/>
      <c r="AC699" s="114"/>
      <c r="AD699" s="114"/>
      <c r="AE699" s="114"/>
      <c r="AF699" s="114"/>
      <c r="AG699" s="114"/>
      <c r="AH699" s="106"/>
      <c r="AI699" s="114"/>
      <c r="AJ699" s="106"/>
      <c r="AK699" s="114"/>
      <c r="AL699" s="106"/>
      <c r="AM699" s="114"/>
      <c r="AN699" s="106"/>
      <c r="AO699" s="114"/>
      <c r="AP699" s="106"/>
      <c r="AQ699" s="114"/>
      <c r="AR699" s="106"/>
      <c r="AS699" s="114"/>
      <c r="AT699" s="106"/>
      <c r="AU699" s="114"/>
      <c r="AV699" s="106"/>
      <c r="AW699" s="114"/>
      <c r="AX699" s="157"/>
      <c r="AY699" s="157"/>
      <c r="AZ699" s="157"/>
      <c r="BA699" s="157"/>
      <c r="BB699" s="157"/>
      <c r="BC699" s="157"/>
    </row>
    <row r="700" spans="1:55" x14ac:dyDescent="0.3">
      <c r="A700" s="159"/>
      <c r="B700" s="157"/>
      <c r="C700" s="159"/>
      <c r="D700" s="159"/>
      <c r="E700" s="159"/>
      <c r="F700" s="159"/>
      <c r="G700" s="159"/>
      <c r="H700" s="159"/>
      <c r="I700" s="159"/>
      <c r="J700" s="159"/>
      <c r="K700" s="159"/>
      <c r="L700" s="159"/>
      <c r="M700" s="159"/>
      <c r="N700" s="159"/>
      <c r="O700" s="205"/>
      <c r="P700" s="205"/>
      <c r="Q700" s="205"/>
      <c r="R700" s="205"/>
      <c r="S700" s="205"/>
      <c r="T700" s="206"/>
      <c r="U700" s="188"/>
      <c r="X700" s="157"/>
      <c r="AB700" s="160"/>
      <c r="AC700" s="159"/>
      <c r="AD700" s="159"/>
      <c r="AE700" s="159"/>
      <c r="AF700" s="159"/>
      <c r="AG700" s="159"/>
      <c r="AH700" s="159"/>
      <c r="AI700" s="159"/>
      <c r="AJ700" s="159"/>
      <c r="AK700" s="159"/>
      <c r="AL700" s="159"/>
      <c r="AM700" s="159"/>
      <c r="AN700" s="159"/>
      <c r="AO700" s="159"/>
      <c r="AP700" s="159"/>
      <c r="AQ700" s="159"/>
      <c r="AR700" s="159"/>
      <c r="AS700" s="159"/>
      <c r="AT700" s="159"/>
      <c r="AU700" s="159"/>
      <c r="AV700" s="159"/>
      <c r="AW700" s="159"/>
      <c r="AX700" s="157"/>
      <c r="AY700" s="157"/>
      <c r="AZ700" s="157"/>
      <c r="BA700" s="157"/>
      <c r="BB700" s="157"/>
      <c r="BC700" s="157"/>
    </row>
    <row r="701" spans="1:55" s="157" customFormat="1" x14ac:dyDescent="0.3">
      <c r="B701" s="207" t="s">
        <v>4266</v>
      </c>
      <c r="C701" s="159"/>
      <c r="D701" s="159"/>
      <c r="E701" s="159"/>
      <c r="F701" s="159"/>
      <c r="G701" s="159"/>
      <c r="H701" s="159"/>
      <c r="I701" s="159"/>
      <c r="J701" s="159"/>
      <c r="K701" s="159"/>
      <c r="L701" s="159"/>
      <c r="M701" s="159"/>
      <c r="N701" s="159"/>
      <c r="O701" s="205"/>
      <c r="P701" s="205"/>
      <c r="Q701" s="205"/>
      <c r="R701" s="205"/>
      <c r="T701" s="158"/>
      <c r="U701" s="157">
        <f>LEN(U683)</f>
        <v>57</v>
      </c>
      <c r="W701" s="159"/>
      <c r="Y701" s="160"/>
      <c r="Z701" s="161"/>
      <c r="AA701" s="162"/>
      <c r="AB701" s="160"/>
      <c r="AC701" s="159"/>
      <c r="AD701" s="159"/>
      <c r="AE701" s="159"/>
      <c r="AF701" s="159"/>
      <c r="AG701" s="159"/>
      <c r="AH701" s="159"/>
      <c r="AI701" s="159"/>
      <c r="AJ701" s="159"/>
      <c r="AK701" s="159"/>
      <c r="AL701" s="159"/>
      <c r="AM701" s="159"/>
      <c r="AN701" s="159"/>
      <c r="AO701" s="159"/>
      <c r="AP701" s="159"/>
      <c r="AQ701" s="159"/>
      <c r="AR701" s="159"/>
      <c r="AS701" s="159"/>
      <c r="AT701" s="159"/>
      <c r="AU701" s="159"/>
      <c r="AV701" s="159"/>
      <c r="AW701" s="159"/>
    </row>
    <row r="702" spans="1:55" s="157" customFormat="1" x14ac:dyDescent="0.25">
      <c r="A702" s="114">
        <v>700</v>
      </c>
      <c r="B702" s="179" t="s">
        <v>4267</v>
      </c>
      <c r="C702" s="114">
        <v>0</v>
      </c>
      <c r="D702" s="114" t="s">
        <v>991</v>
      </c>
      <c r="E702" s="203" t="s">
        <v>929</v>
      </c>
      <c r="F702" s="114" t="s">
        <v>909</v>
      </c>
      <c r="G702" s="114"/>
      <c r="H702" s="114"/>
      <c r="I702" s="114"/>
      <c r="J702" s="114"/>
      <c r="K702" s="114"/>
      <c r="L702" s="114"/>
      <c r="M702" s="114"/>
      <c r="N702" s="114">
        <v>255</v>
      </c>
      <c r="O702" s="180" t="s">
        <v>1838</v>
      </c>
      <c r="P702" s="180" t="s">
        <v>1222</v>
      </c>
      <c r="Q702" s="180" t="s">
        <v>1838</v>
      </c>
      <c r="R702" s="180"/>
      <c r="S702" s="179"/>
      <c r="T702" s="179" t="s">
        <v>4267</v>
      </c>
      <c r="U702" s="179" t="s">
        <v>4267</v>
      </c>
      <c r="V702" s="179"/>
      <c r="W702" s="114" t="s">
        <v>4268</v>
      </c>
      <c r="X702" s="179"/>
      <c r="Y702" s="160"/>
      <c r="Z702" s="161"/>
      <c r="AA702" s="162"/>
      <c r="AB702" s="160"/>
      <c r="AC702" s="159"/>
      <c r="AD702" s="159"/>
      <c r="AE702" s="159"/>
      <c r="AF702" s="159"/>
      <c r="AG702" s="159"/>
      <c r="AH702" s="159"/>
      <c r="AI702" s="159"/>
      <c r="AJ702" s="159"/>
      <c r="AK702" s="159"/>
      <c r="AL702" s="159"/>
      <c r="AM702" s="159"/>
      <c r="AN702" s="159"/>
      <c r="AO702" s="159"/>
      <c r="AP702" s="159"/>
      <c r="AQ702" s="159"/>
      <c r="AR702" s="159"/>
      <c r="AS702" s="159"/>
      <c r="AT702" s="159"/>
      <c r="AU702" s="159"/>
      <c r="AV702" s="159"/>
      <c r="AW702" s="159"/>
    </row>
    <row r="703" spans="1:55" s="157" customFormat="1" x14ac:dyDescent="0.25">
      <c r="A703" s="114">
        <v>701</v>
      </c>
      <c r="B703" s="179" t="s">
        <v>4269</v>
      </c>
      <c r="C703" s="114">
        <v>0</v>
      </c>
      <c r="D703" s="114" t="s">
        <v>991</v>
      </c>
      <c r="E703" s="203" t="s">
        <v>929</v>
      </c>
      <c r="F703" s="114" t="s">
        <v>909</v>
      </c>
      <c r="G703" s="114"/>
      <c r="H703" s="114"/>
      <c r="I703" s="114"/>
      <c r="J703" s="114"/>
      <c r="K703" s="114"/>
      <c r="L703" s="114"/>
      <c r="M703" s="114"/>
      <c r="N703" s="114">
        <v>255</v>
      </c>
      <c r="O703" s="180" t="s">
        <v>1838</v>
      </c>
      <c r="P703" s="180" t="s">
        <v>4270</v>
      </c>
      <c r="Q703" s="180" t="s">
        <v>1838</v>
      </c>
      <c r="R703" s="180"/>
      <c r="S703" s="179"/>
      <c r="T703" s="179" t="s">
        <v>4269</v>
      </c>
      <c r="U703" s="179" t="s">
        <v>4269</v>
      </c>
      <c r="V703" s="179"/>
      <c r="W703" s="114" t="s">
        <v>4271</v>
      </c>
      <c r="X703" s="179"/>
      <c r="Y703" s="160"/>
      <c r="Z703" s="161" t="s">
        <v>4272</v>
      </c>
      <c r="AA703" s="162"/>
      <c r="AB703" s="160"/>
      <c r="AC703" s="159"/>
      <c r="AD703" s="159"/>
      <c r="AE703" s="159"/>
      <c r="AF703" s="159"/>
      <c r="AG703" s="159"/>
      <c r="AH703" s="159"/>
      <c r="AI703" s="159"/>
      <c r="AJ703" s="159"/>
      <c r="AK703" s="159"/>
      <c r="AL703" s="159"/>
      <c r="AM703" s="159"/>
      <c r="AN703" s="159"/>
      <c r="AO703" s="159"/>
      <c r="AP703" s="159"/>
      <c r="AQ703" s="159"/>
      <c r="AR703" s="159"/>
      <c r="AS703" s="159"/>
      <c r="AT703" s="159"/>
      <c r="AU703" s="159"/>
      <c r="AV703" s="159"/>
      <c r="AW703" s="159"/>
    </row>
    <row r="704" spans="1:55" s="157" customFormat="1" x14ac:dyDescent="0.25">
      <c r="A704" s="114">
        <v>702</v>
      </c>
      <c r="B704" s="179" t="s">
        <v>4273</v>
      </c>
      <c r="C704" s="114">
        <v>0</v>
      </c>
      <c r="D704" s="114" t="s">
        <v>991</v>
      </c>
      <c r="E704" s="203" t="s">
        <v>980</v>
      </c>
      <c r="F704" s="114" t="s">
        <v>909</v>
      </c>
      <c r="G704" s="114"/>
      <c r="H704" s="114"/>
      <c r="I704" s="114"/>
      <c r="J704" s="114"/>
      <c r="K704" s="114"/>
      <c r="L704" s="114"/>
      <c r="M704" s="114"/>
      <c r="N704" s="114">
        <v>255</v>
      </c>
      <c r="O704" s="180">
        <v>0</v>
      </c>
      <c r="P704" s="180">
        <v>32767</v>
      </c>
      <c r="Q704" s="180">
        <v>0</v>
      </c>
      <c r="R704" s="180"/>
      <c r="S704" s="179"/>
      <c r="T704" s="179" t="s">
        <v>4273</v>
      </c>
      <c r="U704" s="179" t="s">
        <v>4273</v>
      </c>
      <c r="V704" s="179"/>
      <c r="W704" s="114" t="s">
        <v>4274</v>
      </c>
      <c r="X704" s="179"/>
      <c r="Y704" s="160"/>
      <c r="Z704" s="161"/>
      <c r="AA704" s="162"/>
      <c r="AB704" s="160"/>
      <c r="AC704" s="159"/>
      <c r="AD704" s="159"/>
      <c r="AE704" s="159"/>
      <c r="AF704" s="159"/>
      <c r="AG704" s="159"/>
      <c r="AH704" s="159"/>
      <c r="AI704" s="159"/>
      <c r="AJ704" s="159"/>
      <c r="AK704" s="159"/>
      <c r="AL704" s="159"/>
      <c r="AM704" s="159"/>
      <c r="AN704" s="159"/>
      <c r="AO704" s="159"/>
      <c r="AP704" s="159"/>
      <c r="AQ704" s="159"/>
      <c r="AR704" s="159"/>
      <c r="AS704" s="159"/>
      <c r="AT704" s="159"/>
      <c r="AU704" s="159"/>
      <c r="AV704" s="159"/>
      <c r="AW704" s="159"/>
    </row>
    <row r="705" spans="1:49" s="157" customFormat="1" x14ac:dyDescent="0.25">
      <c r="A705" s="114">
        <v>703</v>
      </c>
      <c r="B705" s="179" t="s">
        <v>4275</v>
      </c>
      <c r="C705" s="114">
        <v>0</v>
      </c>
      <c r="D705" s="114" t="s">
        <v>991</v>
      </c>
      <c r="E705" s="203" t="s">
        <v>980</v>
      </c>
      <c r="F705" s="114" t="s">
        <v>909</v>
      </c>
      <c r="G705" s="114"/>
      <c r="H705" s="114"/>
      <c r="I705" s="114"/>
      <c r="J705" s="114"/>
      <c r="K705" s="114"/>
      <c r="L705" s="114"/>
      <c r="M705" s="114"/>
      <c r="N705" s="114">
        <v>255</v>
      </c>
      <c r="O705" s="180">
        <v>0</v>
      </c>
      <c r="P705" s="180">
        <v>32767</v>
      </c>
      <c r="Q705" s="180">
        <v>0</v>
      </c>
      <c r="R705" s="180"/>
      <c r="S705" s="179"/>
      <c r="T705" s="179" t="s">
        <v>4275</v>
      </c>
      <c r="U705" s="179" t="s">
        <v>4275</v>
      </c>
      <c r="V705" s="179"/>
      <c r="W705" s="114" t="s">
        <v>4276</v>
      </c>
      <c r="X705" s="179"/>
      <c r="Y705" s="160"/>
      <c r="Z705" s="161"/>
      <c r="AA705" s="162"/>
      <c r="AB705" s="160"/>
      <c r="AC705" s="159"/>
      <c r="AD705" s="159"/>
      <c r="AE705" s="159"/>
      <c r="AF705" s="159"/>
      <c r="AG705" s="159"/>
      <c r="AH705" s="159"/>
      <c r="AI705" s="159"/>
      <c r="AJ705" s="159"/>
      <c r="AK705" s="159"/>
      <c r="AL705" s="159"/>
      <c r="AM705" s="159"/>
      <c r="AN705" s="159"/>
      <c r="AO705" s="159"/>
      <c r="AP705" s="159"/>
      <c r="AQ705" s="159"/>
      <c r="AR705" s="159"/>
      <c r="AS705" s="159"/>
      <c r="AT705" s="159"/>
      <c r="AU705" s="159"/>
      <c r="AV705" s="159"/>
      <c r="AW705" s="159"/>
    </row>
    <row r="706" spans="1:49" s="157" customFormat="1" x14ac:dyDescent="0.25">
      <c r="A706" s="114">
        <v>704</v>
      </c>
      <c r="B706" s="179" t="s">
        <v>4277</v>
      </c>
      <c r="C706" s="114">
        <v>0</v>
      </c>
      <c r="D706" s="114" t="s">
        <v>991</v>
      </c>
      <c r="E706" s="203" t="s">
        <v>980</v>
      </c>
      <c r="F706" s="114" t="s">
        <v>909</v>
      </c>
      <c r="G706" s="114"/>
      <c r="H706" s="114"/>
      <c r="I706" s="114"/>
      <c r="J706" s="114"/>
      <c r="K706" s="114"/>
      <c r="L706" s="114"/>
      <c r="M706" s="114"/>
      <c r="N706" s="114">
        <v>255</v>
      </c>
      <c r="O706" s="180">
        <v>0</v>
      </c>
      <c r="P706" s="180">
        <v>7800</v>
      </c>
      <c r="Q706" s="180">
        <v>0</v>
      </c>
      <c r="R706" s="180"/>
      <c r="S706" s="179"/>
      <c r="T706" s="179" t="s">
        <v>4277</v>
      </c>
      <c r="U706" s="179" t="s">
        <v>4277</v>
      </c>
      <c r="V706" s="179"/>
      <c r="W706" s="114" t="s">
        <v>4278</v>
      </c>
      <c r="X706" s="179"/>
      <c r="Y706" s="160"/>
      <c r="Z706" s="161"/>
      <c r="AA706" s="162"/>
      <c r="AB706" s="160"/>
      <c r="AC706" s="159"/>
      <c r="AD706" s="159"/>
      <c r="AE706" s="159"/>
      <c r="AF706" s="159"/>
      <c r="AG706" s="159"/>
      <c r="AH706" s="159"/>
      <c r="AI706" s="159"/>
      <c r="AJ706" s="159"/>
      <c r="AK706" s="159"/>
      <c r="AL706" s="159"/>
      <c r="AM706" s="159"/>
      <c r="AN706" s="159"/>
      <c r="AO706" s="159"/>
      <c r="AP706" s="159"/>
      <c r="AQ706" s="159"/>
      <c r="AR706" s="159"/>
      <c r="AS706" s="159"/>
      <c r="AT706" s="159"/>
      <c r="AU706" s="159"/>
      <c r="AV706" s="159"/>
      <c r="AW706" s="159"/>
    </row>
    <row r="707" spans="1:49" s="157" customFormat="1" x14ac:dyDescent="0.25">
      <c r="A707" s="114">
        <v>705</v>
      </c>
      <c r="B707" s="179" t="s">
        <v>4279</v>
      </c>
      <c r="C707" s="114">
        <v>0</v>
      </c>
      <c r="D707" s="114" t="s">
        <v>991</v>
      </c>
      <c r="E707" s="203" t="s">
        <v>980</v>
      </c>
      <c r="F707" s="114" t="s">
        <v>909</v>
      </c>
      <c r="G707" s="114"/>
      <c r="H707" s="114"/>
      <c r="I707" s="114"/>
      <c r="J707" s="114"/>
      <c r="K707" s="114"/>
      <c r="L707" s="114"/>
      <c r="M707" s="114"/>
      <c r="N707" s="114">
        <v>255</v>
      </c>
      <c r="O707" s="180">
        <v>1</v>
      </c>
      <c r="P707" s="180">
        <v>32767</v>
      </c>
      <c r="Q707" s="180">
        <v>1</v>
      </c>
      <c r="R707" s="180"/>
      <c r="S707" s="179"/>
      <c r="T707" s="179" t="s">
        <v>4279</v>
      </c>
      <c r="U707" s="179" t="s">
        <v>4279</v>
      </c>
      <c r="V707" s="179"/>
      <c r="W707" s="114" t="s">
        <v>4280</v>
      </c>
      <c r="X707" s="179"/>
      <c r="Y707" s="160"/>
      <c r="Z707" s="161"/>
      <c r="AA707" s="162"/>
      <c r="AB707" s="160"/>
      <c r="AC707" s="159"/>
      <c r="AD707" s="159"/>
      <c r="AE707" s="159"/>
      <c r="AF707" s="159"/>
      <c r="AG707" s="159"/>
      <c r="AH707" s="159"/>
      <c r="AI707" s="159"/>
      <c r="AJ707" s="159"/>
      <c r="AK707" s="159"/>
      <c r="AL707" s="159"/>
      <c r="AM707" s="159"/>
      <c r="AN707" s="159"/>
      <c r="AO707" s="159"/>
      <c r="AP707" s="159"/>
      <c r="AQ707" s="159"/>
      <c r="AR707" s="159"/>
      <c r="AS707" s="159"/>
      <c r="AT707" s="159"/>
      <c r="AU707" s="159"/>
      <c r="AV707" s="159"/>
      <c r="AW707" s="159"/>
    </row>
    <row r="708" spans="1:49" s="157" customFormat="1" x14ac:dyDescent="0.25">
      <c r="A708" s="114">
        <v>706</v>
      </c>
      <c r="B708" s="179" t="s">
        <v>4281</v>
      </c>
      <c r="C708" s="114">
        <v>0</v>
      </c>
      <c r="D708" s="114" t="s">
        <v>991</v>
      </c>
      <c r="E708" s="203" t="s">
        <v>980</v>
      </c>
      <c r="F708" s="114" t="s">
        <v>909</v>
      </c>
      <c r="G708" s="114"/>
      <c r="H708" s="114"/>
      <c r="I708" s="114"/>
      <c r="J708" s="114"/>
      <c r="K708" s="114"/>
      <c r="L708" s="114"/>
      <c r="M708" s="114"/>
      <c r="N708" s="114">
        <v>255</v>
      </c>
      <c r="O708" s="180">
        <v>1</v>
      </c>
      <c r="P708" s="180">
        <v>32767</v>
      </c>
      <c r="Q708" s="180">
        <v>1</v>
      </c>
      <c r="R708" s="180"/>
      <c r="S708" s="179"/>
      <c r="T708" s="179" t="s">
        <v>4281</v>
      </c>
      <c r="U708" s="179" t="s">
        <v>4281</v>
      </c>
      <c r="V708" s="179"/>
      <c r="W708" s="114" t="s">
        <v>4282</v>
      </c>
      <c r="X708" s="179"/>
      <c r="Y708" s="160"/>
      <c r="Z708" s="161"/>
      <c r="AA708" s="162"/>
      <c r="AB708" s="160"/>
      <c r="AC708" s="159"/>
      <c r="AD708" s="159"/>
      <c r="AE708" s="159"/>
      <c r="AF708" s="159"/>
      <c r="AG708" s="159"/>
      <c r="AH708" s="159"/>
      <c r="AI708" s="159"/>
      <c r="AJ708" s="159"/>
      <c r="AK708" s="159"/>
      <c r="AL708" s="159"/>
      <c r="AM708" s="159"/>
      <c r="AN708" s="159"/>
      <c r="AO708" s="159"/>
      <c r="AP708" s="159"/>
      <c r="AQ708" s="159"/>
      <c r="AR708" s="159"/>
      <c r="AS708" s="159"/>
      <c r="AT708" s="159"/>
      <c r="AU708" s="159"/>
      <c r="AV708" s="159"/>
      <c r="AW708" s="159"/>
    </row>
    <row r="709" spans="1:49" s="157" customFormat="1" x14ac:dyDescent="0.25">
      <c r="A709" s="114">
        <v>707</v>
      </c>
      <c r="B709" s="179" t="s">
        <v>4283</v>
      </c>
      <c r="C709" s="114">
        <v>0</v>
      </c>
      <c r="D709" s="114" t="s">
        <v>991</v>
      </c>
      <c r="E709" s="203" t="s">
        <v>980</v>
      </c>
      <c r="F709" s="114" t="s">
        <v>909</v>
      </c>
      <c r="G709" s="114"/>
      <c r="H709" s="114"/>
      <c r="I709" s="114"/>
      <c r="J709" s="114"/>
      <c r="K709" s="114"/>
      <c r="L709" s="114"/>
      <c r="M709" s="114"/>
      <c r="N709" s="114">
        <v>255</v>
      </c>
      <c r="O709" s="180">
        <v>13107</v>
      </c>
      <c r="P709" s="180">
        <v>19660</v>
      </c>
      <c r="Q709" s="180">
        <v>13107</v>
      </c>
      <c r="R709" s="180"/>
      <c r="S709" s="179"/>
      <c r="T709" s="179" t="s">
        <v>4283</v>
      </c>
      <c r="U709" s="179" t="s">
        <v>4283</v>
      </c>
      <c r="V709" s="179"/>
      <c r="W709" s="114" t="s">
        <v>4284</v>
      </c>
      <c r="X709" s="179"/>
      <c r="Y709" s="160"/>
      <c r="Z709" s="161"/>
      <c r="AA709" s="162"/>
      <c r="AB709" s="160"/>
      <c r="AC709" s="159"/>
      <c r="AD709" s="159"/>
      <c r="AE709" s="159"/>
      <c r="AF709" s="159"/>
      <c r="AG709" s="159"/>
      <c r="AH709" s="159"/>
      <c r="AI709" s="159"/>
      <c r="AJ709" s="159"/>
      <c r="AK709" s="159"/>
      <c r="AL709" s="159"/>
      <c r="AM709" s="159"/>
      <c r="AN709" s="159"/>
      <c r="AO709" s="159"/>
      <c r="AP709" s="159"/>
      <c r="AQ709" s="159"/>
      <c r="AR709" s="159"/>
      <c r="AS709" s="159"/>
      <c r="AT709" s="159"/>
      <c r="AU709" s="159"/>
      <c r="AV709" s="159"/>
      <c r="AW709" s="159"/>
    </row>
    <row r="710" spans="1:49" s="157" customFormat="1" x14ac:dyDescent="0.25">
      <c r="A710" s="114">
        <v>708</v>
      </c>
      <c r="B710" s="179" t="s">
        <v>4285</v>
      </c>
      <c r="C710" s="114">
        <v>0</v>
      </c>
      <c r="D710" s="114" t="s">
        <v>991</v>
      </c>
      <c r="E710" s="203" t="s">
        <v>980</v>
      </c>
      <c r="F710" s="114" t="s">
        <v>909</v>
      </c>
      <c r="G710" s="114"/>
      <c r="H710" s="114"/>
      <c r="I710" s="114"/>
      <c r="J710" s="114"/>
      <c r="K710" s="114"/>
      <c r="L710" s="114"/>
      <c r="M710" s="114"/>
      <c r="N710" s="114">
        <v>255</v>
      </c>
      <c r="O710" s="180">
        <v>13107</v>
      </c>
      <c r="P710" s="180">
        <v>19660</v>
      </c>
      <c r="Q710" s="180">
        <v>13107</v>
      </c>
      <c r="R710" s="180"/>
      <c r="S710" s="179"/>
      <c r="T710" s="179" t="s">
        <v>4285</v>
      </c>
      <c r="U710" s="179" t="s">
        <v>4285</v>
      </c>
      <c r="V710" s="179"/>
      <c r="W710" s="114" t="s">
        <v>4286</v>
      </c>
      <c r="X710" s="179"/>
      <c r="Y710" s="160"/>
      <c r="Z710" s="161"/>
      <c r="AA710" s="162"/>
      <c r="AB710" s="160"/>
      <c r="AC710" s="159"/>
      <c r="AD710" s="159"/>
      <c r="AE710" s="159"/>
      <c r="AF710" s="159"/>
      <c r="AG710" s="159"/>
      <c r="AH710" s="159"/>
      <c r="AI710" s="159"/>
      <c r="AJ710" s="159"/>
      <c r="AK710" s="159"/>
      <c r="AL710" s="159"/>
      <c r="AM710" s="159"/>
      <c r="AN710" s="159"/>
      <c r="AO710" s="159"/>
      <c r="AP710" s="159"/>
      <c r="AQ710" s="159"/>
      <c r="AR710" s="159"/>
      <c r="AS710" s="159"/>
      <c r="AT710" s="159"/>
      <c r="AU710" s="159"/>
      <c r="AV710" s="159"/>
      <c r="AW710" s="159"/>
    </row>
    <row r="711" spans="1:49" s="157" customFormat="1" x14ac:dyDescent="0.25">
      <c r="A711" s="114">
        <v>709</v>
      </c>
      <c r="B711" s="179" t="s">
        <v>4287</v>
      </c>
      <c r="C711" s="114">
        <v>0</v>
      </c>
      <c r="D711" s="114" t="s">
        <v>991</v>
      </c>
      <c r="E711" s="203" t="s">
        <v>980</v>
      </c>
      <c r="F711" s="114" t="s">
        <v>909</v>
      </c>
      <c r="G711" s="114"/>
      <c r="H711" s="114"/>
      <c r="I711" s="114"/>
      <c r="J711" s="114"/>
      <c r="K711" s="114"/>
      <c r="L711" s="114"/>
      <c r="M711" s="114"/>
      <c r="N711" s="114">
        <v>255</v>
      </c>
      <c r="O711" s="180">
        <v>-32768</v>
      </c>
      <c r="P711" s="180">
        <v>32767</v>
      </c>
      <c r="Q711" s="180">
        <v>-32768</v>
      </c>
      <c r="R711" s="180"/>
      <c r="S711" s="179"/>
      <c r="T711" s="179" t="s">
        <v>4287</v>
      </c>
      <c r="U711" s="179" t="s">
        <v>4287</v>
      </c>
      <c r="V711" s="179"/>
      <c r="W711" s="114" t="s">
        <v>4288</v>
      </c>
      <c r="X711" s="179"/>
      <c r="Y711" s="160"/>
      <c r="Z711" s="161"/>
      <c r="AA711" s="162"/>
      <c r="AB711" s="160"/>
      <c r="AC711" s="159"/>
      <c r="AD711" s="159"/>
      <c r="AE711" s="159"/>
      <c r="AF711" s="159"/>
      <c r="AG711" s="159"/>
      <c r="AH711" s="159"/>
      <c r="AI711" s="159"/>
      <c r="AJ711" s="159"/>
      <c r="AK711" s="159"/>
      <c r="AL711" s="159"/>
      <c r="AM711" s="159"/>
      <c r="AN711" s="159"/>
      <c r="AO711" s="159"/>
      <c r="AP711" s="159"/>
      <c r="AQ711" s="159"/>
      <c r="AR711" s="159"/>
      <c r="AS711" s="159"/>
      <c r="AT711" s="159"/>
      <c r="AU711" s="159"/>
      <c r="AV711" s="159"/>
      <c r="AW711" s="159"/>
    </row>
    <row r="712" spans="1:49" s="157" customFormat="1" x14ac:dyDescent="0.25">
      <c r="A712" s="114">
        <v>710</v>
      </c>
      <c r="B712" s="179" t="s">
        <v>4289</v>
      </c>
      <c r="C712" s="114">
        <v>0</v>
      </c>
      <c r="D712" s="114" t="s">
        <v>991</v>
      </c>
      <c r="E712" s="203" t="s">
        <v>980</v>
      </c>
      <c r="F712" s="114" t="s">
        <v>909</v>
      </c>
      <c r="G712" s="114"/>
      <c r="H712" s="114"/>
      <c r="I712" s="114"/>
      <c r="J712" s="114"/>
      <c r="K712" s="114"/>
      <c r="L712" s="114"/>
      <c r="M712" s="114"/>
      <c r="N712" s="114">
        <v>255</v>
      </c>
      <c r="O712" s="180">
        <v>500</v>
      </c>
      <c r="P712" s="180">
        <v>1000</v>
      </c>
      <c r="Q712" s="180">
        <v>500</v>
      </c>
      <c r="R712" s="180"/>
      <c r="S712" s="179"/>
      <c r="T712" s="179" t="s">
        <v>4289</v>
      </c>
      <c r="U712" s="179" t="s">
        <v>4289</v>
      </c>
      <c r="V712" s="179"/>
      <c r="W712" s="114" t="s">
        <v>4290</v>
      </c>
      <c r="X712" s="179"/>
      <c r="Y712" s="160"/>
      <c r="Z712" s="161"/>
      <c r="AA712" s="162"/>
      <c r="AB712" s="160"/>
      <c r="AC712" s="159"/>
      <c r="AD712" s="159"/>
      <c r="AE712" s="159"/>
      <c r="AF712" s="159"/>
      <c r="AG712" s="159"/>
      <c r="AH712" s="159"/>
      <c r="AI712" s="159"/>
      <c r="AJ712" s="159"/>
      <c r="AK712" s="159"/>
      <c r="AL712" s="159"/>
      <c r="AM712" s="159"/>
      <c r="AN712" s="159"/>
      <c r="AO712" s="159"/>
      <c r="AP712" s="159"/>
      <c r="AQ712" s="159"/>
      <c r="AR712" s="159"/>
      <c r="AS712" s="159"/>
      <c r="AT712" s="159"/>
      <c r="AU712" s="159"/>
      <c r="AV712" s="159"/>
      <c r="AW712" s="159"/>
    </row>
    <row r="713" spans="1:49" s="157" customFormat="1" x14ac:dyDescent="0.25">
      <c r="A713" s="114">
        <v>711</v>
      </c>
      <c r="B713" s="179" t="s">
        <v>4291</v>
      </c>
      <c r="C713" s="114">
        <v>0</v>
      </c>
      <c r="D713" s="114" t="s">
        <v>991</v>
      </c>
      <c r="E713" s="203" t="s">
        <v>980</v>
      </c>
      <c r="F713" s="114" t="s">
        <v>909</v>
      </c>
      <c r="G713" s="114"/>
      <c r="H713" s="114"/>
      <c r="I713" s="114"/>
      <c r="J713" s="114"/>
      <c r="K713" s="114"/>
      <c r="L713" s="114"/>
      <c r="M713" s="114"/>
      <c r="N713" s="114">
        <v>255</v>
      </c>
      <c r="O713" s="180">
        <v>500</v>
      </c>
      <c r="P713" s="180">
        <v>1000</v>
      </c>
      <c r="Q713" s="180">
        <v>500</v>
      </c>
      <c r="R713" s="180"/>
      <c r="S713" s="179"/>
      <c r="T713" s="179" t="s">
        <v>4291</v>
      </c>
      <c r="U713" s="179" t="s">
        <v>4291</v>
      </c>
      <c r="V713" s="179"/>
      <c r="W713" s="114" t="s">
        <v>4292</v>
      </c>
      <c r="X713" s="179"/>
      <c r="Y713" s="160"/>
      <c r="Z713" s="161"/>
      <c r="AA713" s="162"/>
      <c r="AB713" s="160"/>
      <c r="AC713" s="159"/>
      <c r="AD713" s="159"/>
      <c r="AE713" s="159"/>
      <c r="AF713" s="159"/>
      <c r="AG713" s="159"/>
      <c r="AH713" s="159"/>
      <c r="AI713" s="159"/>
      <c r="AJ713" s="159"/>
      <c r="AK713" s="159"/>
      <c r="AL713" s="159"/>
      <c r="AM713" s="159"/>
      <c r="AN713" s="159"/>
      <c r="AO713" s="159"/>
      <c r="AP713" s="159"/>
      <c r="AQ713" s="159"/>
      <c r="AR713" s="159"/>
      <c r="AS713" s="159"/>
      <c r="AT713" s="159"/>
      <c r="AU713" s="159"/>
      <c r="AV713" s="159"/>
      <c r="AW713" s="159"/>
    </row>
    <row r="714" spans="1:49" s="157" customFormat="1" x14ac:dyDescent="0.25">
      <c r="A714" s="114">
        <v>712</v>
      </c>
      <c r="B714" s="179" t="s">
        <v>4293</v>
      </c>
      <c r="C714" s="114">
        <v>0</v>
      </c>
      <c r="D714" s="114" t="s">
        <v>991</v>
      </c>
      <c r="E714" s="203" t="s">
        <v>980</v>
      </c>
      <c r="F714" s="114" t="s">
        <v>909</v>
      </c>
      <c r="G714" s="114"/>
      <c r="H714" s="114"/>
      <c r="I714" s="114"/>
      <c r="J714" s="114"/>
      <c r="K714" s="114"/>
      <c r="L714" s="114"/>
      <c r="M714" s="114"/>
      <c r="N714" s="114">
        <v>255</v>
      </c>
      <c r="O714" s="180">
        <v>150</v>
      </c>
      <c r="P714" s="180">
        <v>650</v>
      </c>
      <c r="Q714" s="180">
        <v>150</v>
      </c>
      <c r="R714" s="180"/>
      <c r="S714" s="179"/>
      <c r="T714" s="179" t="s">
        <v>4293</v>
      </c>
      <c r="U714" s="179" t="s">
        <v>4293</v>
      </c>
      <c r="V714" s="179"/>
      <c r="W714" s="114" t="s">
        <v>4294</v>
      </c>
      <c r="X714" s="179"/>
      <c r="Y714" s="160"/>
      <c r="Z714" s="161"/>
      <c r="AA714" s="162"/>
      <c r="AB714" s="160"/>
      <c r="AC714" s="159"/>
      <c r="AD714" s="159"/>
      <c r="AE714" s="159"/>
      <c r="AF714" s="159"/>
      <c r="AG714" s="159"/>
      <c r="AH714" s="159"/>
      <c r="AI714" s="159"/>
      <c r="AJ714" s="159"/>
      <c r="AK714" s="159"/>
      <c r="AL714" s="159"/>
      <c r="AM714" s="159"/>
      <c r="AN714" s="159"/>
      <c r="AO714" s="159"/>
      <c r="AP714" s="159"/>
      <c r="AQ714" s="159"/>
      <c r="AR714" s="159"/>
      <c r="AS714" s="159"/>
      <c r="AT714" s="159"/>
      <c r="AU714" s="159"/>
      <c r="AV714" s="159"/>
      <c r="AW714" s="159"/>
    </row>
    <row r="715" spans="1:49" s="157" customFormat="1" x14ac:dyDescent="0.25">
      <c r="A715" s="114">
        <v>713</v>
      </c>
      <c r="B715" s="179" t="s">
        <v>4295</v>
      </c>
      <c r="C715" s="114">
        <v>0</v>
      </c>
      <c r="D715" s="114" t="s">
        <v>991</v>
      </c>
      <c r="E715" s="203" t="s">
        <v>929</v>
      </c>
      <c r="F715" s="114" t="s">
        <v>909</v>
      </c>
      <c r="G715" s="114"/>
      <c r="H715" s="114"/>
      <c r="I715" s="114"/>
      <c r="J715" s="114"/>
      <c r="K715" s="114"/>
      <c r="L715" s="114"/>
      <c r="M715" s="114"/>
      <c r="N715" s="114">
        <v>255</v>
      </c>
      <c r="O715" s="180" t="s">
        <v>909</v>
      </c>
      <c r="P715" s="180" t="s">
        <v>1191</v>
      </c>
      <c r="Q715" s="180" t="s">
        <v>909</v>
      </c>
      <c r="R715" s="180"/>
      <c r="S715" s="179"/>
      <c r="T715" s="179" t="s">
        <v>4295</v>
      </c>
      <c r="U715" s="179" t="s">
        <v>4295</v>
      </c>
      <c r="V715" s="179"/>
      <c r="W715" s="114" t="s">
        <v>4296</v>
      </c>
      <c r="X715" s="179"/>
      <c r="Y715" s="160"/>
      <c r="Z715" s="161"/>
      <c r="AA715" s="162"/>
      <c r="AB715" s="160"/>
      <c r="AC715" s="159"/>
      <c r="AD715" s="159"/>
      <c r="AE715" s="159"/>
      <c r="AF715" s="159"/>
      <c r="AG715" s="159"/>
      <c r="AH715" s="159"/>
      <c r="AI715" s="159"/>
      <c r="AJ715" s="159"/>
      <c r="AK715" s="159"/>
      <c r="AL715" s="159"/>
      <c r="AM715" s="159"/>
      <c r="AN715" s="159"/>
      <c r="AO715" s="159"/>
      <c r="AP715" s="159"/>
      <c r="AQ715" s="159"/>
      <c r="AR715" s="159"/>
      <c r="AS715" s="159"/>
      <c r="AT715" s="159"/>
      <c r="AU715" s="159"/>
      <c r="AV715" s="159"/>
      <c r="AW715" s="159"/>
    </row>
    <row r="716" spans="1:49" s="157" customFormat="1" x14ac:dyDescent="0.25">
      <c r="A716" s="114">
        <v>714</v>
      </c>
      <c r="B716" s="179" t="s">
        <v>4297</v>
      </c>
      <c r="C716" s="114">
        <v>0</v>
      </c>
      <c r="D716" s="114" t="s">
        <v>991</v>
      </c>
      <c r="E716" s="203" t="s">
        <v>980</v>
      </c>
      <c r="F716" s="114" t="s">
        <v>909</v>
      </c>
      <c r="G716" s="114"/>
      <c r="H716" s="114"/>
      <c r="I716" s="114"/>
      <c r="J716" s="114"/>
      <c r="K716" s="114"/>
      <c r="L716" s="114"/>
      <c r="M716" s="114"/>
      <c r="N716" s="114">
        <v>255</v>
      </c>
      <c r="O716" s="180">
        <v>13107</v>
      </c>
      <c r="P716" s="180">
        <v>19660</v>
      </c>
      <c r="Q716" s="180">
        <v>13107</v>
      </c>
      <c r="R716" s="180"/>
      <c r="S716" s="179"/>
      <c r="T716" s="179" t="s">
        <v>4297</v>
      </c>
      <c r="U716" s="179" t="s">
        <v>4297</v>
      </c>
      <c r="V716" s="179"/>
      <c r="W716" s="114" t="s">
        <v>4298</v>
      </c>
      <c r="X716" s="179"/>
      <c r="Y716" s="160"/>
      <c r="Z716" s="161"/>
      <c r="AA716" s="162"/>
      <c r="AB716" s="160"/>
      <c r="AC716" s="159"/>
      <c r="AD716" s="159"/>
      <c r="AE716" s="159"/>
      <c r="AF716" s="159"/>
      <c r="AG716" s="159"/>
      <c r="AH716" s="159"/>
      <c r="AI716" s="159"/>
      <c r="AJ716" s="159"/>
      <c r="AK716" s="159"/>
      <c r="AL716" s="159"/>
      <c r="AM716" s="159"/>
      <c r="AN716" s="159"/>
      <c r="AO716" s="159"/>
      <c r="AP716" s="159"/>
      <c r="AQ716" s="159"/>
      <c r="AR716" s="159"/>
      <c r="AS716" s="159"/>
      <c r="AT716" s="159"/>
      <c r="AU716" s="159"/>
      <c r="AV716" s="159"/>
      <c r="AW716" s="159"/>
    </row>
    <row r="717" spans="1:49" s="157" customFormat="1" x14ac:dyDescent="0.25">
      <c r="A717" s="114">
        <v>715</v>
      </c>
      <c r="B717" s="179" t="s">
        <v>4299</v>
      </c>
      <c r="C717" s="114">
        <v>0</v>
      </c>
      <c r="D717" s="114" t="s">
        <v>991</v>
      </c>
      <c r="E717" s="203" t="s">
        <v>980</v>
      </c>
      <c r="F717" s="114" t="s">
        <v>909</v>
      </c>
      <c r="G717" s="114"/>
      <c r="H717" s="114"/>
      <c r="I717" s="114"/>
      <c r="J717" s="114"/>
      <c r="K717" s="114"/>
      <c r="L717" s="114"/>
      <c r="M717" s="114"/>
      <c r="N717" s="114">
        <v>255</v>
      </c>
      <c r="O717" s="180">
        <v>13107</v>
      </c>
      <c r="P717" s="180">
        <v>19660</v>
      </c>
      <c r="Q717" s="180">
        <v>13107</v>
      </c>
      <c r="R717" s="180"/>
      <c r="S717" s="179"/>
      <c r="T717" s="179" t="s">
        <v>4299</v>
      </c>
      <c r="U717" s="179" t="s">
        <v>4299</v>
      </c>
      <c r="V717" s="179"/>
      <c r="W717" s="114" t="s">
        <v>4300</v>
      </c>
      <c r="X717" s="179"/>
      <c r="Y717" s="160"/>
      <c r="Z717" s="161"/>
      <c r="AA717" s="162"/>
      <c r="AB717" s="160"/>
      <c r="AC717" s="159"/>
      <c r="AD717" s="159"/>
      <c r="AE717" s="159"/>
      <c r="AF717" s="159"/>
      <c r="AG717" s="159"/>
      <c r="AH717" s="159"/>
      <c r="AI717" s="159"/>
      <c r="AJ717" s="159"/>
      <c r="AK717" s="159"/>
      <c r="AL717" s="159"/>
      <c r="AM717" s="159"/>
      <c r="AN717" s="159"/>
      <c r="AO717" s="159"/>
      <c r="AP717" s="159"/>
      <c r="AQ717" s="159"/>
      <c r="AR717" s="159"/>
      <c r="AS717" s="159"/>
      <c r="AT717" s="159"/>
      <c r="AU717" s="159"/>
      <c r="AV717" s="159"/>
      <c r="AW717" s="159"/>
    </row>
    <row r="718" spans="1:49" s="157" customFormat="1" x14ac:dyDescent="0.25">
      <c r="A718" s="114">
        <v>716</v>
      </c>
      <c r="B718" s="179" t="s">
        <v>4301</v>
      </c>
      <c r="C718" s="114">
        <v>0</v>
      </c>
      <c r="D718" s="114" t="s">
        <v>991</v>
      </c>
      <c r="E718" s="203" t="s">
        <v>980</v>
      </c>
      <c r="F718" s="114" t="s">
        <v>909</v>
      </c>
      <c r="G718" s="114"/>
      <c r="H718" s="114"/>
      <c r="I718" s="114"/>
      <c r="J718" s="114"/>
      <c r="K718" s="114"/>
      <c r="L718" s="114"/>
      <c r="M718" s="114"/>
      <c r="N718" s="114">
        <v>255</v>
      </c>
      <c r="O718" s="180">
        <v>13107</v>
      </c>
      <c r="P718" s="180">
        <v>19660</v>
      </c>
      <c r="Q718" s="180">
        <v>13107</v>
      </c>
      <c r="R718" s="180"/>
      <c r="S718" s="179"/>
      <c r="T718" s="179" t="s">
        <v>4301</v>
      </c>
      <c r="U718" s="179" t="s">
        <v>4301</v>
      </c>
      <c r="V718" s="179"/>
      <c r="W718" s="114" t="s">
        <v>4302</v>
      </c>
      <c r="X718" s="179"/>
      <c r="Y718" s="160"/>
      <c r="Z718" s="161"/>
      <c r="AA718" s="162"/>
      <c r="AB718" s="160"/>
      <c r="AC718" s="159"/>
      <c r="AD718" s="159"/>
      <c r="AE718" s="159"/>
      <c r="AF718" s="159"/>
      <c r="AG718" s="159"/>
      <c r="AH718" s="159"/>
      <c r="AI718" s="159"/>
      <c r="AJ718" s="159"/>
      <c r="AK718" s="159"/>
      <c r="AL718" s="159"/>
      <c r="AM718" s="159"/>
      <c r="AN718" s="159"/>
      <c r="AO718" s="159"/>
      <c r="AP718" s="159"/>
      <c r="AQ718" s="159"/>
      <c r="AR718" s="159"/>
      <c r="AS718" s="159"/>
      <c r="AT718" s="159"/>
      <c r="AU718" s="159"/>
      <c r="AV718" s="159"/>
      <c r="AW718" s="159"/>
    </row>
    <row r="719" spans="1:49" s="157" customFormat="1" x14ac:dyDescent="0.25">
      <c r="A719" s="114">
        <v>717</v>
      </c>
      <c r="B719" s="179" t="s">
        <v>4303</v>
      </c>
      <c r="C719" s="114">
        <v>0</v>
      </c>
      <c r="D719" s="114" t="s">
        <v>991</v>
      </c>
      <c r="E719" s="203" t="s">
        <v>980</v>
      </c>
      <c r="F719" s="114" t="s">
        <v>909</v>
      </c>
      <c r="G719" s="114"/>
      <c r="H719" s="114"/>
      <c r="I719" s="114"/>
      <c r="J719" s="114"/>
      <c r="K719" s="114"/>
      <c r="L719" s="114"/>
      <c r="M719" s="114"/>
      <c r="N719" s="114">
        <v>255</v>
      </c>
      <c r="O719" s="180">
        <v>13107</v>
      </c>
      <c r="P719" s="180">
        <v>19660</v>
      </c>
      <c r="Q719" s="180">
        <v>13107</v>
      </c>
      <c r="R719" s="180"/>
      <c r="S719" s="179"/>
      <c r="T719" s="179" t="s">
        <v>4303</v>
      </c>
      <c r="U719" s="179" t="s">
        <v>4303</v>
      </c>
      <c r="V719" s="179"/>
      <c r="W719" s="114" t="s">
        <v>4304</v>
      </c>
      <c r="X719" s="179"/>
      <c r="Y719" s="160"/>
      <c r="Z719" s="161"/>
      <c r="AA719" s="162"/>
      <c r="AB719" s="160"/>
      <c r="AC719" s="159"/>
      <c r="AD719" s="159"/>
      <c r="AE719" s="159"/>
      <c r="AF719" s="159"/>
      <c r="AG719" s="159"/>
      <c r="AH719" s="159"/>
      <c r="AI719" s="159"/>
      <c r="AJ719" s="159"/>
      <c r="AK719" s="159"/>
      <c r="AL719" s="159"/>
      <c r="AM719" s="159"/>
      <c r="AN719" s="159"/>
      <c r="AO719" s="159"/>
      <c r="AP719" s="159"/>
      <c r="AQ719" s="159"/>
      <c r="AR719" s="159"/>
      <c r="AS719" s="159"/>
      <c r="AT719" s="159"/>
      <c r="AU719" s="159"/>
      <c r="AV719" s="159"/>
      <c r="AW719" s="159"/>
    </row>
    <row r="720" spans="1:49" s="157" customFormat="1" x14ac:dyDescent="0.25">
      <c r="A720" s="114">
        <v>718</v>
      </c>
      <c r="B720" s="179" t="s">
        <v>4305</v>
      </c>
      <c r="C720" s="114">
        <v>0</v>
      </c>
      <c r="D720" s="114" t="s">
        <v>991</v>
      </c>
      <c r="E720" s="203" t="s">
        <v>980</v>
      </c>
      <c r="F720" s="114" t="s">
        <v>909</v>
      </c>
      <c r="G720" s="114"/>
      <c r="H720" s="114"/>
      <c r="I720" s="114"/>
      <c r="J720" s="114"/>
      <c r="K720" s="114"/>
      <c r="L720" s="114"/>
      <c r="M720" s="114"/>
      <c r="N720" s="114">
        <v>255</v>
      </c>
      <c r="O720" s="180">
        <v>-32768</v>
      </c>
      <c r="P720" s="180">
        <v>32767</v>
      </c>
      <c r="Q720" s="180">
        <v>-32768</v>
      </c>
      <c r="R720" s="180"/>
      <c r="S720" s="179"/>
      <c r="T720" s="179" t="s">
        <v>4305</v>
      </c>
      <c r="U720" s="179" t="s">
        <v>4305</v>
      </c>
      <c r="V720" s="179"/>
      <c r="W720" s="114" t="s">
        <v>4306</v>
      </c>
      <c r="X720" s="179"/>
      <c r="Y720" s="160"/>
      <c r="Z720" s="161"/>
      <c r="AA720" s="162"/>
      <c r="AB720" s="160"/>
      <c r="AC720" s="159"/>
      <c r="AD720" s="159"/>
      <c r="AE720" s="159"/>
      <c r="AF720" s="159"/>
      <c r="AG720" s="159"/>
      <c r="AH720" s="159"/>
      <c r="AI720" s="159"/>
      <c r="AJ720" s="159"/>
      <c r="AK720" s="159"/>
      <c r="AL720" s="159"/>
      <c r="AM720" s="159"/>
      <c r="AN720" s="159"/>
      <c r="AO720" s="159"/>
      <c r="AP720" s="159"/>
      <c r="AQ720" s="159"/>
      <c r="AR720" s="159"/>
      <c r="AS720" s="159"/>
      <c r="AT720" s="159"/>
      <c r="AU720" s="159"/>
      <c r="AV720" s="159"/>
      <c r="AW720" s="159"/>
    </row>
    <row r="721" spans="1:49" s="157" customFormat="1" x14ac:dyDescent="0.25">
      <c r="A721" s="114">
        <v>719</v>
      </c>
      <c r="B721" s="179" t="s">
        <v>4307</v>
      </c>
      <c r="C721" s="114">
        <v>0</v>
      </c>
      <c r="D721" s="114" t="s">
        <v>991</v>
      </c>
      <c r="E721" s="203" t="s">
        <v>980</v>
      </c>
      <c r="F721" s="114" t="s">
        <v>909</v>
      </c>
      <c r="G721" s="114"/>
      <c r="H721" s="114"/>
      <c r="I721" s="114"/>
      <c r="J721" s="114"/>
      <c r="K721" s="114"/>
      <c r="L721" s="114"/>
      <c r="M721" s="114"/>
      <c r="N721" s="114">
        <v>255</v>
      </c>
      <c r="O721" s="180">
        <v>-32768</v>
      </c>
      <c r="P721" s="180">
        <v>32767</v>
      </c>
      <c r="Q721" s="180">
        <v>-32768</v>
      </c>
      <c r="R721" s="180"/>
      <c r="S721" s="179"/>
      <c r="T721" s="179" t="s">
        <v>4307</v>
      </c>
      <c r="U721" s="179" t="s">
        <v>4307</v>
      </c>
      <c r="V721" s="179"/>
      <c r="W721" s="114" t="s">
        <v>4308</v>
      </c>
      <c r="X721" s="179"/>
      <c r="Y721" s="160"/>
      <c r="Z721" s="161"/>
      <c r="AA721" s="162"/>
      <c r="AB721" s="160"/>
      <c r="AC721" s="159"/>
      <c r="AD721" s="159"/>
      <c r="AE721" s="159"/>
      <c r="AF721" s="159"/>
      <c r="AG721" s="159"/>
      <c r="AH721" s="159"/>
      <c r="AI721" s="159"/>
      <c r="AJ721" s="159"/>
      <c r="AK721" s="159"/>
      <c r="AL721" s="159"/>
      <c r="AM721" s="159"/>
      <c r="AN721" s="159"/>
      <c r="AO721" s="159"/>
      <c r="AP721" s="159"/>
      <c r="AQ721" s="159"/>
      <c r="AR721" s="159"/>
      <c r="AS721" s="159"/>
      <c r="AT721" s="159"/>
      <c r="AU721" s="159"/>
      <c r="AV721" s="159"/>
      <c r="AW721" s="159"/>
    </row>
    <row r="722" spans="1:49" s="157" customFormat="1" x14ac:dyDescent="0.25">
      <c r="A722" s="114">
        <v>720</v>
      </c>
      <c r="B722" s="179" t="s">
        <v>4309</v>
      </c>
      <c r="C722" s="114">
        <v>0</v>
      </c>
      <c r="D722" s="114" t="s">
        <v>991</v>
      </c>
      <c r="E722" s="203" t="s">
        <v>980</v>
      </c>
      <c r="F722" s="114" t="s">
        <v>909</v>
      </c>
      <c r="G722" s="114"/>
      <c r="H722" s="114"/>
      <c r="I722" s="114"/>
      <c r="J722" s="114"/>
      <c r="K722" s="114"/>
      <c r="L722" s="114"/>
      <c r="M722" s="114"/>
      <c r="N722" s="114">
        <v>255</v>
      </c>
      <c r="O722" s="180">
        <v>-32768</v>
      </c>
      <c r="P722" s="180">
        <v>32767</v>
      </c>
      <c r="Q722" s="180">
        <v>-32768</v>
      </c>
      <c r="R722" s="180"/>
      <c r="S722" s="179"/>
      <c r="T722" s="179" t="s">
        <v>4309</v>
      </c>
      <c r="U722" s="179" t="s">
        <v>4309</v>
      </c>
      <c r="V722" s="179"/>
      <c r="W722" s="114" t="s">
        <v>4310</v>
      </c>
      <c r="X722" s="179"/>
      <c r="Y722" s="160"/>
      <c r="Z722" s="161"/>
      <c r="AA722" s="162"/>
      <c r="AB722" s="160"/>
      <c r="AC722" s="159"/>
      <c r="AD722" s="159"/>
      <c r="AE722" s="159"/>
      <c r="AF722" s="159"/>
      <c r="AG722" s="159"/>
      <c r="AH722" s="159"/>
      <c r="AI722" s="159"/>
      <c r="AJ722" s="159"/>
      <c r="AK722" s="159"/>
      <c r="AL722" s="159"/>
      <c r="AM722" s="159"/>
      <c r="AN722" s="159"/>
      <c r="AO722" s="159"/>
      <c r="AP722" s="159"/>
      <c r="AQ722" s="159"/>
      <c r="AR722" s="159"/>
      <c r="AS722" s="159"/>
      <c r="AT722" s="159"/>
      <c r="AU722" s="159"/>
      <c r="AV722" s="159"/>
      <c r="AW722" s="159"/>
    </row>
    <row r="723" spans="1:49" s="157" customFormat="1" x14ac:dyDescent="0.25">
      <c r="A723" s="114">
        <v>721</v>
      </c>
      <c r="B723" s="179" t="s">
        <v>4311</v>
      </c>
      <c r="C723" s="114">
        <v>0</v>
      </c>
      <c r="D723" s="114" t="s">
        <v>991</v>
      </c>
      <c r="E723" s="203" t="s">
        <v>980</v>
      </c>
      <c r="F723" s="114" t="s">
        <v>909</v>
      </c>
      <c r="G723" s="114"/>
      <c r="H723" s="114"/>
      <c r="I723" s="114"/>
      <c r="J723" s="114"/>
      <c r="K723" s="114"/>
      <c r="L723" s="114"/>
      <c r="M723" s="114"/>
      <c r="N723" s="114">
        <v>255</v>
      </c>
      <c r="O723" s="180">
        <v>0</v>
      </c>
      <c r="P723" s="180">
        <v>511</v>
      </c>
      <c r="Q723" s="180">
        <v>0</v>
      </c>
      <c r="R723" s="180"/>
      <c r="S723" s="179"/>
      <c r="T723" s="179" t="s">
        <v>4311</v>
      </c>
      <c r="U723" s="179" t="s">
        <v>4311</v>
      </c>
      <c r="V723" s="179"/>
      <c r="W723" s="114" t="s">
        <v>4312</v>
      </c>
      <c r="X723" s="179"/>
      <c r="Y723" s="160"/>
      <c r="Z723" s="161"/>
      <c r="AA723" s="162"/>
      <c r="AB723" s="160"/>
      <c r="AC723" s="159"/>
      <c r="AD723" s="159"/>
      <c r="AE723" s="159"/>
      <c r="AF723" s="159"/>
      <c r="AG723" s="159"/>
      <c r="AH723" s="159"/>
      <c r="AI723" s="159"/>
      <c r="AJ723" s="159"/>
      <c r="AK723" s="159"/>
      <c r="AL723" s="159"/>
      <c r="AM723" s="159"/>
      <c r="AN723" s="159"/>
      <c r="AO723" s="159"/>
      <c r="AP723" s="159"/>
      <c r="AQ723" s="159"/>
      <c r="AR723" s="159"/>
      <c r="AS723" s="159"/>
      <c r="AT723" s="159"/>
      <c r="AU723" s="159"/>
      <c r="AV723" s="159"/>
      <c r="AW723" s="159"/>
    </row>
    <row r="724" spans="1:49" s="157" customFormat="1" x14ac:dyDescent="0.25">
      <c r="A724" s="114">
        <v>722</v>
      </c>
      <c r="B724" s="179" t="s">
        <v>4313</v>
      </c>
      <c r="C724" s="114">
        <v>0</v>
      </c>
      <c r="D724" s="114" t="s">
        <v>991</v>
      </c>
      <c r="E724" s="203" t="s">
        <v>929</v>
      </c>
      <c r="F724" s="114" t="s">
        <v>909</v>
      </c>
      <c r="G724" s="114"/>
      <c r="H724" s="114"/>
      <c r="I724" s="114"/>
      <c r="J724" s="114"/>
      <c r="K724" s="114"/>
      <c r="L724" s="114"/>
      <c r="M724" s="114"/>
      <c r="N724" s="114">
        <v>255</v>
      </c>
      <c r="O724" s="180" t="s">
        <v>909</v>
      </c>
      <c r="P724" s="180" t="s">
        <v>1191</v>
      </c>
      <c r="Q724" s="180" t="s">
        <v>909</v>
      </c>
      <c r="R724" s="180"/>
      <c r="S724" s="179"/>
      <c r="T724" s="179" t="s">
        <v>4313</v>
      </c>
      <c r="U724" s="179" t="s">
        <v>4313</v>
      </c>
      <c r="V724" s="179"/>
      <c r="W724" s="114" t="s">
        <v>4314</v>
      </c>
      <c r="X724" s="179"/>
      <c r="Y724" s="160"/>
      <c r="Z724" s="161"/>
      <c r="AA724" s="162"/>
      <c r="AB724" s="160"/>
      <c r="AC724" s="159"/>
      <c r="AD724" s="159"/>
      <c r="AE724" s="159"/>
      <c r="AF724" s="159"/>
      <c r="AG724" s="159"/>
      <c r="AH724" s="159"/>
      <c r="AI724" s="159"/>
      <c r="AJ724" s="159"/>
      <c r="AK724" s="159"/>
      <c r="AL724" s="159"/>
      <c r="AM724" s="159"/>
      <c r="AN724" s="159"/>
      <c r="AO724" s="159"/>
      <c r="AP724" s="159"/>
      <c r="AQ724" s="159"/>
      <c r="AR724" s="159"/>
      <c r="AS724" s="159"/>
      <c r="AT724" s="159"/>
      <c r="AU724" s="159"/>
      <c r="AV724" s="159"/>
      <c r="AW724" s="159"/>
    </row>
    <row r="725" spans="1:49" s="157" customFormat="1" x14ac:dyDescent="0.25">
      <c r="A725" s="114">
        <v>723</v>
      </c>
      <c r="B725" s="179" t="s">
        <v>4315</v>
      </c>
      <c r="C725" s="114">
        <v>0</v>
      </c>
      <c r="D725" s="114" t="s">
        <v>991</v>
      </c>
      <c r="E725" s="203" t="s">
        <v>929</v>
      </c>
      <c r="F725" s="114" t="s">
        <v>909</v>
      </c>
      <c r="G725" s="114"/>
      <c r="H725" s="114"/>
      <c r="I725" s="114"/>
      <c r="J725" s="114"/>
      <c r="K725" s="114"/>
      <c r="L725" s="114"/>
      <c r="M725" s="114"/>
      <c r="N725" s="114">
        <v>255</v>
      </c>
      <c r="O725" s="180" t="s">
        <v>909</v>
      </c>
      <c r="P725" s="180" t="s">
        <v>2199</v>
      </c>
      <c r="Q725" s="180" t="s">
        <v>909</v>
      </c>
      <c r="R725" s="180"/>
      <c r="S725" s="179"/>
      <c r="T725" s="179" t="s">
        <v>4315</v>
      </c>
      <c r="U725" s="179" t="s">
        <v>4315</v>
      </c>
      <c r="V725" s="179"/>
      <c r="W725" s="114" t="s">
        <v>4316</v>
      </c>
      <c r="X725" s="179"/>
      <c r="Y725" s="160"/>
      <c r="Z725" s="161"/>
      <c r="AA725" s="162"/>
      <c r="AB725" s="160"/>
      <c r="AC725" s="159"/>
      <c r="AD725" s="159"/>
      <c r="AE725" s="159"/>
      <c r="AF725" s="159"/>
      <c r="AG725" s="159"/>
      <c r="AH725" s="159"/>
      <c r="AI725" s="159"/>
      <c r="AJ725" s="159"/>
      <c r="AK725" s="159"/>
      <c r="AL725" s="159"/>
      <c r="AM725" s="159"/>
      <c r="AN725" s="159"/>
      <c r="AO725" s="159"/>
      <c r="AP725" s="159"/>
      <c r="AQ725" s="159"/>
      <c r="AR725" s="159"/>
      <c r="AS725" s="159"/>
      <c r="AT725" s="159"/>
      <c r="AU725" s="159"/>
      <c r="AV725" s="159"/>
      <c r="AW725" s="159"/>
    </row>
    <row r="726" spans="1:49" s="157" customFormat="1" x14ac:dyDescent="0.25">
      <c r="A726" s="114">
        <v>724</v>
      </c>
      <c r="B726" s="179" t="s">
        <v>4317</v>
      </c>
      <c r="C726" s="114">
        <v>0</v>
      </c>
      <c r="D726" s="114" t="s">
        <v>991</v>
      </c>
      <c r="E726" s="203" t="s">
        <v>980</v>
      </c>
      <c r="F726" s="114" t="s">
        <v>909</v>
      </c>
      <c r="G726" s="114"/>
      <c r="H726" s="114"/>
      <c r="I726" s="114"/>
      <c r="J726" s="114"/>
      <c r="K726" s="114"/>
      <c r="L726" s="114"/>
      <c r="M726" s="114"/>
      <c r="N726" s="114">
        <v>255</v>
      </c>
      <c r="O726" s="180">
        <v>0</v>
      </c>
      <c r="P726" s="180">
        <v>200</v>
      </c>
      <c r="Q726" s="180">
        <v>0</v>
      </c>
      <c r="R726" s="180"/>
      <c r="S726" s="179"/>
      <c r="T726" s="179" t="s">
        <v>4317</v>
      </c>
      <c r="U726" s="179" t="s">
        <v>4317</v>
      </c>
      <c r="V726" s="179"/>
      <c r="W726" s="114" t="s">
        <v>4318</v>
      </c>
      <c r="X726" s="179"/>
      <c r="Y726" s="160"/>
      <c r="Z726" s="161"/>
      <c r="AA726" s="162"/>
      <c r="AB726" s="160"/>
      <c r="AC726" s="159"/>
      <c r="AD726" s="159"/>
      <c r="AE726" s="159"/>
      <c r="AF726" s="159"/>
      <c r="AG726" s="159"/>
      <c r="AH726" s="159"/>
      <c r="AI726" s="159"/>
      <c r="AJ726" s="159"/>
      <c r="AK726" s="159"/>
      <c r="AL726" s="159"/>
      <c r="AM726" s="159"/>
      <c r="AN726" s="159"/>
      <c r="AO726" s="159"/>
      <c r="AP726" s="159"/>
      <c r="AQ726" s="159"/>
      <c r="AR726" s="159"/>
      <c r="AS726" s="159"/>
      <c r="AT726" s="159"/>
      <c r="AU726" s="159"/>
      <c r="AV726" s="159"/>
      <c r="AW726" s="159"/>
    </row>
    <row r="727" spans="1:49" s="157" customFormat="1" x14ac:dyDescent="0.25">
      <c r="A727" s="114">
        <v>725</v>
      </c>
      <c r="B727" s="179" t="s">
        <v>4319</v>
      </c>
      <c r="C727" s="114">
        <v>0</v>
      </c>
      <c r="D727" s="114" t="s">
        <v>991</v>
      </c>
      <c r="E727" s="203" t="s">
        <v>980</v>
      </c>
      <c r="F727" s="114" t="s">
        <v>909</v>
      </c>
      <c r="G727" s="114"/>
      <c r="H727" s="114"/>
      <c r="I727" s="114"/>
      <c r="J727" s="114"/>
      <c r="K727" s="114"/>
      <c r="L727" s="114"/>
      <c r="M727" s="114"/>
      <c r="N727" s="114">
        <v>255</v>
      </c>
      <c r="O727" s="180">
        <v>0</v>
      </c>
      <c r="P727" s="180">
        <v>5</v>
      </c>
      <c r="Q727" s="180">
        <v>0</v>
      </c>
      <c r="R727" s="180"/>
      <c r="S727" s="179"/>
      <c r="T727" s="179" t="s">
        <v>4319</v>
      </c>
      <c r="U727" s="179" t="s">
        <v>4319</v>
      </c>
      <c r="V727" s="179"/>
      <c r="W727" s="114" t="s">
        <v>4320</v>
      </c>
      <c r="X727" s="179"/>
      <c r="Y727" s="160"/>
      <c r="Z727" s="161"/>
      <c r="AA727" s="162"/>
      <c r="AB727" s="160"/>
      <c r="AC727" s="159"/>
      <c r="AD727" s="159"/>
      <c r="AE727" s="159"/>
      <c r="AF727" s="159"/>
      <c r="AG727" s="159"/>
      <c r="AH727" s="159"/>
      <c r="AI727" s="159"/>
      <c r="AJ727" s="159"/>
      <c r="AK727" s="159"/>
      <c r="AL727" s="159"/>
      <c r="AM727" s="159"/>
      <c r="AN727" s="159"/>
      <c r="AO727" s="159"/>
      <c r="AP727" s="159"/>
      <c r="AQ727" s="159"/>
      <c r="AR727" s="159"/>
      <c r="AS727" s="159"/>
      <c r="AT727" s="159"/>
      <c r="AU727" s="159"/>
      <c r="AV727" s="159"/>
      <c r="AW727" s="159"/>
    </row>
    <row r="728" spans="1:49" s="157" customFormat="1" x14ac:dyDescent="0.25">
      <c r="A728" s="114">
        <v>726</v>
      </c>
      <c r="B728" s="179" t="s">
        <v>4321</v>
      </c>
      <c r="C728" s="114">
        <v>0</v>
      </c>
      <c r="D728" s="114" t="s">
        <v>991</v>
      </c>
      <c r="E728" s="203" t="s">
        <v>980</v>
      </c>
      <c r="F728" s="114" t="s">
        <v>909</v>
      </c>
      <c r="G728" s="114"/>
      <c r="H728" s="114"/>
      <c r="I728" s="114"/>
      <c r="J728" s="114"/>
      <c r="K728" s="114"/>
      <c r="L728" s="114"/>
      <c r="M728" s="114"/>
      <c r="N728" s="114">
        <v>255</v>
      </c>
      <c r="O728" s="180">
        <v>0</v>
      </c>
      <c r="P728" s="180">
        <v>32767</v>
      </c>
      <c r="Q728" s="180">
        <v>0</v>
      </c>
      <c r="R728" s="180"/>
      <c r="S728" s="179"/>
      <c r="T728" s="179" t="s">
        <v>4321</v>
      </c>
      <c r="U728" s="179" t="s">
        <v>4321</v>
      </c>
      <c r="V728" s="179"/>
      <c r="W728" s="114" t="s">
        <v>4322</v>
      </c>
      <c r="X728" s="179"/>
      <c r="Y728" s="160"/>
      <c r="Z728" s="161"/>
      <c r="AA728" s="162"/>
      <c r="AB728" s="160"/>
      <c r="AC728" s="159"/>
      <c r="AD728" s="159"/>
      <c r="AE728" s="159"/>
      <c r="AF728" s="159"/>
      <c r="AG728" s="159"/>
      <c r="AH728" s="159"/>
      <c r="AI728" s="159"/>
      <c r="AJ728" s="159"/>
      <c r="AK728" s="159"/>
      <c r="AL728" s="159"/>
      <c r="AM728" s="159"/>
      <c r="AN728" s="159"/>
      <c r="AO728" s="159"/>
      <c r="AP728" s="159"/>
      <c r="AQ728" s="159"/>
      <c r="AR728" s="159"/>
      <c r="AS728" s="159"/>
      <c r="AT728" s="159"/>
      <c r="AU728" s="159"/>
      <c r="AV728" s="159"/>
      <c r="AW728" s="159"/>
    </row>
    <row r="729" spans="1:49" s="157" customFormat="1" x14ac:dyDescent="0.25">
      <c r="A729" s="114">
        <v>727</v>
      </c>
      <c r="B729" s="179" t="s">
        <v>4323</v>
      </c>
      <c r="C729" s="114">
        <v>0</v>
      </c>
      <c r="D729" s="114" t="s">
        <v>991</v>
      </c>
      <c r="E729" s="203" t="s">
        <v>980</v>
      </c>
      <c r="F729" s="114" t="s">
        <v>909</v>
      </c>
      <c r="G729" s="114"/>
      <c r="H729" s="114"/>
      <c r="I729" s="114"/>
      <c r="J729" s="114"/>
      <c r="K729" s="114"/>
      <c r="L729" s="114"/>
      <c r="M729" s="114"/>
      <c r="N729" s="114">
        <v>255</v>
      </c>
      <c r="O729" s="180">
        <v>0</v>
      </c>
      <c r="P729" s="180">
        <v>32767</v>
      </c>
      <c r="Q729" s="180">
        <v>0</v>
      </c>
      <c r="R729" s="180"/>
      <c r="S729" s="179"/>
      <c r="T729" s="179" t="s">
        <v>4323</v>
      </c>
      <c r="U729" s="179" t="s">
        <v>4323</v>
      </c>
      <c r="V729" s="179"/>
      <c r="W729" s="114" t="s">
        <v>4324</v>
      </c>
      <c r="X729" s="179"/>
      <c r="Y729" s="160"/>
      <c r="Z729" s="161"/>
      <c r="AA729" s="162"/>
      <c r="AB729" s="160"/>
      <c r="AC729" s="159"/>
      <c r="AD729" s="159"/>
      <c r="AE729" s="159"/>
      <c r="AF729" s="159"/>
      <c r="AG729" s="159"/>
      <c r="AH729" s="159"/>
      <c r="AI729" s="159"/>
      <c r="AJ729" s="159"/>
      <c r="AK729" s="159"/>
      <c r="AL729" s="159"/>
      <c r="AM729" s="159"/>
      <c r="AN729" s="159"/>
      <c r="AO729" s="159"/>
      <c r="AP729" s="159"/>
      <c r="AQ729" s="159"/>
      <c r="AR729" s="159"/>
      <c r="AS729" s="159"/>
      <c r="AT729" s="159"/>
      <c r="AU729" s="159"/>
      <c r="AV729" s="159"/>
      <c r="AW729" s="159"/>
    </row>
    <row r="730" spans="1:49" s="157" customFormat="1" x14ac:dyDescent="0.25">
      <c r="A730" s="114">
        <v>728</v>
      </c>
      <c r="B730" s="179" t="s">
        <v>4325</v>
      </c>
      <c r="C730" s="114">
        <v>0</v>
      </c>
      <c r="D730" s="114" t="s">
        <v>991</v>
      </c>
      <c r="E730" s="203" t="s">
        <v>980</v>
      </c>
      <c r="F730" s="114" t="s">
        <v>909</v>
      </c>
      <c r="G730" s="114"/>
      <c r="H730" s="114"/>
      <c r="I730" s="114"/>
      <c r="J730" s="114"/>
      <c r="K730" s="114"/>
      <c r="L730" s="114"/>
      <c r="M730" s="114"/>
      <c r="N730" s="114">
        <v>255</v>
      </c>
      <c r="O730" s="180">
        <v>1</v>
      </c>
      <c r="P730" s="180">
        <v>15</v>
      </c>
      <c r="Q730" s="180">
        <v>1</v>
      </c>
      <c r="R730" s="180"/>
      <c r="S730" s="179"/>
      <c r="T730" s="179" t="s">
        <v>4325</v>
      </c>
      <c r="U730" s="179" t="s">
        <v>4325</v>
      </c>
      <c r="V730" s="179"/>
      <c r="W730" s="114" t="s">
        <v>4326</v>
      </c>
      <c r="X730" s="179"/>
      <c r="Y730" s="160"/>
      <c r="Z730" s="161"/>
      <c r="AA730" s="162"/>
      <c r="AB730" s="160"/>
      <c r="AC730" s="159"/>
      <c r="AD730" s="159"/>
      <c r="AE730" s="159"/>
      <c r="AF730" s="159"/>
      <c r="AG730" s="159"/>
      <c r="AH730" s="159"/>
      <c r="AI730" s="159"/>
      <c r="AJ730" s="159"/>
      <c r="AK730" s="159"/>
      <c r="AL730" s="159"/>
      <c r="AM730" s="159"/>
      <c r="AN730" s="159"/>
      <c r="AO730" s="159"/>
      <c r="AP730" s="159"/>
      <c r="AQ730" s="159"/>
      <c r="AR730" s="159"/>
      <c r="AS730" s="159"/>
      <c r="AT730" s="159"/>
      <c r="AU730" s="159"/>
      <c r="AV730" s="159"/>
      <c r="AW730" s="159"/>
    </row>
    <row r="731" spans="1:49" s="157" customFormat="1" x14ac:dyDescent="0.25">
      <c r="A731" s="114">
        <v>729</v>
      </c>
      <c r="B731" s="179" t="s">
        <v>4327</v>
      </c>
      <c r="C731" s="114">
        <v>0</v>
      </c>
      <c r="D731" s="114" t="s">
        <v>991</v>
      </c>
      <c r="E731" s="203" t="s">
        <v>980</v>
      </c>
      <c r="F731" s="114" t="s">
        <v>909</v>
      </c>
      <c r="G731" s="114"/>
      <c r="H731" s="114"/>
      <c r="I731" s="114"/>
      <c r="J731" s="114"/>
      <c r="K731" s="114"/>
      <c r="L731" s="114"/>
      <c r="M731" s="114"/>
      <c r="N731" s="114">
        <v>255</v>
      </c>
      <c r="O731" s="180">
        <v>1</v>
      </c>
      <c r="P731" s="180">
        <v>1245</v>
      </c>
      <c r="Q731" s="180">
        <v>1</v>
      </c>
      <c r="R731" s="180"/>
      <c r="S731" s="179"/>
      <c r="T731" s="179" t="s">
        <v>4327</v>
      </c>
      <c r="U731" s="179" t="s">
        <v>4327</v>
      </c>
      <c r="V731" s="179"/>
      <c r="W731" s="114" t="s">
        <v>4328</v>
      </c>
      <c r="X731" s="179"/>
      <c r="Y731" s="160"/>
      <c r="Z731" s="161"/>
      <c r="AA731" s="162"/>
      <c r="AB731" s="160"/>
      <c r="AC731" s="159"/>
      <c r="AD731" s="159"/>
      <c r="AE731" s="159"/>
      <c r="AF731" s="159"/>
      <c r="AG731" s="159"/>
      <c r="AH731" s="159"/>
      <c r="AI731" s="159"/>
      <c r="AJ731" s="159"/>
      <c r="AK731" s="159"/>
      <c r="AL731" s="159"/>
      <c r="AM731" s="159"/>
      <c r="AN731" s="159"/>
      <c r="AO731" s="159"/>
      <c r="AP731" s="159"/>
      <c r="AQ731" s="159"/>
      <c r="AR731" s="159"/>
      <c r="AS731" s="159"/>
      <c r="AT731" s="159"/>
      <c r="AU731" s="159"/>
      <c r="AV731" s="159"/>
      <c r="AW731" s="159"/>
    </row>
    <row r="732" spans="1:49" s="157" customFormat="1" x14ac:dyDescent="0.25">
      <c r="A732" s="114">
        <v>730</v>
      </c>
      <c r="B732" s="179" t="s">
        <v>4329</v>
      </c>
      <c r="C732" s="114">
        <v>0</v>
      </c>
      <c r="D732" s="114" t="s">
        <v>991</v>
      </c>
      <c r="E732" s="203" t="s">
        <v>966</v>
      </c>
      <c r="F732" s="114" t="s">
        <v>909</v>
      </c>
      <c r="G732" s="114"/>
      <c r="H732" s="114"/>
      <c r="I732" s="114"/>
      <c r="J732" s="114"/>
      <c r="K732" s="114"/>
      <c r="L732" s="114"/>
      <c r="M732" s="114"/>
      <c r="N732" s="114">
        <v>255</v>
      </c>
      <c r="O732" s="180">
        <v>-2147483648</v>
      </c>
      <c r="P732" s="180">
        <v>2147483647</v>
      </c>
      <c r="Q732" s="180">
        <v>-2147483648</v>
      </c>
      <c r="R732" s="180"/>
      <c r="S732" s="179"/>
      <c r="T732" s="179" t="s">
        <v>4329</v>
      </c>
      <c r="U732" s="179" t="s">
        <v>4329</v>
      </c>
      <c r="V732" s="179"/>
      <c r="W732" s="114" t="s">
        <v>4330</v>
      </c>
      <c r="X732" s="179"/>
      <c r="Y732" s="160"/>
      <c r="Z732" s="161"/>
      <c r="AA732" s="162"/>
      <c r="AB732" s="160"/>
      <c r="AC732" s="159"/>
      <c r="AD732" s="159"/>
      <c r="AE732" s="159"/>
      <c r="AF732" s="159"/>
      <c r="AG732" s="159"/>
      <c r="AH732" s="159"/>
      <c r="AI732" s="159"/>
      <c r="AJ732" s="159"/>
      <c r="AK732" s="159"/>
      <c r="AL732" s="159"/>
      <c r="AM732" s="159"/>
      <c r="AN732" s="159"/>
      <c r="AO732" s="159"/>
      <c r="AP732" s="159"/>
      <c r="AQ732" s="159"/>
      <c r="AR732" s="159"/>
      <c r="AS732" s="159"/>
      <c r="AT732" s="159"/>
      <c r="AU732" s="159"/>
      <c r="AV732" s="159"/>
      <c r="AW732" s="159"/>
    </row>
    <row r="733" spans="1:49" s="157" customFormat="1" x14ac:dyDescent="0.25">
      <c r="A733" s="114">
        <v>731</v>
      </c>
      <c r="B733" s="179" t="s">
        <v>4331</v>
      </c>
      <c r="C733" s="114">
        <v>0</v>
      </c>
      <c r="D733" s="114" t="s">
        <v>991</v>
      </c>
      <c r="E733" s="203" t="s">
        <v>929</v>
      </c>
      <c r="F733" s="114" t="s">
        <v>909</v>
      </c>
      <c r="G733" s="114"/>
      <c r="H733" s="114"/>
      <c r="I733" s="114"/>
      <c r="J733" s="114"/>
      <c r="K733" s="114"/>
      <c r="L733" s="114"/>
      <c r="M733" s="114"/>
      <c r="N733" s="114">
        <v>255</v>
      </c>
      <c r="O733" s="180" t="s">
        <v>909</v>
      </c>
      <c r="P733" s="180" t="s">
        <v>4332</v>
      </c>
      <c r="Q733" s="180" t="s">
        <v>909</v>
      </c>
      <c r="R733" s="180"/>
      <c r="S733" s="179"/>
      <c r="T733" s="179" t="s">
        <v>4331</v>
      </c>
      <c r="U733" s="179" t="s">
        <v>4331</v>
      </c>
      <c r="V733" s="179" t="s">
        <v>4157</v>
      </c>
      <c r="W733" s="114" t="str">
        <f>CONCATENATE("0x",TEXT(DEC2HEX(HEX2DEC("1")*256+(32)*2),"0000"))</f>
        <v>0x0140</v>
      </c>
      <c r="X733" s="179">
        <v>16</v>
      </c>
      <c r="Y733" s="160"/>
      <c r="Z733" s="161"/>
      <c r="AA733" s="162"/>
      <c r="AB733" s="160"/>
      <c r="AC733" s="159"/>
      <c r="AD733" s="159"/>
      <c r="AE733" s="159"/>
      <c r="AF733" s="159"/>
      <c r="AG733" s="159"/>
      <c r="AH733" s="159"/>
      <c r="AI733" s="159"/>
      <c r="AJ733" s="159"/>
      <c r="AK733" s="159"/>
      <c r="AL733" s="159"/>
      <c r="AM733" s="159"/>
      <c r="AN733" s="159"/>
      <c r="AO733" s="159"/>
      <c r="AP733" s="159"/>
      <c r="AQ733" s="159"/>
      <c r="AR733" s="159"/>
      <c r="AS733" s="159"/>
      <c r="AT733" s="159"/>
      <c r="AU733" s="159"/>
      <c r="AV733" s="159"/>
      <c r="AW733" s="159"/>
    </row>
    <row r="734" spans="1:49" s="157" customFormat="1" x14ac:dyDescent="0.25">
      <c r="A734" s="114">
        <v>732</v>
      </c>
      <c r="B734" s="179" t="s">
        <v>4333</v>
      </c>
      <c r="C734" s="114">
        <v>0</v>
      </c>
      <c r="D734" s="114" t="s">
        <v>991</v>
      </c>
      <c r="E734" s="203" t="s">
        <v>929</v>
      </c>
      <c r="F734" s="114" t="s">
        <v>909</v>
      </c>
      <c r="G734" s="114"/>
      <c r="H734" s="114"/>
      <c r="I734" s="114"/>
      <c r="J734" s="114"/>
      <c r="K734" s="114"/>
      <c r="L734" s="114"/>
      <c r="M734" s="114"/>
      <c r="N734" s="114">
        <v>255</v>
      </c>
      <c r="O734" s="180" t="s">
        <v>909</v>
      </c>
      <c r="P734" s="180" t="s">
        <v>1191</v>
      </c>
      <c r="Q734" s="180" t="s">
        <v>909</v>
      </c>
      <c r="R734" s="180"/>
      <c r="S734" s="179"/>
      <c r="T734" s="179" t="s">
        <v>4334</v>
      </c>
      <c r="U734" s="179" t="s">
        <v>4335</v>
      </c>
      <c r="V734" s="179"/>
      <c r="W734" s="114" t="str">
        <f>CONCATENATE("0x",TEXT(DEC2HEX(HEX2DEC("1")*256+(31)*2),"0000"))</f>
        <v>0x13E</v>
      </c>
      <c r="X734" s="179"/>
      <c r="Y734" s="160"/>
      <c r="Z734" s="161"/>
      <c r="AA734" s="162"/>
      <c r="AB734" s="160"/>
      <c r="AC734" s="159"/>
      <c r="AD734" s="159"/>
      <c r="AE734" s="159"/>
      <c r="AF734" s="159"/>
      <c r="AG734" s="159"/>
      <c r="AH734" s="159"/>
      <c r="AI734" s="159"/>
      <c r="AJ734" s="159"/>
      <c r="AK734" s="159"/>
      <c r="AL734" s="159"/>
      <c r="AM734" s="159"/>
      <c r="AN734" s="159"/>
      <c r="AO734" s="159"/>
      <c r="AP734" s="159"/>
      <c r="AQ734" s="159"/>
      <c r="AR734" s="159"/>
      <c r="AS734" s="159"/>
      <c r="AT734" s="159"/>
      <c r="AU734" s="159"/>
      <c r="AV734" s="159"/>
      <c r="AW734" s="159"/>
    </row>
    <row r="735" spans="1:49" s="157" customFormat="1" x14ac:dyDescent="0.25">
      <c r="A735" s="114">
        <v>733</v>
      </c>
      <c r="B735" s="179" t="s">
        <v>4336</v>
      </c>
      <c r="C735" s="114">
        <v>0</v>
      </c>
      <c r="D735" s="114" t="s">
        <v>991</v>
      </c>
      <c r="E735" s="203" t="s">
        <v>929</v>
      </c>
      <c r="F735" s="114" t="s">
        <v>909</v>
      </c>
      <c r="G735" s="114"/>
      <c r="H735" s="114"/>
      <c r="I735" s="114"/>
      <c r="J735" s="114"/>
      <c r="K735" s="114"/>
      <c r="L735" s="114"/>
      <c r="M735" s="114"/>
      <c r="N735" s="114">
        <v>255</v>
      </c>
      <c r="O735" s="180" t="s">
        <v>909</v>
      </c>
      <c r="P735" s="180" t="s">
        <v>1222</v>
      </c>
      <c r="Q735" s="180" t="s">
        <v>909</v>
      </c>
      <c r="R735" s="180"/>
      <c r="S735" s="179"/>
      <c r="T735" s="179" t="s">
        <v>4336</v>
      </c>
      <c r="U735" s="179" t="s">
        <v>4336</v>
      </c>
      <c r="V735" s="179"/>
      <c r="W735" s="114" t="str">
        <f>CONCATENATE("0x",TEXT(DEC2HEX(HEX2DEC("3")*256+(5)*2),"0000"))</f>
        <v>0x30A</v>
      </c>
      <c r="X735" s="179"/>
      <c r="Y735" s="160"/>
      <c r="Z735" s="161"/>
      <c r="AA735" s="162"/>
      <c r="AB735" s="160"/>
      <c r="AC735" s="159"/>
      <c r="AD735" s="159"/>
      <c r="AE735" s="159"/>
      <c r="AF735" s="159"/>
      <c r="AG735" s="159"/>
      <c r="AH735" s="159"/>
      <c r="AI735" s="159"/>
      <c r="AJ735" s="159"/>
      <c r="AK735" s="159"/>
      <c r="AL735" s="159"/>
      <c r="AM735" s="159"/>
      <c r="AN735" s="159"/>
      <c r="AO735" s="159"/>
      <c r="AP735" s="159"/>
      <c r="AQ735" s="159"/>
      <c r="AR735" s="159"/>
      <c r="AS735" s="159"/>
      <c r="AT735" s="159"/>
      <c r="AU735" s="159"/>
      <c r="AV735" s="159"/>
      <c r="AW735" s="159"/>
    </row>
    <row r="736" spans="1:49" s="157" customFormat="1" x14ac:dyDescent="0.25">
      <c r="A736" s="114">
        <v>734</v>
      </c>
      <c r="B736" s="179" t="s">
        <v>4337</v>
      </c>
      <c r="C736" s="114">
        <v>0</v>
      </c>
      <c r="D736" s="114" t="s">
        <v>991</v>
      </c>
      <c r="E736" s="203" t="s">
        <v>929</v>
      </c>
      <c r="F736" s="114" t="s">
        <v>909</v>
      </c>
      <c r="G736" s="114"/>
      <c r="H736" s="114"/>
      <c r="I736" s="114"/>
      <c r="J736" s="114"/>
      <c r="K736" s="114"/>
      <c r="L736" s="114"/>
      <c r="M736" s="114"/>
      <c r="N736" s="114">
        <v>255</v>
      </c>
      <c r="O736" s="180" t="s">
        <v>1838</v>
      </c>
      <c r="P736" s="180" t="s">
        <v>4338</v>
      </c>
      <c r="Q736" s="180" t="s">
        <v>1838</v>
      </c>
      <c r="R736" s="180"/>
      <c r="S736" s="179"/>
      <c r="T736" s="179" t="s">
        <v>4337</v>
      </c>
      <c r="U736" s="179" t="s">
        <v>4337</v>
      </c>
      <c r="V736" s="179"/>
      <c r="W736" s="114" t="str">
        <f>CONCATENATE("0x",TEXT(DEC2HEX(HEX2DEC("3")*256+(0)*2),"0000"))</f>
        <v>0x0300</v>
      </c>
      <c r="X736" s="179"/>
      <c r="Y736" s="160"/>
      <c r="Z736" s="161"/>
      <c r="AA736" s="162"/>
      <c r="AB736" s="160"/>
      <c r="AC736" s="159"/>
      <c r="AD736" s="159"/>
      <c r="AE736" s="159"/>
      <c r="AF736" s="159"/>
      <c r="AG736" s="159"/>
      <c r="AH736" s="159"/>
      <c r="AI736" s="159"/>
      <c r="AJ736" s="159"/>
      <c r="AK736" s="159"/>
      <c r="AL736" s="159"/>
      <c r="AM736" s="159"/>
      <c r="AN736" s="159"/>
      <c r="AO736" s="159"/>
      <c r="AP736" s="159"/>
      <c r="AQ736" s="159"/>
      <c r="AR736" s="159"/>
      <c r="AS736" s="159"/>
      <c r="AT736" s="159"/>
      <c r="AU736" s="159"/>
      <c r="AV736" s="159"/>
      <c r="AW736" s="159"/>
    </row>
    <row r="737" spans="1:55" s="157" customFormat="1" x14ac:dyDescent="0.3">
      <c r="A737" s="114">
        <v>735</v>
      </c>
      <c r="B737" s="179" t="s">
        <v>4339</v>
      </c>
      <c r="C737" s="114">
        <v>0</v>
      </c>
      <c r="D737" s="114" t="s">
        <v>991</v>
      </c>
      <c r="E737" s="114" t="s">
        <v>929</v>
      </c>
      <c r="F737" s="114" t="s">
        <v>909</v>
      </c>
      <c r="G737" s="114"/>
      <c r="H737" s="114"/>
      <c r="I737" s="114"/>
      <c r="J737" s="114"/>
      <c r="K737" s="114"/>
      <c r="L737" s="114"/>
      <c r="M737" s="114"/>
      <c r="N737" s="114">
        <v>255</v>
      </c>
      <c r="O737" s="180" t="s">
        <v>909</v>
      </c>
      <c r="P737" s="180" t="s">
        <v>4340</v>
      </c>
      <c r="Q737" s="180" t="s">
        <v>909</v>
      </c>
      <c r="R737" s="180"/>
      <c r="S737" s="179"/>
      <c r="T737" s="181" t="s">
        <v>4339</v>
      </c>
      <c r="U737" s="179" t="s">
        <v>4339</v>
      </c>
      <c r="V737" s="179"/>
      <c r="W737" s="114" t="str">
        <f>CONCATENATE("0x",TEXT(DEC2HEX(HEX2DEC("3")*256+(1)*2),"0000"))</f>
        <v>0x0302</v>
      </c>
      <c r="X737" s="179"/>
      <c r="Y737" s="160"/>
      <c r="Z737" s="161"/>
      <c r="AA737" s="162"/>
      <c r="AB737" s="160"/>
      <c r="AC737" s="159"/>
      <c r="AD737" s="159"/>
      <c r="AE737" s="159"/>
      <c r="AF737" s="159"/>
      <c r="AG737" s="159"/>
      <c r="AH737" s="159"/>
      <c r="AI737" s="159"/>
      <c r="AJ737" s="159"/>
      <c r="AK737" s="159"/>
      <c r="AL737" s="159"/>
      <c r="AM737" s="159"/>
      <c r="AN737" s="159"/>
      <c r="AO737" s="159"/>
      <c r="AP737" s="159"/>
      <c r="AQ737" s="159"/>
      <c r="AR737" s="159"/>
      <c r="AS737" s="159"/>
      <c r="AT737" s="159"/>
      <c r="AU737" s="159"/>
      <c r="AV737" s="159"/>
      <c r="AW737" s="159"/>
    </row>
    <row r="738" spans="1:55" s="157" customFormat="1" x14ac:dyDescent="0.3">
      <c r="A738" s="114">
        <v>736</v>
      </c>
      <c r="B738" s="179" t="s">
        <v>4341</v>
      </c>
      <c r="C738" s="114">
        <v>0</v>
      </c>
      <c r="D738" s="114" t="s">
        <v>991</v>
      </c>
      <c r="E738" s="114" t="s">
        <v>929</v>
      </c>
      <c r="F738" s="114" t="s">
        <v>909</v>
      </c>
      <c r="G738" s="114"/>
      <c r="H738" s="114"/>
      <c r="I738" s="114"/>
      <c r="J738" s="114"/>
      <c r="K738" s="114"/>
      <c r="L738" s="114"/>
      <c r="M738" s="114"/>
      <c r="N738" s="114">
        <v>255</v>
      </c>
      <c r="O738" s="180" t="s">
        <v>909</v>
      </c>
      <c r="P738" s="180" t="s">
        <v>4342</v>
      </c>
      <c r="Q738" s="180" t="s">
        <v>909</v>
      </c>
      <c r="R738" s="180"/>
      <c r="S738" s="179"/>
      <c r="T738" s="181" t="s">
        <v>4341</v>
      </c>
      <c r="U738" s="179" t="s">
        <v>4341</v>
      </c>
      <c r="V738" s="179"/>
      <c r="W738" s="114" t="str">
        <f>CONCATENATE("0x",TEXT(DEC2HEX(HEX2DEC("3")*256+(2)*2),"0000"))</f>
        <v>0x0304</v>
      </c>
      <c r="X738" s="179"/>
      <c r="Y738" s="160"/>
      <c r="Z738" s="161"/>
      <c r="AA738" s="162"/>
      <c r="AB738" s="160"/>
      <c r="AC738" s="159"/>
      <c r="AD738" s="159"/>
      <c r="AE738" s="159"/>
      <c r="AF738" s="159"/>
      <c r="AG738" s="159"/>
      <c r="AH738" s="159"/>
      <c r="AI738" s="159"/>
      <c r="AJ738" s="159"/>
      <c r="AK738" s="159"/>
      <c r="AL738" s="159"/>
      <c r="AM738" s="159"/>
      <c r="AN738" s="159"/>
      <c r="AO738" s="159"/>
      <c r="AP738" s="159"/>
      <c r="AQ738" s="159"/>
      <c r="AR738" s="159"/>
      <c r="AS738" s="159"/>
      <c r="AT738" s="159"/>
      <c r="AU738" s="159"/>
      <c r="AV738" s="159"/>
      <c r="AW738" s="159"/>
    </row>
    <row r="739" spans="1:55" s="157" customFormat="1" x14ac:dyDescent="0.3">
      <c r="A739" s="159"/>
      <c r="C739" s="159"/>
      <c r="D739" s="159"/>
      <c r="E739" s="159"/>
      <c r="F739" s="159"/>
      <c r="G739" s="159"/>
      <c r="H739" s="159"/>
      <c r="I739" s="159"/>
      <c r="J739" s="159"/>
      <c r="K739" s="159"/>
      <c r="L739" s="159"/>
      <c r="M739" s="159"/>
      <c r="N739" s="159"/>
      <c r="O739" s="205"/>
      <c r="P739" s="205"/>
      <c r="Q739" s="205"/>
      <c r="R739" s="205"/>
      <c r="T739" s="158"/>
      <c r="W739" s="159"/>
      <c r="Y739" s="160"/>
      <c r="Z739" s="161"/>
      <c r="AA739" s="162"/>
      <c r="AB739" s="160"/>
      <c r="AC739" s="159"/>
      <c r="AD739" s="159"/>
      <c r="AE739" s="159"/>
      <c r="AF739" s="159"/>
      <c r="AG739" s="159"/>
      <c r="AH739" s="159"/>
      <c r="AI739" s="159"/>
      <c r="AJ739" s="159"/>
      <c r="AK739" s="159"/>
      <c r="AL739" s="159"/>
      <c r="AM739" s="159"/>
      <c r="AN739" s="159"/>
      <c r="AO739" s="159"/>
      <c r="AP739" s="159"/>
      <c r="AQ739" s="159"/>
      <c r="AR739" s="159"/>
      <c r="AS739" s="159"/>
      <c r="AT739" s="159"/>
      <c r="AU739" s="159"/>
      <c r="AV739" s="159"/>
      <c r="AW739" s="159"/>
    </row>
    <row r="740" spans="1:55" s="157" customFormat="1" x14ac:dyDescent="0.3">
      <c r="A740" s="159"/>
      <c r="C740" s="159"/>
      <c r="D740" s="159"/>
      <c r="E740" s="159"/>
      <c r="F740" s="159"/>
      <c r="G740" s="159"/>
      <c r="H740" s="159"/>
      <c r="I740" s="159"/>
      <c r="J740" s="159"/>
      <c r="K740" s="159"/>
      <c r="L740" s="159"/>
      <c r="M740" s="159"/>
      <c r="N740" s="159"/>
      <c r="O740" s="205"/>
      <c r="P740" s="205"/>
      <c r="Q740" s="205"/>
      <c r="R740" s="205"/>
      <c r="T740" s="158"/>
      <c r="W740" s="159"/>
      <c r="Y740" s="160"/>
      <c r="Z740" s="161"/>
      <c r="AA740" s="162"/>
      <c r="AB740" s="160"/>
      <c r="AC740" s="159"/>
      <c r="AD740" s="159"/>
      <c r="AE740" s="159"/>
      <c r="AF740" s="159"/>
      <c r="AG740" s="159"/>
      <c r="AH740" s="159"/>
      <c r="AI740" s="159"/>
      <c r="AJ740" s="159"/>
      <c r="AK740" s="159"/>
      <c r="AL740" s="159"/>
      <c r="AM740" s="159"/>
      <c r="AN740" s="159"/>
      <c r="AO740" s="159"/>
      <c r="AP740" s="159"/>
      <c r="AQ740" s="159"/>
      <c r="AR740" s="159"/>
      <c r="AS740" s="159"/>
      <c r="AT740" s="159"/>
      <c r="AU740" s="159"/>
      <c r="AV740" s="159"/>
      <c r="AW740" s="159"/>
    </row>
    <row r="741" spans="1:55" s="157" customFormat="1" x14ac:dyDescent="0.3">
      <c r="A741" s="159"/>
      <c r="C741" s="159"/>
      <c r="D741" s="159"/>
      <c r="E741" s="159"/>
      <c r="F741" s="159"/>
      <c r="G741" s="159"/>
      <c r="H741" s="159"/>
      <c r="I741" s="159"/>
      <c r="J741" s="159"/>
      <c r="K741" s="159"/>
      <c r="L741" s="159"/>
      <c r="M741" s="159"/>
      <c r="N741" s="159"/>
      <c r="O741" s="205"/>
      <c r="P741" s="205"/>
      <c r="Q741" s="205"/>
      <c r="R741" s="205"/>
      <c r="T741" s="158"/>
      <c r="W741" s="159"/>
      <c r="Y741" s="160"/>
      <c r="Z741" s="161"/>
      <c r="AA741" s="162"/>
      <c r="AB741" s="160"/>
      <c r="AC741" s="159"/>
      <c r="AD741" s="159"/>
      <c r="AE741" s="159"/>
      <c r="AF741" s="159"/>
      <c r="AG741" s="159"/>
      <c r="AH741" s="159"/>
      <c r="AI741" s="159"/>
      <c r="AJ741" s="159"/>
      <c r="AK741" s="159"/>
      <c r="AL741" s="159"/>
      <c r="AM741" s="159"/>
      <c r="AN741" s="159"/>
      <c r="AO741" s="159"/>
      <c r="AP741" s="159"/>
      <c r="AQ741" s="159"/>
      <c r="AR741" s="159"/>
      <c r="AS741" s="159"/>
      <c r="AT741" s="159"/>
      <c r="AU741" s="159"/>
      <c r="AV741" s="159"/>
      <c r="AW741" s="159"/>
    </row>
    <row r="742" spans="1:55" s="157" customFormat="1" x14ac:dyDescent="0.3">
      <c r="A742" s="159"/>
      <c r="C742" s="159"/>
      <c r="D742" s="159"/>
      <c r="E742" s="159"/>
      <c r="F742" s="159"/>
      <c r="G742" s="159"/>
      <c r="H742" s="159"/>
      <c r="I742" s="159"/>
      <c r="J742" s="159"/>
      <c r="K742" s="159"/>
      <c r="L742" s="159"/>
      <c r="M742" s="159"/>
      <c r="N742" s="159"/>
      <c r="O742" s="205"/>
      <c r="P742" s="205"/>
      <c r="Q742" s="205"/>
      <c r="R742" s="205"/>
      <c r="T742" s="158"/>
      <c r="W742" s="159"/>
      <c r="Y742" s="160"/>
      <c r="Z742" s="161"/>
      <c r="AA742" s="162"/>
      <c r="AB742" s="160"/>
      <c r="AC742" s="159"/>
      <c r="AD742" s="159"/>
      <c r="AE742" s="159"/>
      <c r="AF742" s="159"/>
      <c r="AG742" s="159"/>
      <c r="AH742" s="159"/>
      <c r="AI742" s="159"/>
      <c r="AJ742" s="159"/>
      <c r="AK742" s="159"/>
      <c r="AL742" s="159"/>
      <c r="AM742" s="159"/>
      <c r="AN742" s="159"/>
      <c r="AO742" s="159"/>
      <c r="AP742" s="159"/>
      <c r="AQ742" s="159"/>
      <c r="AR742" s="159"/>
      <c r="AS742" s="159"/>
      <c r="AT742" s="159"/>
      <c r="AU742" s="159"/>
      <c r="AV742" s="159"/>
      <c r="AW742" s="159"/>
    </row>
    <row r="743" spans="1:55" s="157" customFormat="1" x14ac:dyDescent="0.3">
      <c r="A743" s="159"/>
      <c r="C743" s="159"/>
      <c r="D743" s="159"/>
      <c r="E743" s="159"/>
      <c r="F743" s="159"/>
      <c r="G743" s="159"/>
      <c r="H743" s="159"/>
      <c r="I743" s="159"/>
      <c r="J743" s="159"/>
      <c r="K743" s="159"/>
      <c r="L743" s="159"/>
      <c r="M743" s="159"/>
      <c r="N743" s="159"/>
      <c r="O743" s="205"/>
      <c r="P743" s="205"/>
      <c r="Q743" s="205"/>
      <c r="R743" s="205"/>
      <c r="T743" s="158"/>
      <c r="W743" s="159"/>
      <c r="Y743" s="160"/>
      <c r="Z743" s="161"/>
      <c r="AA743" s="162"/>
      <c r="AB743" s="160"/>
      <c r="AC743" s="159"/>
      <c r="AD743" s="159"/>
      <c r="AE743" s="159"/>
      <c r="AF743" s="159"/>
      <c r="AG743" s="159"/>
      <c r="AH743" s="159"/>
      <c r="AI743" s="159"/>
      <c r="AJ743" s="159"/>
      <c r="AK743" s="159"/>
      <c r="AL743" s="159"/>
      <c r="AM743" s="159"/>
      <c r="AN743" s="159"/>
      <c r="AO743" s="159"/>
      <c r="AP743" s="159"/>
      <c r="AQ743" s="159"/>
      <c r="AR743" s="159"/>
      <c r="AS743" s="159"/>
      <c r="AT743" s="159"/>
      <c r="AU743" s="159"/>
      <c r="AV743" s="159"/>
      <c r="AW743" s="159"/>
    </row>
    <row r="744" spans="1:55" s="157" customFormat="1" x14ac:dyDescent="0.3">
      <c r="A744" s="159"/>
      <c r="C744" s="159"/>
      <c r="D744" s="159"/>
      <c r="E744" s="159"/>
      <c r="F744" s="159"/>
      <c r="G744" s="159"/>
      <c r="H744" s="159"/>
      <c r="I744" s="159"/>
      <c r="J744" s="159"/>
      <c r="K744" s="159"/>
      <c r="L744" s="159"/>
      <c r="M744" s="159"/>
      <c r="N744" s="159"/>
      <c r="O744" s="205"/>
      <c r="P744" s="205"/>
      <c r="Q744" s="205"/>
      <c r="R744" s="205"/>
      <c r="T744" s="158"/>
      <c r="W744" s="159"/>
      <c r="Y744" s="160"/>
      <c r="Z744" s="161"/>
      <c r="AA744" s="162"/>
      <c r="AB744" s="160"/>
      <c r="AC744" s="159"/>
      <c r="AD744" s="159"/>
      <c r="AE744" s="159"/>
      <c r="AF744" s="159"/>
      <c r="AG744" s="159"/>
      <c r="AH744" s="159"/>
      <c r="AI744" s="159"/>
      <c r="AJ744" s="159"/>
      <c r="AK744" s="159"/>
      <c r="AL744" s="159"/>
      <c r="AM744" s="159"/>
      <c r="AN744" s="159"/>
      <c r="AO744" s="159"/>
      <c r="AP744" s="159"/>
      <c r="AQ744" s="159"/>
      <c r="AR744" s="159"/>
      <c r="AS744" s="159"/>
      <c r="AT744" s="159"/>
      <c r="AU744" s="159"/>
      <c r="AV744" s="159"/>
      <c r="AW744" s="159"/>
    </row>
    <row r="745" spans="1:55" x14ac:dyDescent="0.3">
      <c r="A745" s="159"/>
      <c r="B745" s="157"/>
      <c r="C745" s="159"/>
      <c r="D745" s="159"/>
      <c r="E745" s="159"/>
      <c r="F745" s="159"/>
      <c r="G745" s="159"/>
      <c r="H745" s="159"/>
      <c r="I745" s="159"/>
      <c r="J745" s="159"/>
      <c r="K745" s="159"/>
      <c r="L745" s="159"/>
      <c r="M745" s="159"/>
      <c r="N745" s="159"/>
      <c r="O745" s="205"/>
      <c r="P745" s="205"/>
      <c r="Q745" s="205"/>
      <c r="R745" s="205"/>
      <c r="X745" s="157"/>
      <c r="AB745" s="160"/>
      <c r="AC745" s="159"/>
      <c r="AD745" s="159"/>
      <c r="AE745" s="159"/>
      <c r="AF745" s="159"/>
      <c r="AG745" s="159"/>
      <c r="AH745" s="159"/>
      <c r="AI745" s="159"/>
      <c r="AJ745" s="159"/>
      <c r="AK745" s="159"/>
      <c r="AL745" s="159"/>
      <c r="AM745" s="159"/>
      <c r="AN745" s="159"/>
      <c r="AO745" s="159"/>
      <c r="AP745" s="159"/>
      <c r="AQ745" s="159"/>
      <c r="AR745" s="159"/>
      <c r="AS745" s="159"/>
      <c r="AT745" s="159"/>
      <c r="AU745" s="159"/>
      <c r="AV745" s="159"/>
      <c r="AW745" s="159"/>
      <c r="AX745" s="157"/>
      <c r="AY745" s="157"/>
      <c r="AZ745" s="157"/>
      <c r="BA745" s="157"/>
      <c r="BB745" s="157"/>
      <c r="BC745" s="157"/>
    </row>
    <row r="746" spans="1:55" x14ac:dyDescent="0.3">
      <c r="A746" s="159"/>
      <c r="B746" s="157"/>
      <c r="C746" s="159"/>
      <c r="D746" s="159"/>
      <c r="E746" s="159"/>
      <c r="F746" s="159"/>
      <c r="G746" s="159"/>
      <c r="H746" s="159"/>
      <c r="I746" s="159"/>
      <c r="J746" s="159"/>
      <c r="K746" s="159"/>
      <c r="L746" s="159"/>
      <c r="M746" s="159"/>
      <c r="N746" s="159"/>
      <c r="O746" s="205"/>
      <c r="P746" s="205"/>
      <c r="Q746" s="205"/>
      <c r="R746" s="205"/>
      <c r="X746" s="157"/>
      <c r="AB746" s="160"/>
      <c r="AC746" s="159"/>
      <c r="AD746" s="159"/>
      <c r="AE746" s="159"/>
      <c r="AF746" s="159"/>
      <c r="AG746" s="159"/>
      <c r="AH746" s="159"/>
      <c r="AI746" s="159"/>
      <c r="AJ746" s="159"/>
      <c r="AK746" s="159"/>
      <c r="AL746" s="159"/>
      <c r="AM746" s="159"/>
      <c r="AN746" s="159"/>
      <c r="AO746" s="159"/>
      <c r="AP746" s="159"/>
      <c r="AQ746" s="159"/>
      <c r="AR746" s="159"/>
      <c r="AS746" s="159"/>
      <c r="AT746" s="159"/>
      <c r="AU746" s="159"/>
      <c r="AV746" s="159"/>
      <c r="AW746" s="159"/>
      <c r="AX746" s="157"/>
      <c r="AY746" s="157"/>
      <c r="AZ746" s="157"/>
      <c r="BA746" s="157"/>
      <c r="BB746" s="157"/>
      <c r="BC746" s="157"/>
    </row>
    <row r="747" spans="1:55" x14ac:dyDescent="0.3">
      <c r="A747" s="159"/>
      <c r="B747" s="157"/>
      <c r="C747" s="159"/>
      <c r="D747" s="159"/>
      <c r="E747" s="159"/>
      <c r="F747" s="159"/>
      <c r="G747" s="159"/>
      <c r="H747" s="159"/>
      <c r="I747" s="159"/>
      <c r="J747" s="159"/>
      <c r="K747" s="159"/>
      <c r="L747" s="159"/>
      <c r="M747" s="159"/>
      <c r="N747" s="159"/>
      <c r="O747" s="205"/>
      <c r="P747" s="205"/>
      <c r="Q747" s="205"/>
      <c r="R747" s="205"/>
      <c r="X747" s="157"/>
      <c r="AB747" s="160"/>
      <c r="AC747" s="159"/>
      <c r="AD747" s="159"/>
      <c r="AE747" s="159"/>
      <c r="AF747" s="159"/>
      <c r="AG747" s="159"/>
      <c r="AH747" s="159"/>
      <c r="AI747" s="159"/>
      <c r="AJ747" s="159"/>
      <c r="AK747" s="159"/>
      <c r="AL747" s="159"/>
      <c r="AM747" s="159"/>
      <c r="AN747" s="159"/>
      <c r="AO747" s="159"/>
      <c r="AP747" s="159"/>
      <c r="AQ747" s="159"/>
      <c r="AR747" s="159"/>
      <c r="AS747" s="159"/>
      <c r="AT747" s="159"/>
      <c r="AU747" s="159"/>
      <c r="AV747" s="159"/>
      <c r="AW747" s="159"/>
      <c r="AX747" s="157"/>
      <c r="AY747" s="157"/>
      <c r="AZ747" s="157"/>
      <c r="BA747" s="157"/>
      <c r="BB747" s="157"/>
      <c r="BC747" s="157"/>
    </row>
    <row r="748" spans="1:55" x14ac:dyDescent="0.3">
      <c r="A748" s="214"/>
      <c r="C748" s="214"/>
      <c r="D748" s="214"/>
      <c r="E748" s="214"/>
      <c r="F748" s="214"/>
      <c r="G748" s="214"/>
      <c r="H748" s="214"/>
      <c r="I748" s="214"/>
      <c r="J748" s="214"/>
      <c r="K748" s="214"/>
      <c r="L748" s="214"/>
      <c r="M748" s="214"/>
      <c r="N748" s="214"/>
      <c r="X748" s="157"/>
      <c r="AC748" s="214"/>
      <c r="AD748" s="214"/>
      <c r="AE748" s="214"/>
      <c r="AF748" s="214"/>
      <c r="AG748" s="214"/>
      <c r="AH748" s="214"/>
      <c r="AI748" s="214"/>
      <c r="AJ748" s="214"/>
      <c r="AK748" s="214"/>
      <c r="AL748" s="214"/>
      <c r="AM748" s="214"/>
      <c r="AN748" s="214"/>
      <c r="AO748" s="214"/>
      <c r="AP748" s="214"/>
      <c r="AQ748" s="214"/>
      <c r="AR748" s="214"/>
      <c r="AS748" s="214"/>
      <c r="AT748" s="214"/>
      <c r="AU748" s="214"/>
      <c r="AV748" s="214"/>
      <c r="AW748" s="214"/>
    </row>
    <row r="749" spans="1:55" x14ac:dyDescent="0.3">
      <c r="A749" s="214"/>
      <c r="C749" s="214"/>
      <c r="D749" s="214"/>
      <c r="E749" s="214"/>
      <c r="F749" s="214"/>
      <c r="G749" s="214"/>
      <c r="H749" s="214"/>
      <c r="I749" s="214"/>
      <c r="J749" s="214"/>
      <c r="K749" s="214"/>
      <c r="L749" s="214"/>
      <c r="M749" s="214"/>
      <c r="N749" s="214"/>
      <c r="X749" s="157"/>
      <c r="AC749" s="214"/>
      <c r="AD749" s="214"/>
      <c r="AE749" s="214"/>
      <c r="AF749" s="214"/>
      <c r="AG749" s="214"/>
      <c r="AH749" s="214"/>
      <c r="AI749" s="214"/>
      <c r="AJ749" s="214"/>
      <c r="AK749" s="214"/>
      <c r="AL749" s="214"/>
      <c r="AM749" s="214"/>
      <c r="AN749" s="214"/>
      <c r="AO749" s="214"/>
      <c r="AP749" s="214"/>
      <c r="AQ749" s="214"/>
      <c r="AR749" s="214"/>
      <c r="AS749" s="214"/>
      <c r="AT749" s="214"/>
      <c r="AU749" s="214"/>
      <c r="AV749" s="214"/>
      <c r="AW749" s="214"/>
    </row>
    <row r="750" spans="1:55" x14ac:dyDescent="0.3">
      <c r="A750" s="214"/>
      <c r="C750" s="214"/>
      <c r="D750" s="214"/>
      <c r="E750" s="214"/>
      <c r="F750" s="214"/>
      <c r="G750" s="214"/>
      <c r="H750" s="214"/>
      <c r="I750" s="214"/>
      <c r="J750" s="214"/>
      <c r="K750" s="214"/>
      <c r="L750" s="214"/>
      <c r="M750" s="214"/>
      <c r="N750" s="214"/>
      <c r="X750" s="157"/>
      <c r="AC750" s="214"/>
      <c r="AD750" s="214"/>
      <c r="AE750" s="214"/>
      <c r="AF750" s="214"/>
      <c r="AG750" s="214"/>
      <c r="AH750" s="214"/>
      <c r="AI750" s="214"/>
      <c r="AJ750" s="214"/>
      <c r="AK750" s="214"/>
      <c r="AL750" s="214"/>
      <c r="AM750" s="214"/>
      <c r="AN750" s="214"/>
      <c r="AO750" s="214"/>
      <c r="AP750" s="214"/>
      <c r="AQ750" s="214"/>
      <c r="AR750" s="214"/>
      <c r="AS750" s="214"/>
      <c r="AT750" s="214"/>
      <c r="AU750" s="214"/>
      <c r="AV750" s="214"/>
      <c r="AW750" s="214"/>
    </row>
    <row r="751" spans="1:55" x14ac:dyDescent="0.3">
      <c r="A751" s="214"/>
      <c r="C751" s="214"/>
      <c r="D751" s="214"/>
      <c r="E751" s="214"/>
      <c r="F751" s="214"/>
      <c r="G751" s="214"/>
      <c r="H751" s="214"/>
      <c r="I751" s="214"/>
      <c r="J751" s="214"/>
      <c r="K751" s="214"/>
      <c r="L751" s="214"/>
      <c r="M751" s="214"/>
      <c r="N751" s="214"/>
      <c r="X751" s="157"/>
      <c r="AC751" s="214"/>
      <c r="AD751" s="214"/>
      <c r="AE751" s="214"/>
      <c r="AF751" s="214"/>
      <c r="AG751" s="214"/>
      <c r="AH751" s="214"/>
      <c r="AI751" s="214"/>
      <c r="AJ751" s="214"/>
      <c r="AK751" s="214"/>
      <c r="AL751" s="214"/>
      <c r="AM751" s="214"/>
      <c r="AN751" s="214"/>
      <c r="AO751" s="214"/>
      <c r="AP751" s="214"/>
      <c r="AQ751" s="214"/>
      <c r="AR751" s="214"/>
      <c r="AS751" s="214"/>
      <c r="AT751" s="214"/>
      <c r="AU751" s="214"/>
      <c r="AV751" s="214"/>
      <c r="AW751" s="214"/>
    </row>
    <row r="752" spans="1:55" x14ac:dyDescent="0.3">
      <c r="A752" s="214"/>
      <c r="C752" s="214"/>
      <c r="D752" s="214"/>
      <c r="E752" s="214"/>
      <c r="F752" s="214"/>
      <c r="G752" s="214"/>
      <c r="H752" s="214"/>
      <c r="I752" s="214"/>
      <c r="J752" s="214"/>
      <c r="K752" s="214"/>
      <c r="L752" s="214"/>
      <c r="M752" s="214"/>
      <c r="N752" s="214"/>
      <c r="X752" s="157"/>
      <c r="AC752" s="214"/>
      <c r="AD752" s="214"/>
      <c r="AE752" s="214"/>
      <c r="AF752" s="214"/>
      <c r="AG752" s="214"/>
      <c r="AH752" s="214"/>
      <c r="AI752" s="214"/>
      <c r="AJ752" s="214"/>
      <c r="AK752" s="214"/>
      <c r="AL752" s="214"/>
      <c r="AM752" s="214"/>
      <c r="AN752" s="214"/>
      <c r="AO752" s="214"/>
      <c r="AP752" s="214"/>
      <c r="AQ752" s="214"/>
      <c r="AR752" s="214"/>
      <c r="AS752" s="214"/>
      <c r="AT752" s="214"/>
      <c r="AU752" s="214"/>
      <c r="AV752" s="214"/>
      <c r="AW752" s="214"/>
    </row>
    <row r="753" spans="24:33" x14ac:dyDescent="0.3">
      <c r="X753" s="157"/>
      <c r="AC753" s="214"/>
      <c r="AD753" s="214"/>
      <c r="AE753" s="214"/>
      <c r="AF753" s="214"/>
      <c r="AG753" s="214"/>
    </row>
    <row r="754" spans="24:33" x14ac:dyDescent="0.3">
      <c r="X754" s="157"/>
      <c r="AC754" s="214"/>
      <c r="AD754" s="214"/>
      <c r="AE754" s="214"/>
      <c r="AF754" s="214"/>
      <c r="AG754" s="214"/>
    </row>
    <row r="755" spans="24:33" x14ac:dyDescent="0.3">
      <c r="X755" s="157"/>
      <c r="AC755" s="214"/>
      <c r="AD755" s="214"/>
      <c r="AE755" s="214"/>
      <c r="AF755" s="214"/>
      <c r="AG755" s="214"/>
    </row>
    <row r="756" spans="24:33" x14ac:dyDescent="0.3">
      <c r="X756" s="157"/>
      <c r="AC756" s="214"/>
      <c r="AD756" s="214"/>
      <c r="AE756" s="214"/>
      <c r="AF756" s="214"/>
      <c r="AG756" s="214"/>
    </row>
    <row r="757" spans="24:33" x14ac:dyDescent="0.3">
      <c r="X757" s="157"/>
      <c r="AC757" s="214"/>
      <c r="AD757" s="214"/>
      <c r="AE757" s="214"/>
      <c r="AF757" s="214"/>
      <c r="AG757" s="214"/>
    </row>
    <row r="758" spans="24:33" x14ac:dyDescent="0.3">
      <c r="X758" s="157"/>
      <c r="AC758" s="214"/>
      <c r="AD758" s="214"/>
      <c r="AE758" s="214"/>
      <c r="AF758" s="214"/>
      <c r="AG758" s="214"/>
    </row>
    <row r="759" spans="24:33" x14ac:dyDescent="0.3">
      <c r="X759" s="157"/>
      <c r="AC759" s="214"/>
      <c r="AD759" s="214"/>
      <c r="AE759" s="214"/>
      <c r="AF759" s="214"/>
      <c r="AG759" s="214"/>
    </row>
    <row r="760" spans="24:33" x14ac:dyDescent="0.3">
      <c r="X760" s="157"/>
      <c r="AC760" s="214"/>
      <c r="AD760" s="214"/>
      <c r="AE760" s="214"/>
      <c r="AF760" s="214"/>
      <c r="AG760" s="214"/>
    </row>
    <row r="761" spans="24:33" x14ac:dyDescent="0.3">
      <c r="X761" s="157"/>
      <c r="AC761" s="214"/>
      <c r="AD761" s="214"/>
      <c r="AE761" s="214"/>
      <c r="AF761" s="214"/>
      <c r="AG761" s="214"/>
    </row>
    <row r="762" spans="24:33" x14ac:dyDescent="0.3">
      <c r="X762" s="157"/>
      <c r="AC762" s="214"/>
      <c r="AD762" s="214"/>
      <c r="AE762" s="214"/>
      <c r="AF762" s="214"/>
      <c r="AG762" s="214"/>
    </row>
    <row r="763" spans="24:33" x14ac:dyDescent="0.3">
      <c r="X763" s="157"/>
      <c r="AC763" s="214"/>
      <c r="AD763" s="214"/>
      <c r="AE763" s="214"/>
      <c r="AF763" s="214"/>
      <c r="AG763" s="214"/>
    </row>
    <row r="764" spans="24:33" x14ac:dyDescent="0.3">
      <c r="X764" s="157"/>
      <c r="AC764" s="214"/>
      <c r="AD764" s="214"/>
      <c r="AE764" s="214"/>
      <c r="AF764" s="214"/>
      <c r="AG764" s="214"/>
    </row>
    <row r="765" spans="24:33" x14ac:dyDescent="0.3">
      <c r="X765" s="157"/>
      <c r="AC765" s="214"/>
      <c r="AD765" s="214"/>
      <c r="AE765" s="214"/>
      <c r="AF765" s="214"/>
      <c r="AG765" s="214"/>
    </row>
    <row r="766" spans="24:33" x14ac:dyDescent="0.3">
      <c r="X766" s="157"/>
      <c r="AC766" s="214"/>
      <c r="AD766" s="214"/>
      <c r="AE766" s="214"/>
      <c r="AF766" s="214"/>
      <c r="AG766" s="214"/>
    </row>
    <row r="767" spans="24:33" x14ac:dyDescent="0.3">
      <c r="X767" s="157"/>
      <c r="AC767" s="214"/>
      <c r="AD767" s="214"/>
      <c r="AE767" s="214"/>
      <c r="AF767" s="214"/>
      <c r="AG767" s="214"/>
    </row>
    <row r="768" spans="24:33" x14ac:dyDescent="0.3">
      <c r="X768" s="157"/>
      <c r="AC768" s="214"/>
      <c r="AD768" s="214"/>
      <c r="AE768" s="214"/>
      <c r="AF768" s="214"/>
      <c r="AG768" s="214"/>
    </row>
    <row r="769" spans="24:33" x14ac:dyDescent="0.3">
      <c r="X769" s="157"/>
      <c r="AC769" s="214"/>
      <c r="AD769" s="214"/>
      <c r="AE769" s="214"/>
      <c r="AF769" s="214"/>
      <c r="AG769" s="214"/>
    </row>
    <row r="770" spans="24:33" x14ac:dyDescent="0.3">
      <c r="X770" s="157"/>
      <c r="AC770" s="214"/>
      <c r="AD770" s="214"/>
      <c r="AE770" s="214"/>
      <c r="AF770" s="214"/>
      <c r="AG770" s="214"/>
    </row>
    <row r="771" spans="24:33" x14ac:dyDescent="0.3">
      <c r="X771" s="157"/>
      <c r="AC771" s="214"/>
      <c r="AD771" s="214"/>
      <c r="AE771" s="214"/>
      <c r="AF771" s="214"/>
      <c r="AG771" s="214"/>
    </row>
    <row r="772" spans="24:33" x14ac:dyDescent="0.3">
      <c r="X772" s="157"/>
      <c r="AC772" s="214"/>
      <c r="AD772" s="214"/>
      <c r="AE772" s="214"/>
      <c r="AF772" s="214"/>
      <c r="AG772" s="214"/>
    </row>
    <row r="773" spans="24:33" x14ac:dyDescent="0.3">
      <c r="X773" s="157"/>
      <c r="AC773" s="214"/>
      <c r="AD773" s="214"/>
      <c r="AE773" s="214"/>
      <c r="AF773" s="214"/>
      <c r="AG773" s="214"/>
    </row>
    <row r="774" spans="24:33" x14ac:dyDescent="0.3">
      <c r="X774" s="157"/>
      <c r="AC774" s="214"/>
      <c r="AD774" s="214"/>
      <c r="AE774" s="214"/>
      <c r="AF774" s="214"/>
      <c r="AG774" s="214"/>
    </row>
    <row r="775" spans="24:33" x14ac:dyDescent="0.3">
      <c r="X775" s="157"/>
      <c r="AC775" s="214"/>
      <c r="AD775" s="214"/>
      <c r="AE775" s="214"/>
      <c r="AF775" s="214"/>
      <c r="AG775" s="214"/>
    </row>
    <row r="776" spans="24:33" x14ac:dyDescent="0.3">
      <c r="X776" s="157"/>
      <c r="AC776" s="214"/>
      <c r="AD776" s="214"/>
      <c r="AE776" s="214"/>
      <c r="AF776" s="214"/>
      <c r="AG776" s="214"/>
    </row>
    <row r="777" spans="24:33" x14ac:dyDescent="0.3">
      <c r="X777" s="157"/>
      <c r="AC777" s="214"/>
      <c r="AD777" s="214"/>
      <c r="AE777" s="214"/>
      <c r="AF777" s="214"/>
      <c r="AG777" s="214"/>
    </row>
    <row r="778" spans="24:33" x14ac:dyDescent="0.3">
      <c r="X778" s="157"/>
      <c r="AC778" s="214"/>
      <c r="AD778" s="214"/>
      <c r="AE778" s="214"/>
      <c r="AF778" s="214"/>
      <c r="AG778" s="214"/>
    </row>
    <row r="779" spans="24:33" x14ac:dyDescent="0.3">
      <c r="X779" s="157"/>
      <c r="AC779" s="214"/>
      <c r="AD779" s="214"/>
      <c r="AE779" s="214"/>
      <c r="AF779" s="214"/>
      <c r="AG779" s="214"/>
    </row>
    <row r="780" spans="24:33" x14ac:dyDescent="0.3">
      <c r="X780" s="157"/>
      <c r="AC780" s="214"/>
      <c r="AD780" s="214"/>
      <c r="AE780" s="214"/>
      <c r="AF780" s="214"/>
      <c r="AG780" s="214"/>
    </row>
    <row r="781" spans="24:33" x14ac:dyDescent="0.3">
      <c r="X781" s="157"/>
      <c r="AC781" s="214"/>
      <c r="AD781" s="214"/>
      <c r="AE781" s="214"/>
      <c r="AF781" s="214"/>
      <c r="AG781" s="214"/>
    </row>
    <row r="782" spans="24:33" x14ac:dyDescent="0.3">
      <c r="X782" s="157"/>
      <c r="AC782" s="214"/>
      <c r="AD782" s="214"/>
      <c r="AE782" s="214"/>
      <c r="AF782" s="214"/>
      <c r="AG782" s="214"/>
    </row>
    <row r="783" spans="24:33" x14ac:dyDescent="0.3">
      <c r="X783" s="157"/>
      <c r="AC783" s="214"/>
      <c r="AD783" s="214"/>
      <c r="AE783" s="214"/>
      <c r="AF783" s="214"/>
      <c r="AG783" s="214"/>
    </row>
    <row r="784" spans="24:33" x14ac:dyDescent="0.3">
      <c r="X784" s="157"/>
      <c r="AC784" s="214"/>
      <c r="AD784" s="214"/>
      <c r="AE784" s="214"/>
      <c r="AF784" s="214"/>
      <c r="AG784" s="214"/>
    </row>
    <row r="785" spans="24:33" x14ac:dyDescent="0.3">
      <c r="X785" s="157"/>
      <c r="AC785" s="214"/>
      <c r="AD785" s="214"/>
      <c r="AE785" s="214"/>
      <c r="AF785" s="214"/>
      <c r="AG785" s="214"/>
    </row>
    <row r="786" spans="24:33" x14ac:dyDescent="0.3">
      <c r="X786" s="157"/>
      <c r="AC786" s="214"/>
      <c r="AD786" s="214"/>
      <c r="AE786" s="214"/>
      <c r="AF786" s="214"/>
      <c r="AG786" s="214"/>
    </row>
    <row r="787" spans="24:33" x14ac:dyDescent="0.3">
      <c r="X787" s="157"/>
      <c r="AC787" s="214"/>
      <c r="AD787" s="214"/>
      <c r="AE787" s="214"/>
      <c r="AF787" s="214"/>
      <c r="AG787" s="214"/>
    </row>
    <row r="788" spans="24:33" x14ac:dyDescent="0.3">
      <c r="X788" s="157"/>
      <c r="AC788" s="214"/>
      <c r="AD788" s="214"/>
      <c r="AE788" s="214"/>
      <c r="AF788" s="214"/>
      <c r="AG788" s="214"/>
    </row>
    <row r="789" spans="24:33" x14ac:dyDescent="0.3">
      <c r="X789" s="157"/>
      <c r="AC789" s="214"/>
      <c r="AD789" s="214"/>
      <c r="AE789" s="214"/>
      <c r="AF789" s="214"/>
      <c r="AG789" s="214"/>
    </row>
    <row r="790" spans="24:33" x14ac:dyDescent="0.3">
      <c r="X790" s="157"/>
      <c r="AC790" s="214"/>
      <c r="AD790" s="214"/>
      <c r="AE790" s="214"/>
      <c r="AF790" s="214"/>
      <c r="AG790" s="214"/>
    </row>
    <row r="791" spans="24:33" x14ac:dyDescent="0.3">
      <c r="X791" s="157"/>
      <c r="AC791" s="214"/>
      <c r="AD791" s="214"/>
      <c r="AE791" s="214"/>
      <c r="AF791" s="214"/>
      <c r="AG791" s="214"/>
    </row>
    <row r="792" spans="24:33" x14ac:dyDescent="0.3">
      <c r="X792" s="157"/>
      <c r="AC792" s="214"/>
      <c r="AD792" s="214"/>
      <c r="AE792" s="214"/>
      <c r="AF792" s="214"/>
      <c r="AG792" s="214"/>
    </row>
    <row r="793" spans="24:33" x14ac:dyDescent="0.3">
      <c r="X793" s="157"/>
      <c r="AC793" s="214"/>
      <c r="AD793" s="214"/>
      <c r="AE793" s="214"/>
      <c r="AF793" s="214"/>
      <c r="AG793" s="214"/>
    </row>
    <row r="794" spans="24:33" x14ac:dyDescent="0.3">
      <c r="X794" s="157"/>
      <c r="AC794" s="214"/>
      <c r="AD794" s="214"/>
      <c r="AE794" s="214"/>
      <c r="AF794" s="214"/>
      <c r="AG794" s="214"/>
    </row>
    <row r="795" spans="24:33" x14ac:dyDescent="0.3">
      <c r="X795" s="157"/>
      <c r="AC795" s="214"/>
      <c r="AD795" s="214"/>
      <c r="AE795" s="214"/>
      <c r="AF795" s="214"/>
      <c r="AG795" s="214"/>
    </row>
    <row r="796" spans="24:33" x14ac:dyDescent="0.3">
      <c r="X796" s="157"/>
      <c r="AC796" s="214"/>
      <c r="AD796" s="214"/>
      <c r="AE796" s="214"/>
      <c r="AF796" s="214"/>
      <c r="AG796" s="214"/>
    </row>
    <row r="797" spans="24:33" x14ac:dyDescent="0.3">
      <c r="X797" s="157"/>
      <c r="AC797" s="214"/>
      <c r="AD797" s="214"/>
      <c r="AE797" s="214"/>
      <c r="AF797" s="214"/>
      <c r="AG797" s="214"/>
    </row>
    <row r="798" spans="24:33" x14ac:dyDescent="0.3">
      <c r="X798" s="157"/>
      <c r="AC798" s="214"/>
      <c r="AD798" s="214"/>
      <c r="AE798" s="214"/>
      <c r="AF798" s="214"/>
      <c r="AG798" s="214"/>
    </row>
    <row r="799" spans="24:33" x14ac:dyDescent="0.3">
      <c r="X799" s="157"/>
      <c r="AC799" s="214"/>
      <c r="AD799" s="214"/>
      <c r="AE799" s="214"/>
      <c r="AF799" s="214"/>
      <c r="AG799" s="214"/>
    </row>
    <row r="800" spans="24:33" x14ac:dyDescent="0.3">
      <c r="X800" s="157"/>
      <c r="AC800" s="214"/>
      <c r="AD800" s="214"/>
      <c r="AE800" s="214"/>
      <c r="AF800" s="214"/>
      <c r="AG800" s="214"/>
    </row>
    <row r="801" spans="24:33" x14ac:dyDescent="0.3">
      <c r="X801" s="157"/>
      <c r="AC801" s="214"/>
      <c r="AD801" s="214"/>
      <c r="AE801" s="214"/>
      <c r="AF801" s="214"/>
      <c r="AG801" s="214"/>
    </row>
    <row r="802" spans="24:33" x14ac:dyDescent="0.3">
      <c r="X802" s="157"/>
      <c r="AC802" s="214"/>
      <c r="AD802" s="214"/>
      <c r="AE802" s="214"/>
      <c r="AF802" s="214"/>
      <c r="AG802" s="214"/>
    </row>
    <row r="803" spans="24:33" x14ac:dyDescent="0.3">
      <c r="X803" s="157"/>
      <c r="AC803" s="214"/>
      <c r="AD803" s="214"/>
      <c r="AE803" s="214"/>
      <c r="AF803" s="214"/>
      <c r="AG803" s="214"/>
    </row>
    <row r="804" spans="24:33" x14ac:dyDescent="0.3">
      <c r="X804" s="157"/>
      <c r="AC804" s="214"/>
      <c r="AD804" s="214"/>
      <c r="AE804" s="214"/>
      <c r="AF804" s="214"/>
      <c r="AG804" s="214"/>
    </row>
    <row r="805" spans="24:33" x14ac:dyDescent="0.3">
      <c r="X805" s="157"/>
      <c r="AC805" s="214"/>
      <c r="AD805" s="214"/>
      <c r="AE805" s="214"/>
      <c r="AF805" s="214"/>
      <c r="AG805" s="214"/>
    </row>
    <row r="806" spans="24:33" x14ac:dyDescent="0.3">
      <c r="X806" s="157"/>
      <c r="AC806" s="214"/>
      <c r="AD806" s="214"/>
      <c r="AE806" s="214"/>
      <c r="AF806" s="214"/>
      <c r="AG806" s="214"/>
    </row>
    <row r="807" spans="24:33" x14ac:dyDescent="0.3">
      <c r="X807" s="157"/>
      <c r="AC807" s="214"/>
      <c r="AD807" s="214"/>
      <c r="AE807" s="214"/>
      <c r="AF807" s="214"/>
      <c r="AG807" s="214"/>
    </row>
    <row r="808" spans="24:33" x14ac:dyDescent="0.3">
      <c r="X808" s="157"/>
      <c r="AC808" s="214"/>
      <c r="AD808" s="214"/>
      <c r="AE808" s="214"/>
      <c r="AF808" s="214"/>
      <c r="AG808" s="214"/>
    </row>
    <row r="809" spans="24:33" x14ac:dyDescent="0.3">
      <c r="X809" s="157"/>
      <c r="AC809" s="214"/>
      <c r="AD809" s="214"/>
      <c r="AE809" s="214"/>
      <c r="AF809" s="214"/>
      <c r="AG809" s="214"/>
    </row>
    <row r="810" spans="24:33" x14ac:dyDescent="0.3">
      <c r="X810" s="157"/>
      <c r="AC810" s="214"/>
      <c r="AD810" s="214"/>
      <c r="AE810" s="214"/>
      <c r="AF810" s="214"/>
      <c r="AG810" s="214"/>
    </row>
    <row r="811" spans="24:33" x14ac:dyDescent="0.3">
      <c r="X811" s="157"/>
      <c r="AC811" s="214"/>
      <c r="AD811" s="214"/>
      <c r="AE811" s="214"/>
      <c r="AF811" s="214"/>
      <c r="AG811" s="214"/>
    </row>
    <row r="812" spans="24:33" x14ac:dyDescent="0.3">
      <c r="X812" s="157"/>
      <c r="AC812" s="214"/>
      <c r="AD812" s="214"/>
      <c r="AE812" s="214"/>
      <c r="AF812" s="214"/>
      <c r="AG812" s="214"/>
    </row>
    <row r="813" spans="24:33" x14ac:dyDescent="0.3">
      <c r="X813" s="157"/>
      <c r="AC813" s="214"/>
      <c r="AD813" s="214"/>
      <c r="AE813" s="214"/>
      <c r="AF813" s="214"/>
      <c r="AG813" s="214"/>
    </row>
    <row r="814" spans="24:33" x14ac:dyDescent="0.3">
      <c r="X814" s="157"/>
      <c r="AC814" s="214"/>
      <c r="AD814" s="214"/>
      <c r="AE814" s="214"/>
      <c r="AF814" s="214"/>
      <c r="AG814" s="214"/>
    </row>
    <row r="815" spans="24:33" x14ac:dyDescent="0.3">
      <c r="X815" s="157"/>
      <c r="AC815" s="214"/>
      <c r="AD815" s="214"/>
      <c r="AE815" s="214"/>
      <c r="AF815" s="214"/>
      <c r="AG815" s="214"/>
    </row>
    <row r="816" spans="24:33" x14ac:dyDescent="0.3">
      <c r="X816" s="157"/>
      <c r="AC816" s="214"/>
      <c r="AD816" s="214"/>
      <c r="AE816" s="214"/>
      <c r="AF816" s="214"/>
      <c r="AG816" s="214"/>
    </row>
    <row r="817" spans="24:33" x14ac:dyDescent="0.3">
      <c r="X817" s="157"/>
      <c r="AC817" s="214"/>
      <c r="AD817" s="214"/>
      <c r="AE817" s="214"/>
      <c r="AF817" s="214"/>
      <c r="AG817" s="214"/>
    </row>
    <row r="818" spans="24:33" x14ac:dyDescent="0.3">
      <c r="X818" s="157"/>
      <c r="AC818" s="214"/>
      <c r="AD818" s="214"/>
      <c r="AE818" s="214"/>
      <c r="AF818" s="214"/>
      <c r="AG818" s="214"/>
    </row>
    <row r="819" spans="24:33" x14ac:dyDescent="0.3">
      <c r="X819" s="157"/>
      <c r="AC819" s="214"/>
      <c r="AD819" s="214"/>
      <c r="AE819" s="214"/>
      <c r="AF819" s="214"/>
      <c r="AG819" s="214"/>
    </row>
    <row r="820" spans="24:33" x14ac:dyDescent="0.3">
      <c r="X820" s="157"/>
      <c r="AC820" s="214"/>
      <c r="AD820" s="214"/>
      <c r="AE820" s="214"/>
      <c r="AF820" s="214"/>
      <c r="AG820" s="214"/>
    </row>
    <row r="821" spans="24:33" x14ac:dyDescent="0.3">
      <c r="X821" s="157"/>
      <c r="AC821" s="214"/>
      <c r="AD821" s="214"/>
      <c r="AE821" s="214"/>
      <c r="AF821" s="214"/>
      <c r="AG821" s="214"/>
    </row>
    <row r="822" spans="24:33" x14ac:dyDescent="0.3">
      <c r="X822" s="157"/>
      <c r="AC822" s="214"/>
      <c r="AD822" s="214"/>
      <c r="AE822" s="214"/>
      <c r="AF822" s="214"/>
      <c r="AG822" s="214"/>
    </row>
    <row r="823" spans="24:33" x14ac:dyDescent="0.3">
      <c r="X823" s="157"/>
      <c r="AC823" s="214"/>
      <c r="AD823" s="214"/>
      <c r="AE823" s="214"/>
      <c r="AF823" s="214"/>
      <c r="AG823" s="214"/>
    </row>
    <row r="824" spans="24:33" x14ac:dyDescent="0.3">
      <c r="X824" s="157"/>
      <c r="AC824" s="214"/>
      <c r="AD824" s="214"/>
      <c r="AE824" s="214"/>
      <c r="AF824" s="214"/>
      <c r="AG824" s="214"/>
    </row>
    <row r="825" spans="24:33" x14ac:dyDescent="0.3">
      <c r="X825" s="157"/>
      <c r="AC825" s="214"/>
      <c r="AD825" s="214"/>
      <c r="AE825" s="214"/>
      <c r="AF825" s="214"/>
      <c r="AG825" s="214"/>
    </row>
    <row r="826" spans="24:33" x14ac:dyDescent="0.3">
      <c r="X826" s="157"/>
      <c r="AC826" s="214"/>
      <c r="AD826" s="214"/>
      <c r="AE826" s="214"/>
      <c r="AF826" s="214"/>
      <c r="AG826" s="214"/>
    </row>
    <row r="827" spans="24:33" x14ac:dyDescent="0.3">
      <c r="X827" s="157"/>
      <c r="AC827" s="214"/>
      <c r="AD827" s="214"/>
      <c r="AE827" s="214"/>
      <c r="AF827" s="214"/>
      <c r="AG827" s="214"/>
    </row>
    <row r="828" spans="24:33" x14ac:dyDescent="0.3">
      <c r="X828" s="157"/>
      <c r="AC828" s="214"/>
      <c r="AD828" s="214"/>
      <c r="AE828" s="214"/>
      <c r="AF828" s="214"/>
      <c r="AG828" s="214"/>
    </row>
    <row r="829" spans="24:33" x14ac:dyDescent="0.3">
      <c r="X829" s="157"/>
      <c r="AC829" s="214"/>
      <c r="AD829" s="214"/>
      <c r="AE829" s="214"/>
      <c r="AF829" s="214"/>
      <c r="AG829" s="214"/>
    </row>
    <row r="830" spans="24:33" x14ac:dyDescent="0.3">
      <c r="X830" s="157"/>
      <c r="AC830" s="214"/>
      <c r="AD830" s="214"/>
      <c r="AE830" s="214"/>
      <c r="AF830" s="214"/>
      <c r="AG830" s="214"/>
    </row>
    <row r="831" spans="24:33" x14ac:dyDescent="0.3">
      <c r="X831" s="157"/>
      <c r="AC831" s="214"/>
      <c r="AD831" s="214"/>
      <c r="AE831" s="214"/>
      <c r="AF831" s="214"/>
      <c r="AG831" s="214"/>
    </row>
    <row r="832" spans="24:33" x14ac:dyDescent="0.3">
      <c r="X832" s="157"/>
      <c r="AC832" s="214"/>
      <c r="AD832" s="214"/>
      <c r="AE832" s="214"/>
      <c r="AF832" s="214"/>
      <c r="AG832" s="214"/>
    </row>
    <row r="833" spans="24:33" x14ac:dyDescent="0.3">
      <c r="X833" s="157"/>
      <c r="AC833" s="214"/>
      <c r="AD833" s="214"/>
      <c r="AE833" s="214"/>
      <c r="AF833" s="214"/>
      <c r="AG833" s="214"/>
    </row>
    <row r="834" spans="24:33" x14ac:dyDescent="0.3">
      <c r="X834" s="157"/>
      <c r="AC834" s="214"/>
      <c r="AD834" s="214"/>
      <c r="AE834" s="214"/>
      <c r="AF834" s="214"/>
      <c r="AG834" s="214"/>
    </row>
    <row r="835" spans="24:33" x14ac:dyDescent="0.3">
      <c r="X835" s="157"/>
      <c r="AC835" s="214"/>
      <c r="AD835" s="214"/>
      <c r="AE835" s="214"/>
      <c r="AF835" s="214"/>
      <c r="AG835" s="214"/>
    </row>
    <row r="836" spans="24:33" x14ac:dyDescent="0.3">
      <c r="X836" s="157"/>
      <c r="AC836" s="214"/>
      <c r="AD836" s="214"/>
      <c r="AE836" s="214"/>
      <c r="AF836" s="214"/>
      <c r="AG836" s="214"/>
    </row>
    <row r="837" spans="24:33" x14ac:dyDescent="0.3">
      <c r="X837" s="157"/>
      <c r="AC837" s="214"/>
      <c r="AD837" s="214"/>
      <c r="AE837" s="214"/>
      <c r="AF837" s="214"/>
      <c r="AG837" s="214"/>
    </row>
    <row r="838" spans="24:33" x14ac:dyDescent="0.3">
      <c r="X838" s="157"/>
      <c r="AC838" s="214"/>
      <c r="AD838" s="214"/>
      <c r="AE838" s="214"/>
      <c r="AF838" s="214"/>
      <c r="AG838" s="214"/>
    </row>
    <row r="839" spans="24:33" x14ac:dyDescent="0.3">
      <c r="X839" s="157"/>
      <c r="AC839" s="214"/>
      <c r="AD839" s="214"/>
      <c r="AE839" s="214"/>
      <c r="AF839" s="214"/>
      <c r="AG839" s="214"/>
    </row>
    <row r="840" spans="24:33" x14ac:dyDescent="0.3">
      <c r="X840" s="157"/>
      <c r="AC840" s="214"/>
      <c r="AD840" s="214"/>
      <c r="AE840" s="214"/>
      <c r="AF840" s="214"/>
      <c r="AG840" s="214"/>
    </row>
    <row r="841" spans="24:33" x14ac:dyDescent="0.3">
      <c r="X841" s="157"/>
      <c r="AC841" s="214"/>
      <c r="AD841" s="214"/>
      <c r="AE841" s="214"/>
      <c r="AF841" s="214"/>
      <c r="AG841" s="214"/>
    </row>
    <row r="842" spans="24:33" x14ac:dyDescent="0.3">
      <c r="X842" s="157"/>
      <c r="AC842" s="214"/>
      <c r="AD842" s="214"/>
      <c r="AE842" s="214"/>
      <c r="AF842" s="214"/>
      <c r="AG842" s="214"/>
    </row>
    <row r="843" spans="24:33" x14ac:dyDescent="0.3">
      <c r="X843" s="157"/>
      <c r="AC843" s="214"/>
      <c r="AD843" s="214"/>
      <c r="AE843" s="214"/>
      <c r="AF843" s="214"/>
      <c r="AG843" s="214"/>
    </row>
    <row r="844" spans="24:33" x14ac:dyDescent="0.3">
      <c r="X844" s="157"/>
      <c r="AC844" s="214"/>
      <c r="AD844" s="214"/>
      <c r="AE844" s="214"/>
      <c r="AF844" s="214"/>
      <c r="AG844" s="214"/>
    </row>
    <row r="845" spans="24:33" x14ac:dyDescent="0.3">
      <c r="X845" s="157"/>
      <c r="AC845" s="214"/>
      <c r="AD845" s="214"/>
      <c r="AE845" s="214"/>
      <c r="AF845" s="214"/>
      <c r="AG845" s="214"/>
    </row>
    <row r="846" spans="24:33" x14ac:dyDescent="0.3">
      <c r="X846" s="157"/>
      <c r="AC846" s="214"/>
      <c r="AD846" s="214"/>
      <c r="AE846" s="214"/>
      <c r="AF846" s="214"/>
      <c r="AG846" s="214"/>
    </row>
    <row r="847" spans="24:33" x14ac:dyDescent="0.3">
      <c r="X847" s="157"/>
      <c r="AC847" s="214"/>
      <c r="AD847" s="214"/>
      <c r="AE847" s="214"/>
      <c r="AF847" s="214"/>
      <c r="AG847" s="214"/>
    </row>
    <row r="848" spans="24:33" x14ac:dyDescent="0.3">
      <c r="X848" s="157"/>
      <c r="AC848" s="214"/>
      <c r="AD848" s="214"/>
      <c r="AE848" s="214"/>
      <c r="AF848" s="214"/>
      <c r="AG848" s="214"/>
    </row>
    <row r="849" spans="24:33" x14ac:dyDescent="0.3">
      <c r="X849" s="157"/>
      <c r="AC849" s="214"/>
      <c r="AD849" s="214"/>
      <c r="AE849" s="214"/>
      <c r="AF849" s="214"/>
      <c r="AG849" s="214"/>
    </row>
    <row r="850" spans="24:33" x14ac:dyDescent="0.3">
      <c r="X850" s="157"/>
      <c r="AC850" s="214"/>
      <c r="AD850" s="214"/>
      <c r="AE850" s="214"/>
      <c r="AF850" s="214"/>
      <c r="AG850" s="214"/>
    </row>
    <row r="851" spans="24:33" x14ac:dyDescent="0.3">
      <c r="X851" s="157"/>
      <c r="AC851" s="214"/>
      <c r="AD851" s="214"/>
      <c r="AE851" s="214"/>
      <c r="AF851" s="214"/>
      <c r="AG851" s="214"/>
    </row>
    <row r="852" spans="24:33" x14ac:dyDescent="0.3">
      <c r="X852" s="157"/>
      <c r="AC852" s="214"/>
      <c r="AD852" s="214"/>
      <c r="AE852" s="214"/>
      <c r="AF852" s="214"/>
      <c r="AG852" s="214"/>
    </row>
    <row r="853" spans="24:33" x14ac:dyDescent="0.3">
      <c r="X853" s="157"/>
      <c r="AC853" s="214"/>
      <c r="AD853" s="214"/>
      <c r="AE853" s="214"/>
      <c r="AF853" s="214"/>
      <c r="AG853" s="214"/>
    </row>
    <row r="854" spans="24:33" x14ac:dyDescent="0.3">
      <c r="X854" s="157"/>
      <c r="AC854" s="214"/>
      <c r="AD854" s="214"/>
      <c r="AE854" s="214"/>
      <c r="AF854" s="214"/>
      <c r="AG854" s="214"/>
    </row>
    <row r="855" spans="24:33" x14ac:dyDescent="0.3">
      <c r="X855" s="157"/>
      <c r="AC855" s="214"/>
      <c r="AD855" s="214"/>
      <c r="AE855" s="214"/>
      <c r="AF855" s="214"/>
      <c r="AG855" s="214"/>
    </row>
    <row r="856" spans="24:33" x14ac:dyDescent="0.3">
      <c r="X856" s="157"/>
      <c r="AC856" s="214"/>
      <c r="AD856" s="214"/>
      <c r="AE856" s="214"/>
      <c r="AF856" s="214"/>
      <c r="AG856" s="214"/>
    </row>
    <row r="857" spans="24:33" x14ac:dyDescent="0.3">
      <c r="X857" s="157"/>
      <c r="AC857" s="214"/>
      <c r="AD857" s="214"/>
      <c r="AE857" s="214"/>
      <c r="AF857" s="214"/>
      <c r="AG857" s="214"/>
    </row>
    <row r="858" spans="24:33" x14ac:dyDescent="0.3">
      <c r="X858" s="157"/>
      <c r="AC858" s="214"/>
      <c r="AD858" s="214"/>
      <c r="AE858" s="214"/>
      <c r="AF858" s="214"/>
      <c r="AG858" s="214"/>
    </row>
    <row r="859" spans="24:33" x14ac:dyDescent="0.3">
      <c r="X859" s="157"/>
      <c r="AC859" s="214"/>
      <c r="AD859" s="214"/>
      <c r="AE859" s="214"/>
      <c r="AF859" s="214"/>
      <c r="AG859" s="214"/>
    </row>
    <row r="860" spans="24:33" x14ac:dyDescent="0.3">
      <c r="X860" s="157"/>
      <c r="AC860" s="214"/>
      <c r="AD860" s="214"/>
      <c r="AE860" s="214"/>
      <c r="AF860" s="214"/>
      <c r="AG860" s="214"/>
    </row>
    <row r="861" spans="24:33" x14ac:dyDescent="0.3">
      <c r="X861" s="157"/>
      <c r="AC861" s="214"/>
      <c r="AD861" s="214"/>
      <c r="AE861" s="214"/>
      <c r="AF861" s="214"/>
      <c r="AG861" s="214"/>
    </row>
    <row r="862" spans="24:33" x14ac:dyDescent="0.3">
      <c r="X862" s="157"/>
      <c r="AC862" s="214"/>
      <c r="AD862" s="214"/>
      <c r="AE862" s="214"/>
      <c r="AF862" s="214"/>
      <c r="AG862" s="214"/>
    </row>
    <row r="863" spans="24:33" x14ac:dyDescent="0.3">
      <c r="X863" s="157"/>
      <c r="AC863" s="214"/>
      <c r="AD863" s="214"/>
      <c r="AE863" s="214"/>
      <c r="AF863" s="214"/>
      <c r="AG863" s="214"/>
    </row>
    <row r="864" spans="24:33" x14ac:dyDescent="0.3">
      <c r="X864" s="157"/>
      <c r="AC864" s="214"/>
      <c r="AD864" s="214"/>
      <c r="AE864" s="214"/>
      <c r="AF864" s="214"/>
      <c r="AG864" s="214"/>
    </row>
    <row r="865" spans="24:33" x14ac:dyDescent="0.3">
      <c r="X865" s="157"/>
      <c r="AC865" s="214"/>
      <c r="AD865" s="214"/>
      <c r="AE865" s="214"/>
      <c r="AF865" s="214"/>
      <c r="AG865" s="214"/>
    </row>
    <row r="866" spans="24:33" x14ac:dyDescent="0.3">
      <c r="X866" s="157"/>
      <c r="AC866" s="214"/>
      <c r="AD866" s="214"/>
      <c r="AE866" s="214"/>
      <c r="AF866" s="214"/>
      <c r="AG866" s="214"/>
    </row>
    <row r="867" spans="24:33" x14ac:dyDescent="0.3">
      <c r="X867" s="157"/>
      <c r="AC867" s="214"/>
      <c r="AD867" s="214"/>
      <c r="AE867" s="214"/>
      <c r="AF867" s="214"/>
      <c r="AG867" s="214"/>
    </row>
    <row r="868" spans="24:33" x14ac:dyDescent="0.3">
      <c r="X868" s="157"/>
      <c r="AC868" s="214"/>
      <c r="AD868" s="214"/>
      <c r="AE868" s="214"/>
      <c r="AF868" s="214"/>
      <c r="AG868" s="214"/>
    </row>
    <row r="869" spans="24:33" x14ac:dyDescent="0.3">
      <c r="X869" s="157"/>
      <c r="AC869" s="214"/>
      <c r="AD869" s="214"/>
      <c r="AE869" s="214"/>
      <c r="AF869" s="214"/>
      <c r="AG869" s="214"/>
    </row>
    <row r="870" spans="24:33" x14ac:dyDescent="0.3">
      <c r="X870" s="157"/>
      <c r="AC870" s="214"/>
      <c r="AD870" s="214"/>
      <c r="AE870" s="214"/>
      <c r="AF870" s="214"/>
      <c r="AG870" s="214"/>
    </row>
    <row r="871" spans="24:33" x14ac:dyDescent="0.3">
      <c r="X871" s="157"/>
      <c r="AC871" s="214"/>
      <c r="AD871" s="214"/>
      <c r="AE871" s="214"/>
      <c r="AF871" s="214"/>
      <c r="AG871" s="214"/>
    </row>
    <row r="872" spans="24:33" x14ac:dyDescent="0.3">
      <c r="X872" s="157"/>
      <c r="AC872" s="214"/>
      <c r="AD872" s="214"/>
      <c r="AE872" s="214"/>
      <c r="AF872" s="214"/>
      <c r="AG872" s="214"/>
    </row>
    <row r="873" spans="24:33" x14ac:dyDescent="0.3">
      <c r="X873" s="157"/>
      <c r="AC873" s="214"/>
      <c r="AD873" s="214"/>
      <c r="AE873" s="214"/>
      <c r="AF873" s="214"/>
      <c r="AG873" s="214"/>
    </row>
    <row r="874" spans="24:33" x14ac:dyDescent="0.3">
      <c r="X874" s="157"/>
      <c r="AC874" s="214"/>
      <c r="AD874" s="214"/>
      <c r="AE874" s="214"/>
      <c r="AF874" s="214"/>
      <c r="AG874" s="214"/>
    </row>
    <row r="875" spans="24:33" x14ac:dyDescent="0.3">
      <c r="X875" s="157"/>
      <c r="AC875" s="214"/>
      <c r="AD875" s="214"/>
      <c r="AE875" s="214"/>
      <c r="AF875" s="214"/>
      <c r="AG875" s="214"/>
    </row>
    <row r="876" spans="24:33" x14ac:dyDescent="0.3">
      <c r="X876" s="157"/>
      <c r="AC876" s="214"/>
      <c r="AD876" s="214"/>
      <c r="AE876" s="214"/>
      <c r="AF876" s="214"/>
      <c r="AG876" s="214"/>
    </row>
    <row r="877" spans="24:33" x14ac:dyDescent="0.3">
      <c r="X877" s="157"/>
      <c r="AC877" s="214"/>
      <c r="AD877" s="214"/>
      <c r="AE877" s="214"/>
      <c r="AF877" s="214"/>
      <c r="AG877" s="214"/>
    </row>
    <row r="878" spans="24:33" x14ac:dyDescent="0.3">
      <c r="X878" s="157"/>
      <c r="AC878" s="214"/>
      <c r="AD878" s="214"/>
      <c r="AE878" s="214"/>
      <c r="AF878" s="214"/>
      <c r="AG878" s="214"/>
    </row>
    <row r="879" spans="24:33" x14ac:dyDescent="0.3">
      <c r="X879" s="157"/>
      <c r="AC879" s="214"/>
      <c r="AD879" s="214"/>
      <c r="AE879" s="214"/>
      <c r="AF879" s="214"/>
      <c r="AG879" s="214"/>
    </row>
    <row r="880" spans="24:33" x14ac:dyDescent="0.3">
      <c r="X880" s="157"/>
      <c r="AC880" s="214"/>
      <c r="AD880" s="214"/>
      <c r="AE880" s="214"/>
      <c r="AF880" s="214"/>
      <c r="AG880" s="214"/>
    </row>
    <row r="881" spans="24:33" x14ac:dyDescent="0.3">
      <c r="X881" s="157"/>
      <c r="AC881" s="214"/>
      <c r="AD881" s="214"/>
      <c r="AE881" s="214"/>
      <c r="AF881" s="214"/>
      <c r="AG881" s="214"/>
    </row>
    <row r="882" spans="24:33" x14ac:dyDescent="0.3">
      <c r="X882" s="157"/>
      <c r="AC882" s="214"/>
      <c r="AD882" s="214"/>
      <c r="AE882" s="214"/>
      <c r="AF882" s="214"/>
      <c r="AG882" s="214"/>
    </row>
    <row r="883" spans="24:33" x14ac:dyDescent="0.3">
      <c r="X883" s="157"/>
      <c r="AC883" s="214"/>
      <c r="AD883" s="214"/>
      <c r="AE883" s="214"/>
      <c r="AF883" s="214"/>
      <c r="AG883" s="214"/>
    </row>
    <row r="884" spans="24:33" x14ac:dyDescent="0.3">
      <c r="X884" s="157"/>
      <c r="AC884" s="214"/>
      <c r="AD884" s="214"/>
      <c r="AE884" s="214"/>
      <c r="AF884" s="214"/>
      <c r="AG884" s="214"/>
    </row>
    <row r="885" spans="24:33" x14ac:dyDescent="0.3">
      <c r="X885" s="157"/>
      <c r="AC885" s="214"/>
      <c r="AD885" s="214"/>
      <c r="AE885" s="214"/>
      <c r="AF885" s="214"/>
      <c r="AG885" s="214"/>
    </row>
    <row r="886" spans="24:33" x14ac:dyDescent="0.3">
      <c r="X886" s="157"/>
      <c r="AC886" s="214"/>
      <c r="AD886" s="214"/>
      <c r="AE886" s="214"/>
      <c r="AF886" s="214"/>
      <c r="AG886" s="214"/>
    </row>
    <row r="887" spans="24:33" x14ac:dyDescent="0.3">
      <c r="X887" s="157"/>
      <c r="AC887" s="214"/>
      <c r="AD887" s="214"/>
      <c r="AE887" s="214"/>
      <c r="AF887" s="214"/>
      <c r="AG887" s="214"/>
    </row>
    <row r="888" spans="24:33" x14ac:dyDescent="0.3">
      <c r="X888" s="157"/>
      <c r="AC888" s="214"/>
      <c r="AD888" s="214"/>
      <c r="AE888" s="214"/>
      <c r="AF888" s="214"/>
      <c r="AG888" s="214"/>
    </row>
    <row r="889" spans="24:33" x14ac:dyDescent="0.3">
      <c r="X889" s="157"/>
      <c r="AC889" s="214"/>
      <c r="AD889" s="214"/>
      <c r="AE889" s="214"/>
      <c r="AF889" s="214"/>
      <c r="AG889" s="214"/>
    </row>
    <row r="890" spans="24:33" x14ac:dyDescent="0.3">
      <c r="X890" s="157"/>
      <c r="AC890" s="214"/>
      <c r="AD890" s="214"/>
      <c r="AE890" s="214"/>
      <c r="AF890" s="214"/>
      <c r="AG890" s="214"/>
    </row>
    <row r="891" spans="24:33" x14ac:dyDescent="0.3">
      <c r="X891" s="157"/>
      <c r="AC891" s="214"/>
      <c r="AD891" s="214"/>
      <c r="AE891" s="214"/>
      <c r="AF891" s="214"/>
      <c r="AG891" s="214"/>
    </row>
    <row r="892" spans="24:33" x14ac:dyDescent="0.3">
      <c r="X892" s="157"/>
      <c r="AC892" s="214"/>
      <c r="AD892" s="214"/>
      <c r="AE892" s="214"/>
      <c r="AF892" s="214"/>
      <c r="AG892" s="214"/>
    </row>
    <row r="893" spans="24:33" x14ac:dyDescent="0.3">
      <c r="X893" s="157"/>
      <c r="AC893" s="214"/>
      <c r="AD893" s="214"/>
      <c r="AE893" s="214"/>
      <c r="AF893" s="214"/>
      <c r="AG893" s="214"/>
    </row>
    <row r="894" spans="24:33" x14ac:dyDescent="0.3">
      <c r="X894" s="157"/>
      <c r="AC894" s="214"/>
      <c r="AD894" s="214"/>
      <c r="AE894" s="214"/>
      <c r="AF894" s="214"/>
      <c r="AG894" s="214"/>
    </row>
    <row r="895" spans="24:33" x14ac:dyDescent="0.3">
      <c r="X895" s="157"/>
      <c r="AC895" s="214"/>
      <c r="AD895" s="214"/>
      <c r="AE895" s="214"/>
      <c r="AF895" s="214"/>
      <c r="AG895" s="214"/>
    </row>
    <row r="896" spans="24:33" x14ac:dyDescent="0.3">
      <c r="X896" s="157"/>
      <c r="AC896" s="214"/>
      <c r="AD896" s="214"/>
      <c r="AE896" s="214"/>
      <c r="AF896" s="214"/>
      <c r="AG896" s="214"/>
    </row>
    <row r="897" spans="24:33" x14ac:dyDescent="0.3">
      <c r="X897" s="157"/>
      <c r="AC897" s="214"/>
      <c r="AD897" s="214"/>
      <c r="AE897" s="214"/>
      <c r="AF897" s="214"/>
      <c r="AG897" s="214"/>
    </row>
    <row r="898" spans="24:33" x14ac:dyDescent="0.3">
      <c r="X898" s="157"/>
      <c r="AC898" s="214"/>
      <c r="AD898" s="214"/>
      <c r="AE898" s="214"/>
      <c r="AF898" s="214"/>
      <c r="AG898" s="214"/>
    </row>
    <row r="899" spans="24:33" x14ac:dyDescent="0.3">
      <c r="X899" s="157"/>
      <c r="AC899" s="214"/>
      <c r="AD899" s="214"/>
      <c r="AE899" s="214"/>
      <c r="AF899" s="214"/>
      <c r="AG899" s="214"/>
    </row>
    <row r="900" spans="24:33" x14ac:dyDescent="0.3">
      <c r="X900" s="157"/>
      <c r="AC900" s="214"/>
      <c r="AD900" s="214"/>
      <c r="AE900" s="214"/>
      <c r="AF900" s="214"/>
      <c r="AG900" s="214"/>
    </row>
    <row r="901" spans="24:33" x14ac:dyDescent="0.3">
      <c r="X901" s="157"/>
      <c r="AC901" s="214"/>
      <c r="AD901" s="214"/>
      <c r="AE901" s="214"/>
      <c r="AF901" s="214"/>
      <c r="AG901" s="214"/>
    </row>
    <row r="902" spans="24:33" x14ac:dyDescent="0.3">
      <c r="X902" s="157"/>
      <c r="AC902" s="214"/>
      <c r="AD902" s="214"/>
      <c r="AE902" s="214"/>
      <c r="AF902" s="214"/>
      <c r="AG902" s="214"/>
    </row>
    <row r="903" spans="24:33" x14ac:dyDescent="0.3">
      <c r="X903" s="157"/>
      <c r="AC903" s="214"/>
      <c r="AD903" s="214"/>
      <c r="AE903" s="214"/>
      <c r="AF903" s="214"/>
      <c r="AG903" s="214"/>
    </row>
    <row r="904" spans="24:33" x14ac:dyDescent="0.3">
      <c r="X904" s="157"/>
      <c r="AC904" s="214"/>
      <c r="AD904" s="214"/>
      <c r="AE904" s="214"/>
      <c r="AF904" s="214"/>
      <c r="AG904" s="214"/>
    </row>
    <row r="905" spans="24:33" x14ac:dyDescent="0.3">
      <c r="X905" s="157"/>
      <c r="AC905" s="214"/>
      <c r="AD905" s="214"/>
      <c r="AE905" s="214"/>
      <c r="AF905" s="214"/>
      <c r="AG905" s="214"/>
    </row>
    <row r="906" spans="24:33" x14ac:dyDescent="0.3">
      <c r="X906" s="157"/>
      <c r="AC906" s="214"/>
      <c r="AD906" s="214"/>
      <c r="AE906" s="214"/>
      <c r="AF906" s="214"/>
      <c r="AG906" s="214"/>
    </row>
    <row r="907" spans="24:33" x14ac:dyDescent="0.3">
      <c r="X907" s="157"/>
      <c r="AC907" s="214"/>
      <c r="AD907" s="214"/>
      <c r="AE907" s="214"/>
      <c r="AF907" s="214"/>
      <c r="AG907" s="214"/>
    </row>
    <row r="908" spans="24:33" x14ac:dyDescent="0.3">
      <c r="X908" s="157"/>
      <c r="AC908" s="214"/>
      <c r="AD908" s="214"/>
      <c r="AE908" s="214"/>
      <c r="AF908" s="214"/>
      <c r="AG908" s="214"/>
    </row>
    <row r="909" spans="24:33" x14ac:dyDescent="0.3">
      <c r="X909" s="157"/>
      <c r="AC909" s="214"/>
      <c r="AD909" s="214"/>
      <c r="AE909" s="214"/>
      <c r="AF909" s="214"/>
      <c r="AG909" s="214"/>
    </row>
    <row r="910" spans="24:33" x14ac:dyDescent="0.3">
      <c r="X910" s="157"/>
      <c r="AC910" s="214"/>
      <c r="AD910" s="214"/>
      <c r="AE910" s="214"/>
      <c r="AF910" s="214"/>
      <c r="AG910" s="214"/>
    </row>
    <row r="911" spans="24:33" x14ac:dyDescent="0.3">
      <c r="X911" s="157"/>
      <c r="AC911" s="214"/>
      <c r="AD911" s="214"/>
      <c r="AE911" s="214"/>
      <c r="AF911" s="214"/>
      <c r="AG911" s="214"/>
    </row>
    <row r="912" spans="24:33" x14ac:dyDescent="0.3">
      <c r="X912" s="157"/>
      <c r="AC912" s="214"/>
      <c r="AD912" s="214"/>
      <c r="AE912" s="214"/>
      <c r="AF912" s="214"/>
      <c r="AG912" s="214"/>
    </row>
    <row r="913" spans="24:33" x14ac:dyDescent="0.3">
      <c r="X913" s="157"/>
      <c r="AC913" s="214"/>
      <c r="AD913" s="214"/>
      <c r="AE913" s="214"/>
      <c r="AF913" s="214"/>
      <c r="AG913" s="214"/>
    </row>
    <row r="914" spans="24:33" x14ac:dyDescent="0.3">
      <c r="X914" s="157"/>
      <c r="AC914" s="214"/>
      <c r="AD914" s="214"/>
      <c r="AE914" s="214"/>
      <c r="AF914" s="214"/>
      <c r="AG914" s="214"/>
    </row>
    <row r="915" spans="24:33" x14ac:dyDescent="0.3">
      <c r="X915" s="157"/>
      <c r="AC915" s="214"/>
      <c r="AD915" s="214"/>
      <c r="AE915" s="214"/>
      <c r="AF915" s="214"/>
      <c r="AG915" s="214"/>
    </row>
    <row r="916" spans="24:33" x14ac:dyDescent="0.3">
      <c r="X916" s="157"/>
      <c r="AC916" s="214"/>
      <c r="AD916" s="214"/>
      <c r="AE916" s="214"/>
      <c r="AF916" s="214"/>
      <c r="AG916" s="214"/>
    </row>
    <row r="917" spans="24:33" x14ac:dyDescent="0.3">
      <c r="X917" s="157"/>
      <c r="AC917" s="214"/>
      <c r="AD917" s="214"/>
      <c r="AE917" s="214"/>
      <c r="AF917" s="214"/>
      <c r="AG917" s="214"/>
    </row>
    <row r="918" spans="24:33" x14ac:dyDescent="0.3">
      <c r="X918" s="157"/>
      <c r="AC918" s="214"/>
      <c r="AD918" s="214"/>
      <c r="AE918" s="214"/>
      <c r="AF918" s="214"/>
      <c r="AG918" s="214"/>
    </row>
    <row r="919" spans="24:33" x14ac:dyDescent="0.3">
      <c r="X919" s="157"/>
      <c r="AC919" s="214"/>
      <c r="AD919" s="214"/>
      <c r="AE919" s="214"/>
      <c r="AF919" s="214"/>
      <c r="AG919" s="214"/>
    </row>
    <row r="920" spans="24:33" x14ac:dyDescent="0.3">
      <c r="X920" s="157"/>
      <c r="AC920" s="214"/>
      <c r="AD920" s="214"/>
      <c r="AE920" s="214"/>
      <c r="AF920" s="214"/>
      <c r="AG920" s="214"/>
    </row>
    <row r="921" spans="24:33" x14ac:dyDescent="0.3">
      <c r="X921" s="157"/>
      <c r="AC921" s="214"/>
      <c r="AD921" s="214"/>
      <c r="AE921" s="214"/>
      <c r="AF921" s="214"/>
      <c r="AG921" s="214"/>
    </row>
    <row r="922" spans="24:33" x14ac:dyDescent="0.3">
      <c r="X922" s="157"/>
      <c r="AC922" s="214"/>
      <c r="AD922" s="214"/>
      <c r="AE922" s="214"/>
      <c r="AF922" s="214"/>
      <c r="AG922" s="214"/>
    </row>
    <row r="923" spans="24:33" x14ac:dyDescent="0.3">
      <c r="X923" s="157"/>
      <c r="AC923" s="214"/>
      <c r="AD923" s="214"/>
      <c r="AE923" s="214"/>
      <c r="AF923" s="214"/>
      <c r="AG923" s="214"/>
    </row>
    <row r="924" spans="24:33" x14ac:dyDescent="0.3">
      <c r="X924" s="157"/>
      <c r="AC924" s="214"/>
      <c r="AD924" s="214"/>
      <c r="AE924" s="214"/>
      <c r="AF924" s="214"/>
      <c r="AG924" s="214"/>
    </row>
    <row r="925" spans="24:33" x14ac:dyDescent="0.3">
      <c r="X925" s="157"/>
      <c r="AC925" s="214"/>
      <c r="AD925" s="214"/>
      <c r="AE925" s="214"/>
      <c r="AF925" s="214"/>
      <c r="AG925" s="214"/>
    </row>
    <row r="926" spans="24:33" x14ac:dyDescent="0.3">
      <c r="X926" s="157"/>
      <c r="AC926" s="214"/>
      <c r="AD926" s="214"/>
      <c r="AE926" s="214"/>
      <c r="AF926" s="214"/>
      <c r="AG926" s="214"/>
    </row>
    <row r="927" spans="24:33" x14ac:dyDescent="0.3">
      <c r="X927" s="157"/>
      <c r="AC927" s="214"/>
      <c r="AD927" s="214"/>
      <c r="AE927" s="214"/>
      <c r="AF927" s="214"/>
      <c r="AG927" s="214"/>
    </row>
    <row r="928" spans="24:33" x14ac:dyDescent="0.3">
      <c r="X928" s="157"/>
      <c r="AC928" s="214"/>
      <c r="AD928" s="214"/>
      <c r="AE928" s="214"/>
      <c r="AF928" s="214"/>
      <c r="AG928" s="214"/>
    </row>
    <row r="929" spans="24:33" x14ac:dyDescent="0.3">
      <c r="X929" s="157"/>
      <c r="AC929" s="214"/>
      <c r="AD929" s="214"/>
      <c r="AE929" s="214"/>
      <c r="AF929" s="214"/>
      <c r="AG929" s="214"/>
    </row>
    <row r="930" spans="24:33" x14ac:dyDescent="0.3">
      <c r="X930" s="157"/>
      <c r="AC930" s="214"/>
      <c r="AD930" s="214"/>
      <c r="AE930" s="214"/>
      <c r="AF930" s="214"/>
      <c r="AG930" s="214"/>
    </row>
    <row r="931" spans="24:33" x14ac:dyDescent="0.3">
      <c r="X931" s="157"/>
      <c r="AC931" s="214"/>
      <c r="AD931" s="214"/>
      <c r="AE931" s="214"/>
      <c r="AF931" s="214"/>
      <c r="AG931" s="214"/>
    </row>
    <row r="932" spans="24:33" x14ac:dyDescent="0.3">
      <c r="X932" s="157"/>
      <c r="AC932" s="214"/>
      <c r="AD932" s="214"/>
      <c r="AE932" s="214"/>
      <c r="AF932" s="214"/>
      <c r="AG932" s="214"/>
    </row>
    <row r="933" spans="24:33" x14ac:dyDescent="0.3">
      <c r="X933" s="157"/>
      <c r="AC933" s="214"/>
      <c r="AD933" s="214"/>
      <c r="AE933" s="214"/>
      <c r="AF933" s="214"/>
      <c r="AG933" s="214"/>
    </row>
    <row r="934" spans="24:33" x14ac:dyDescent="0.3">
      <c r="X934" s="157"/>
      <c r="AC934" s="214"/>
      <c r="AD934" s="214"/>
      <c r="AE934" s="214"/>
      <c r="AF934" s="214"/>
      <c r="AG934" s="214"/>
    </row>
    <row r="935" spans="24:33" x14ac:dyDescent="0.3">
      <c r="X935" s="157"/>
      <c r="AC935" s="214"/>
      <c r="AD935" s="214"/>
      <c r="AE935" s="214"/>
      <c r="AF935" s="214"/>
      <c r="AG935" s="214"/>
    </row>
    <row r="936" spans="24:33" x14ac:dyDescent="0.3">
      <c r="X936" s="157"/>
      <c r="AC936" s="214"/>
      <c r="AD936" s="214"/>
      <c r="AE936" s="214"/>
      <c r="AF936" s="214"/>
      <c r="AG936" s="214"/>
    </row>
    <row r="937" spans="24:33" x14ac:dyDescent="0.3">
      <c r="X937" s="157"/>
      <c r="AC937" s="214"/>
      <c r="AD937" s="214"/>
      <c r="AE937" s="214"/>
      <c r="AF937" s="214"/>
      <c r="AG937" s="214"/>
    </row>
    <row r="938" spans="24:33" x14ac:dyDescent="0.3">
      <c r="X938" s="157"/>
      <c r="AC938" s="214"/>
      <c r="AD938" s="214"/>
      <c r="AE938" s="214"/>
      <c r="AF938" s="214"/>
      <c r="AG938" s="214"/>
    </row>
    <row r="939" spans="24:33" x14ac:dyDescent="0.3">
      <c r="X939" s="157"/>
      <c r="AC939" s="214"/>
      <c r="AD939" s="214"/>
      <c r="AE939" s="214"/>
      <c r="AF939" s="214"/>
      <c r="AG939" s="214"/>
    </row>
    <row r="940" spans="24:33" x14ac:dyDescent="0.3">
      <c r="X940" s="157"/>
      <c r="AC940" s="214"/>
      <c r="AD940" s="214"/>
      <c r="AE940" s="214"/>
      <c r="AF940" s="214"/>
      <c r="AG940" s="214"/>
    </row>
    <row r="941" spans="24:33" x14ac:dyDescent="0.3">
      <c r="X941" s="157"/>
      <c r="AC941" s="214"/>
      <c r="AD941" s="214"/>
      <c r="AE941" s="214"/>
      <c r="AF941" s="214"/>
      <c r="AG941" s="214"/>
    </row>
    <row r="942" spans="24:33" x14ac:dyDescent="0.3">
      <c r="X942" s="157"/>
      <c r="AC942" s="214"/>
      <c r="AD942" s="214"/>
      <c r="AE942" s="214"/>
      <c r="AF942" s="214"/>
      <c r="AG942" s="214"/>
    </row>
    <row r="943" spans="24:33" x14ac:dyDescent="0.3">
      <c r="X943" s="157"/>
      <c r="AC943" s="214"/>
      <c r="AD943" s="214"/>
      <c r="AE943" s="214"/>
      <c r="AF943" s="214"/>
      <c r="AG943" s="214"/>
    </row>
    <row r="944" spans="24:33" x14ac:dyDescent="0.3">
      <c r="X944" s="157"/>
      <c r="AC944" s="214"/>
      <c r="AD944" s="214"/>
      <c r="AE944" s="214"/>
      <c r="AF944" s="214"/>
      <c r="AG944" s="214"/>
    </row>
    <row r="945" spans="24:33" x14ac:dyDescent="0.3">
      <c r="X945" s="157"/>
      <c r="AC945" s="214"/>
      <c r="AD945" s="214"/>
      <c r="AE945" s="214"/>
      <c r="AF945" s="214"/>
      <c r="AG945" s="214"/>
    </row>
    <row r="946" spans="24:33" x14ac:dyDescent="0.3">
      <c r="X946" s="157"/>
      <c r="AC946" s="214"/>
      <c r="AD946" s="214"/>
      <c r="AE946" s="214"/>
      <c r="AF946" s="214"/>
      <c r="AG946" s="214"/>
    </row>
    <row r="947" spans="24:33" x14ac:dyDescent="0.3">
      <c r="X947" s="157"/>
      <c r="AC947" s="214"/>
      <c r="AD947" s="214"/>
      <c r="AE947" s="214"/>
      <c r="AF947" s="214"/>
      <c r="AG947" s="214"/>
    </row>
    <row r="948" spans="24:33" x14ac:dyDescent="0.3">
      <c r="X948" s="157"/>
      <c r="AC948" s="214"/>
      <c r="AD948" s="214"/>
      <c r="AE948" s="214"/>
      <c r="AF948" s="214"/>
      <c r="AG948" s="214"/>
    </row>
    <row r="949" spans="24:33" x14ac:dyDescent="0.3">
      <c r="X949" s="157"/>
      <c r="AC949" s="214"/>
      <c r="AD949" s="214"/>
      <c r="AE949" s="214"/>
      <c r="AF949" s="214"/>
      <c r="AG949" s="214"/>
    </row>
    <row r="950" spans="24:33" x14ac:dyDescent="0.3">
      <c r="X950" s="157"/>
      <c r="AC950" s="214"/>
      <c r="AD950" s="214"/>
      <c r="AE950" s="214"/>
      <c r="AF950" s="214"/>
      <c r="AG950" s="214"/>
    </row>
    <row r="951" spans="24:33" x14ac:dyDescent="0.3">
      <c r="X951" s="157"/>
      <c r="AC951" s="214"/>
      <c r="AD951" s="214"/>
      <c r="AE951" s="214"/>
      <c r="AF951" s="214"/>
      <c r="AG951" s="214"/>
    </row>
    <row r="952" spans="24:33" x14ac:dyDescent="0.3">
      <c r="X952" s="157"/>
      <c r="AC952" s="214"/>
      <c r="AD952" s="214"/>
      <c r="AE952" s="214"/>
      <c r="AF952" s="214"/>
      <c r="AG952" s="214"/>
    </row>
    <row r="953" spans="24:33" x14ac:dyDescent="0.3">
      <c r="X953" s="157"/>
      <c r="AC953" s="214"/>
      <c r="AD953" s="214"/>
      <c r="AE953" s="214"/>
      <c r="AF953" s="214"/>
      <c r="AG953" s="214"/>
    </row>
    <row r="954" spans="24:33" x14ac:dyDescent="0.3">
      <c r="X954" s="157"/>
      <c r="AC954" s="214"/>
      <c r="AD954" s="214"/>
      <c r="AE954" s="214"/>
      <c r="AF954" s="214"/>
      <c r="AG954" s="214"/>
    </row>
    <row r="955" spans="24:33" x14ac:dyDescent="0.3">
      <c r="X955" s="157"/>
      <c r="AC955" s="214"/>
      <c r="AD955" s="214"/>
      <c r="AE955" s="214"/>
      <c r="AF955" s="214"/>
      <c r="AG955" s="214"/>
    </row>
    <row r="956" spans="24:33" x14ac:dyDescent="0.3">
      <c r="X956" s="157"/>
      <c r="AC956" s="214"/>
      <c r="AD956" s="214"/>
      <c r="AE956" s="214"/>
      <c r="AF956" s="214"/>
      <c r="AG956" s="214"/>
    </row>
    <row r="957" spans="24:33" x14ac:dyDescent="0.3">
      <c r="X957" s="157"/>
      <c r="AC957" s="214"/>
      <c r="AD957" s="214"/>
      <c r="AE957" s="214"/>
      <c r="AF957" s="214"/>
      <c r="AG957" s="214"/>
    </row>
    <row r="958" spans="24:33" x14ac:dyDescent="0.3">
      <c r="X958" s="157"/>
      <c r="AC958" s="214"/>
      <c r="AD958" s="214"/>
      <c r="AE958" s="214"/>
      <c r="AF958" s="214"/>
      <c r="AG958" s="214"/>
    </row>
    <row r="959" spans="24:33" x14ac:dyDescent="0.3">
      <c r="X959" s="157"/>
      <c r="AC959" s="214"/>
      <c r="AD959" s="214"/>
      <c r="AE959" s="214"/>
      <c r="AF959" s="214"/>
      <c r="AG959" s="214"/>
    </row>
    <row r="960" spans="24:33" x14ac:dyDescent="0.3">
      <c r="X960" s="157"/>
      <c r="AC960" s="214"/>
      <c r="AD960" s="214"/>
      <c r="AE960" s="214"/>
      <c r="AF960" s="214"/>
      <c r="AG960" s="214"/>
    </row>
    <row r="961" spans="24:33" x14ac:dyDescent="0.3">
      <c r="X961" s="157"/>
      <c r="AC961" s="214"/>
      <c r="AD961" s="214"/>
      <c r="AE961" s="214"/>
      <c r="AF961" s="214"/>
      <c r="AG961" s="214"/>
    </row>
    <row r="962" spans="24:33" x14ac:dyDescent="0.3">
      <c r="X962" s="157"/>
      <c r="AC962" s="214"/>
      <c r="AD962" s="214"/>
      <c r="AE962" s="214"/>
      <c r="AF962" s="214"/>
      <c r="AG962" s="214"/>
    </row>
    <row r="963" spans="24:33" x14ac:dyDescent="0.3">
      <c r="X963" s="157"/>
      <c r="AC963" s="214"/>
      <c r="AD963" s="214"/>
      <c r="AE963" s="214"/>
      <c r="AF963" s="214"/>
      <c r="AG963" s="214"/>
    </row>
    <row r="964" spans="24:33" x14ac:dyDescent="0.3">
      <c r="X964" s="157"/>
      <c r="AC964" s="214"/>
      <c r="AD964" s="214"/>
      <c r="AE964" s="214"/>
      <c r="AF964" s="214"/>
      <c r="AG964" s="214"/>
    </row>
    <row r="965" spans="24:33" x14ac:dyDescent="0.3">
      <c r="X965" s="157"/>
      <c r="AC965" s="214"/>
      <c r="AD965" s="214"/>
      <c r="AE965" s="214"/>
      <c r="AF965" s="214"/>
      <c r="AG965" s="214"/>
    </row>
    <row r="966" spans="24:33" x14ac:dyDescent="0.3">
      <c r="X966" s="157"/>
      <c r="AC966" s="214"/>
      <c r="AD966" s="214"/>
      <c r="AE966" s="214"/>
      <c r="AF966" s="214"/>
      <c r="AG966" s="214"/>
    </row>
    <row r="967" spans="24:33" x14ac:dyDescent="0.3">
      <c r="X967" s="157"/>
      <c r="AC967" s="214"/>
      <c r="AD967" s="214"/>
      <c r="AE967" s="214"/>
      <c r="AF967" s="214"/>
      <c r="AG967" s="214"/>
    </row>
    <row r="968" spans="24:33" x14ac:dyDescent="0.3">
      <c r="X968" s="157"/>
      <c r="AC968" s="214"/>
      <c r="AD968" s="214"/>
      <c r="AE968" s="214"/>
      <c r="AF968" s="214"/>
      <c r="AG968" s="214"/>
    </row>
    <row r="969" spans="24:33" x14ac:dyDescent="0.3">
      <c r="X969" s="157"/>
      <c r="AC969" s="214"/>
      <c r="AD969" s="214"/>
      <c r="AE969" s="214"/>
      <c r="AF969" s="214"/>
      <c r="AG969" s="214"/>
    </row>
    <row r="970" spans="24:33" x14ac:dyDescent="0.3">
      <c r="X970" s="157"/>
      <c r="AC970" s="214"/>
      <c r="AD970" s="214"/>
      <c r="AE970" s="214"/>
      <c r="AF970" s="214"/>
      <c r="AG970" s="214"/>
    </row>
    <row r="971" spans="24:33" x14ac:dyDescent="0.3">
      <c r="X971" s="157"/>
      <c r="AC971" s="214"/>
      <c r="AD971" s="214"/>
      <c r="AE971" s="214"/>
      <c r="AF971" s="214"/>
      <c r="AG971" s="214"/>
    </row>
    <row r="972" spans="24:33" x14ac:dyDescent="0.3">
      <c r="X972" s="157"/>
      <c r="AC972" s="214"/>
      <c r="AD972" s="214"/>
      <c r="AE972" s="214"/>
      <c r="AF972" s="214"/>
      <c r="AG972" s="214"/>
    </row>
    <row r="973" spans="24:33" x14ac:dyDescent="0.3">
      <c r="X973" s="157"/>
      <c r="AC973" s="214"/>
      <c r="AD973" s="214"/>
      <c r="AE973" s="214"/>
      <c r="AF973" s="214"/>
      <c r="AG973" s="214"/>
    </row>
    <row r="974" spans="24:33" x14ac:dyDescent="0.3">
      <c r="X974" s="157"/>
      <c r="AC974" s="214"/>
      <c r="AD974" s="214"/>
      <c r="AE974" s="214"/>
      <c r="AF974" s="214"/>
      <c r="AG974" s="214"/>
    </row>
    <row r="975" spans="24:33" x14ac:dyDescent="0.3">
      <c r="X975" s="157"/>
      <c r="AC975" s="214"/>
      <c r="AD975" s="214"/>
      <c r="AE975" s="214"/>
      <c r="AF975" s="214"/>
      <c r="AG975" s="214"/>
    </row>
    <row r="976" spans="24:33" x14ac:dyDescent="0.3">
      <c r="X976" s="157"/>
      <c r="AC976" s="214"/>
      <c r="AD976" s="214"/>
      <c r="AE976" s="214"/>
      <c r="AF976" s="214"/>
      <c r="AG976" s="214"/>
    </row>
    <row r="977" spans="24:33" x14ac:dyDescent="0.3">
      <c r="X977" s="157"/>
      <c r="AC977" s="214"/>
      <c r="AD977" s="214"/>
      <c r="AE977" s="214"/>
      <c r="AF977" s="214"/>
      <c r="AG977" s="214"/>
    </row>
    <row r="978" spans="24:33" x14ac:dyDescent="0.3">
      <c r="X978" s="157"/>
      <c r="AC978" s="214"/>
      <c r="AD978" s="214"/>
      <c r="AE978" s="214"/>
      <c r="AF978" s="214"/>
      <c r="AG978" s="214"/>
    </row>
    <row r="979" spans="24:33" x14ac:dyDescent="0.3">
      <c r="X979" s="157"/>
      <c r="AC979" s="214"/>
      <c r="AD979" s="214"/>
      <c r="AE979" s="214"/>
      <c r="AF979" s="214"/>
      <c r="AG979" s="214"/>
    </row>
    <row r="980" spans="24:33" x14ac:dyDescent="0.3">
      <c r="X980" s="157"/>
      <c r="AC980" s="214"/>
      <c r="AD980" s="214"/>
      <c r="AE980" s="214"/>
      <c r="AF980" s="214"/>
      <c r="AG980" s="214"/>
    </row>
    <row r="981" spans="24:33" x14ac:dyDescent="0.3">
      <c r="X981" s="157"/>
      <c r="AC981" s="214"/>
      <c r="AD981" s="214"/>
      <c r="AE981" s="214"/>
      <c r="AF981" s="214"/>
      <c r="AG981" s="214"/>
    </row>
    <row r="982" spans="24:33" x14ac:dyDescent="0.3">
      <c r="X982" s="157"/>
      <c r="AC982" s="214"/>
      <c r="AD982" s="214"/>
      <c r="AE982" s="214"/>
      <c r="AF982" s="214"/>
      <c r="AG982" s="214"/>
    </row>
    <row r="983" spans="24:33" x14ac:dyDescent="0.3">
      <c r="X983" s="157"/>
      <c r="AC983" s="214"/>
      <c r="AD983" s="214"/>
      <c r="AE983" s="214"/>
      <c r="AF983" s="214"/>
      <c r="AG983" s="214"/>
    </row>
    <row r="984" spans="24:33" x14ac:dyDescent="0.3">
      <c r="X984" s="157"/>
      <c r="AC984" s="214"/>
      <c r="AD984" s="214"/>
      <c r="AE984" s="214"/>
      <c r="AF984" s="214"/>
      <c r="AG984" s="214"/>
    </row>
    <row r="985" spans="24:33" x14ac:dyDescent="0.3">
      <c r="X985" s="157"/>
      <c r="AC985" s="214"/>
      <c r="AD985" s="214"/>
      <c r="AE985" s="214"/>
      <c r="AF985" s="214"/>
      <c r="AG985" s="214"/>
    </row>
    <row r="986" spans="24:33" x14ac:dyDescent="0.3">
      <c r="X986" s="157"/>
      <c r="AC986" s="214"/>
      <c r="AD986" s="214"/>
      <c r="AE986" s="214"/>
      <c r="AF986" s="214"/>
      <c r="AG986" s="214"/>
    </row>
    <row r="987" spans="24:33" x14ac:dyDescent="0.3">
      <c r="X987" s="157"/>
      <c r="AC987" s="214"/>
      <c r="AD987" s="214"/>
      <c r="AE987" s="214"/>
      <c r="AF987" s="214"/>
      <c r="AG987" s="214"/>
    </row>
    <row r="988" spans="24:33" x14ac:dyDescent="0.3">
      <c r="X988" s="157"/>
      <c r="AC988" s="214"/>
      <c r="AD988" s="214"/>
      <c r="AE988" s="214"/>
      <c r="AF988" s="214"/>
      <c r="AG988" s="214"/>
    </row>
    <row r="989" spans="24:33" x14ac:dyDescent="0.3">
      <c r="X989" s="157"/>
      <c r="AC989" s="214"/>
      <c r="AD989" s="214"/>
      <c r="AE989" s="214"/>
      <c r="AF989" s="214"/>
      <c r="AG989" s="214"/>
    </row>
    <row r="990" spans="24:33" x14ac:dyDescent="0.3">
      <c r="X990" s="157"/>
      <c r="AC990" s="214"/>
      <c r="AD990" s="214"/>
      <c r="AE990" s="214"/>
      <c r="AF990" s="214"/>
      <c r="AG990" s="214"/>
    </row>
    <row r="991" spans="24:33" x14ac:dyDescent="0.3">
      <c r="X991" s="157"/>
      <c r="AC991" s="214"/>
      <c r="AD991" s="214"/>
      <c r="AE991" s="214"/>
      <c r="AF991" s="214"/>
      <c r="AG991" s="214"/>
    </row>
    <row r="992" spans="24:33" x14ac:dyDescent="0.3">
      <c r="X992" s="157"/>
      <c r="AC992" s="214"/>
      <c r="AD992" s="214"/>
      <c r="AE992" s="214"/>
      <c r="AF992" s="214"/>
      <c r="AG992" s="214"/>
    </row>
    <row r="993" spans="24:33" x14ac:dyDescent="0.3">
      <c r="X993" s="157"/>
      <c r="AC993" s="214"/>
      <c r="AD993" s="214"/>
      <c r="AE993" s="214"/>
      <c r="AF993" s="214"/>
      <c r="AG993" s="214"/>
    </row>
    <row r="994" spans="24:33" x14ac:dyDescent="0.3">
      <c r="X994" s="157"/>
      <c r="AC994" s="214"/>
      <c r="AD994" s="214"/>
      <c r="AE994" s="214"/>
      <c r="AF994" s="214"/>
      <c r="AG994" s="214"/>
    </row>
    <row r="995" spans="24:33" x14ac:dyDescent="0.3">
      <c r="X995" s="157"/>
      <c r="AC995" s="214"/>
      <c r="AD995" s="214"/>
      <c r="AE995" s="214"/>
      <c r="AF995" s="214"/>
      <c r="AG995" s="214"/>
    </row>
    <row r="996" spans="24:33" x14ac:dyDescent="0.3">
      <c r="X996" s="157"/>
      <c r="AC996" s="214"/>
      <c r="AD996" s="214"/>
      <c r="AE996" s="214"/>
      <c r="AF996" s="214"/>
      <c r="AG996" s="214"/>
    </row>
    <row r="997" spans="24:33" x14ac:dyDescent="0.3">
      <c r="X997" s="157"/>
      <c r="AC997" s="214"/>
      <c r="AD997" s="214"/>
      <c r="AE997" s="214"/>
      <c r="AF997" s="214"/>
      <c r="AG997" s="214"/>
    </row>
    <row r="998" spans="24:33" x14ac:dyDescent="0.3">
      <c r="X998" s="157"/>
      <c r="AC998" s="214"/>
      <c r="AD998" s="214"/>
      <c r="AE998" s="214"/>
      <c r="AF998" s="214"/>
      <c r="AG998" s="214"/>
    </row>
    <row r="999" spans="24:33" x14ac:dyDescent="0.3">
      <c r="X999" s="157"/>
      <c r="AC999" s="214"/>
      <c r="AD999" s="214"/>
      <c r="AE999" s="214"/>
      <c r="AF999" s="214"/>
      <c r="AG999" s="214"/>
    </row>
    <row r="1000" spans="24:33" x14ac:dyDescent="0.3">
      <c r="X1000" s="157"/>
      <c r="AC1000" s="214"/>
      <c r="AD1000" s="214"/>
      <c r="AE1000" s="214"/>
      <c r="AF1000" s="214"/>
      <c r="AG1000" s="214"/>
    </row>
    <row r="1001" spans="24:33" x14ac:dyDescent="0.3">
      <c r="X1001" s="157"/>
      <c r="AC1001" s="214"/>
      <c r="AD1001" s="214"/>
      <c r="AE1001" s="214"/>
      <c r="AF1001" s="214"/>
      <c r="AG1001" s="214"/>
    </row>
    <row r="1002" spans="24:33" x14ac:dyDescent="0.3">
      <c r="X1002" s="157"/>
      <c r="AC1002" s="214"/>
      <c r="AD1002" s="214"/>
      <c r="AE1002" s="214"/>
      <c r="AF1002" s="214"/>
      <c r="AG1002" s="214"/>
    </row>
    <row r="1003" spans="24:33" x14ac:dyDescent="0.3">
      <c r="X1003" s="157"/>
      <c r="AC1003" s="214"/>
      <c r="AD1003" s="214"/>
      <c r="AE1003" s="214"/>
      <c r="AF1003" s="214"/>
      <c r="AG1003" s="214"/>
    </row>
    <row r="1004" spans="24:33" x14ac:dyDescent="0.3">
      <c r="X1004" s="157"/>
      <c r="AC1004" s="214"/>
      <c r="AD1004" s="214"/>
      <c r="AE1004" s="214"/>
      <c r="AF1004" s="214"/>
      <c r="AG1004" s="214"/>
    </row>
    <row r="1005" spans="24:33" x14ac:dyDescent="0.3">
      <c r="X1005" s="157"/>
      <c r="AC1005" s="214"/>
      <c r="AD1005" s="214"/>
      <c r="AE1005" s="214"/>
      <c r="AF1005" s="214"/>
      <c r="AG1005" s="214"/>
    </row>
    <row r="1006" spans="24:33" x14ac:dyDescent="0.3">
      <c r="X1006" s="157"/>
      <c r="AC1006" s="214"/>
      <c r="AD1006" s="214"/>
      <c r="AE1006" s="214"/>
      <c r="AF1006" s="214"/>
      <c r="AG1006" s="214"/>
    </row>
    <row r="1007" spans="24:33" x14ac:dyDescent="0.3">
      <c r="X1007" s="157"/>
      <c r="AC1007" s="214"/>
      <c r="AD1007" s="214"/>
      <c r="AE1007" s="214"/>
      <c r="AF1007" s="214"/>
      <c r="AG1007" s="214"/>
    </row>
    <row r="1008" spans="24:33" x14ac:dyDescent="0.3">
      <c r="X1008" s="157"/>
      <c r="AC1008" s="214"/>
      <c r="AD1008" s="214"/>
      <c r="AE1008" s="214"/>
      <c r="AF1008" s="214"/>
      <c r="AG1008" s="214"/>
    </row>
    <row r="1009" spans="24:33" x14ac:dyDescent="0.3">
      <c r="X1009" s="157"/>
      <c r="AC1009" s="214"/>
      <c r="AD1009" s="214"/>
      <c r="AE1009" s="214"/>
      <c r="AF1009" s="214"/>
      <c r="AG1009" s="214"/>
    </row>
    <row r="1010" spans="24:33" x14ac:dyDescent="0.3">
      <c r="X1010" s="157"/>
      <c r="AC1010" s="214"/>
      <c r="AD1010" s="214"/>
      <c r="AE1010" s="214"/>
      <c r="AF1010" s="214"/>
      <c r="AG1010" s="214"/>
    </row>
    <row r="1011" spans="24:33" x14ac:dyDescent="0.3">
      <c r="X1011" s="157"/>
      <c r="AC1011" s="214"/>
      <c r="AD1011" s="214"/>
      <c r="AE1011" s="214"/>
      <c r="AF1011" s="214"/>
      <c r="AG1011" s="214"/>
    </row>
    <row r="1012" spans="24:33" x14ac:dyDescent="0.3">
      <c r="X1012" s="157"/>
      <c r="AC1012" s="214"/>
      <c r="AD1012" s="214"/>
      <c r="AE1012" s="214"/>
      <c r="AF1012" s="214"/>
      <c r="AG1012" s="214"/>
    </row>
    <row r="1013" spans="24:33" x14ac:dyDescent="0.3">
      <c r="X1013" s="157"/>
      <c r="AC1013" s="214"/>
      <c r="AD1013" s="214"/>
      <c r="AE1013" s="214"/>
      <c r="AF1013" s="214"/>
      <c r="AG1013" s="214"/>
    </row>
    <row r="1014" spans="24:33" x14ac:dyDescent="0.3">
      <c r="X1014" s="157"/>
      <c r="AC1014" s="214"/>
      <c r="AD1014" s="214"/>
      <c r="AE1014" s="214"/>
      <c r="AF1014" s="214"/>
      <c r="AG1014" s="214"/>
    </row>
    <row r="1015" spans="24:33" x14ac:dyDescent="0.3">
      <c r="X1015" s="157"/>
      <c r="AC1015" s="214"/>
      <c r="AD1015" s="214"/>
      <c r="AE1015" s="214"/>
      <c r="AF1015" s="214"/>
      <c r="AG1015" s="214"/>
    </row>
    <row r="1016" spans="24:33" x14ac:dyDescent="0.3">
      <c r="X1016" s="157"/>
      <c r="AC1016" s="214"/>
      <c r="AD1016" s="214"/>
      <c r="AE1016" s="214"/>
      <c r="AF1016" s="214"/>
      <c r="AG1016" s="214"/>
    </row>
    <row r="1017" spans="24:33" x14ac:dyDescent="0.3">
      <c r="X1017" s="157"/>
      <c r="AC1017" s="214"/>
      <c r="AD1017" s="214"/>
      <c r="AE1017" s="214"/>
      <c r="AF1017" s="214"/>
      <c r="AG1017" s="214"/>
    </row>
    <row r="1018" spans="24:33" x14ac:dyDescent="0.3">
      <c r="X1018" s="157"/>
      <c r="AC1018" s="214"/>
      <c r="AD1018" s="214"/>
      <c r="AE1018" s="214"/>
      <c r="AF1018" s="214"/>
      <c r="AG1018" s="214"/>
    </row>
    <row r="1019" spans="24:33" x14ac:dyDescent="0.3">
      <c r="X1019" s="157"/>
      <c r="AC1019" s="214"/>
      <c r="AD1019" s="214"/>
      <c r="AE1019" s="214"/>
      <c r="AF1019" s="214"/>
      <c r="AG1019" s="214"/>
    </row>
    <row r="1020" spans="24:33" x14ac:dyDescent="0.3">
      <c r="X1020" s="157"/>
      <c r="AC1020" s="214"/>
      <c r="AD1020" s="214"/>
      <c r="AE1020" s="214"/>
      <c r="AF1020" s="214"/>
      <c r="AG1020" s="214"/>
    </row>
    <row r="1021" spans="24:33" x14ac:dyDescent="0.3">
      <c r="X1021" s="157"/>
      <c r="AC1021" s="214"/>
      <c r="AD1021" s="214"/>
      <c r="AE1021" s="214"/>
      <c r="AF1021" s="214"/>
      <c r="AG1021" s="214"/>
    </row>
    <row r="1022" spans="24:33" x14ac:dyDescent="0.3">
      <c r="X1022" s="157"/>
      <c r="AC1022" s="214"/>
      <c r="AD1022" s="214"/>
      <c r="AE1022" s="214"/>
      <c r="AF1022" s="214"/>
      <c r="AG1022" s="214"/>
    </row>
    <row r="1023" spans="24:33" x14ac:dyDescent="0.3">
      <c r="X1023" s="157"/>
      <c r="AC1023" s="214"/>
      <c r="AD1023" s="214"/>
      <c r="AE1023" s="214"/>
      <c r="AF1023" s="214"/>
      <c r="AG1023" s="214"/>
    </row>
    <row r="1024" spans="24:33" x14ac:dyDescent="0.3">
      <c r="X1024" s="157"/>
      <c r="AC1024" s="214"/>
      <c r="AD1024" s="214"/>
      <c r="AE1024" s="214"/>
      <c r="AF1024" s="214"/>
      <c r="AG1024" s="214"/>
    </row>
    <row r="1025" spans="24:33" x14ac:dyDescent="0.3">
      <c r="X1025" s="157"/>
      <c r="AC1025" s="214"/>
      <c r="AD1025" s="214"/>
      <c r="AE1025" s="214"/>
      <c r="AF1025" s="214"/>
      <c r="AG1025" s="214"/>
    </row>
    <row r="1026" spans="24:33" x14ac:dyDescent="0.3">
      <c r="X1026" s="157"/>
      <c r="AC1026" s="214"/>
      <c r="AD1026" s="214"/>
      <c r="AE1026" s="214"/>
      <c r="AF1026" s="214"/>
      <c r="AG1026" s="214"/>
    </row>
    <row r="1027" spans="24:33" x14ac:dyDescent="0.3">
      <c r="X1027" s="157"/>
      <c r="AC1027" s="214"/>
      <c r="AD1027" s="214"/>
      <c r="AE1027" s="214"/>
      <c r="AF1027" s="214"/>
      <c r="AG1027" s="214"/>
    </row>
    <row r="1028" spans="24:33" x14ac:dyDescent="0.3">
      <c r="X1028" s="157"/>
      <c r="AC1028" s="214"/>
      <c r="AD1028" s="214"/>
      <c r="AE1028" s="214"/>
      <c r="AF1028" s="214"/>
      <c r="AG1028" s="214"/>
    </row>
    <row r="1029" spans="24:33" x14ac:dyDescent="0.3">
      <c r="X1029" s="157"/>
      <c r="AC1029" s="214"/>
      <c r="AD1029" s="214"/>
      <c r="AE1029" s="214"/>
      <c r="AF1029" s="214"/>
      <c r="AG1029" s="214"/>
    </row>
    <row r="1030" spans="24:33" x14ac:dyDescent="0.3">
      <c r="X1030" s="157"/>
      <c r="AC1030" s="214"/>
      <c r="AD1030" s="214"/>
      <c r="AE1030" s="214"/>
      <c r="AF1030" s="214"/>
      <c r="AG1030" s="214"/>
    </row>
    <row r="1031" spans="24:33" x14ac:dyDescent="0.3">
      <c r="X1031" s="157"/>
      <c r="AC1031" s="214"/>
      <c r="AD1031" s="214"/>
      <c r="AE1031" s="214"/>
      <c r="AF1031" s="214"/>
      <c r="AG1031" s="214"/>
    </row>
    <row r="1032" spans="24:33" x14ac:dyDescent="0.3">
      <c r="X1032" s="157"/>
      <c r="AC1032" s="214"/>
      <c r="AD1032" s="214"/>
      <c r="AE1032" s="214"/>
      <c r="AF1032" s="214"/>
      <c r="AG1032" s="214"/>
    </row>
    <row r="1033" spans="24:33" x14ac:dyDescent="0.3">
      <c r="X1033" s="157"/>
      <c r="AC1033" s="214"/>
      <c r="AD1033" s="214"/>
      <c r="AE1033" s="214"/>
      <c r="AF1033" s="214"/>
      <c r="AG1033" s="214"/>
    </row>
    <row r="1034" spans="24:33" x14ac:dyDescent="0.3">
      <c r="X1034" s="157"/>
      <c r="AC1034" s="214"/>
      <c r="AD1034" s="214"/>
      <c r="AE1034" s="214"/>
      <c r="AF1034" s="214"/>
      <c r="AG1034" s="214"/>
    </row>
    <row r="1035" spans="24:33" x14ac:dyDescent="0.3">
      <c r="X1035" s="157"/>
      <c r="AC1035" s="214"/>
      <c r="AD1035" s="214"/>
      <c r="AE1035" s="214"/>
      <c r="AF1035" s="214"/>
      <c r="AG1035" s="214"/>
    </row>
    <row r="1036" spans="24:33" x14ac:dyDescent="0.3">
      <c r="X1036" s="157"/>
      <c r="AC1036" s="214"/>
      <c r="AD1036" s="214"/>
      <c r="AE1036" s="214"/>
      <c r="AF1036" s="214"/>
      <c r="AG1036" s="214"/>
    </row>
    <row r="1037" spans="24:33" x14ac:dyDescent="0.3">
      <c r="X1037" s="157"/>
      <c r="AC1037" s="214"/>
      <c r="AD1037" s="214"/>
      <c r="AE1037" s="214"/>
      <c r="AF1037" s="214"/>
      <c r="AG1037" s="214"/>
    </row>
    <row r="1038" spans="24:33" x14ac:dyDescent="0.3">
      <c r="X1038" s="157"/>
      <c r="AC1038" s="214"/>
      <c r="AD1038" s="214"/>
      <c r="AE1038" s="214"/>
      <c r="AF1038" s="214"/>
      <c r="AG1038" s="214"/>
    </row>
    <row r="1039" spans="24:33" x14ac:dyDescent="0.3">
      <c r="X1039" s="157"/>
      <c r="AC1039" s="214"/>
      <c r="AD1039" s="214"/>
      <c r="AE1039" s="214"/>
      <c r="AF1039" s="214"/>
      <c r="AG1039" s="214"/>
    </row>
    <row r="1040" spans="24:33" x14ac:dyDescent="0.3">
      <c r="X1040" s="157"/>
      <c r="AC1040" s="214"/>
      <c r="AD1040" s="214"/>
      <c r="AE1040" s="214"/>
      <c r="AF1040" s="214"/>
      <c r="AG1040" s="214"/>
    </row>
    <row r="1041" spans="24:33" x14ac:dyDescent="0.3">
      <c r="X1041" s="157"/>
      <c r="AC1041" s="214"/>
      <c r="AD1041" s="214"/>
      <c r="AE1041" s="214"/>
      <c r="AF1041" s="214"/>
      <c r="AG1041" s="214"/>
    </row>
    <row r="1042" spans="24:33" x14ac:dyDescent="0.3">
      <c r="X1042" s="157"/>
      <c r="AC1042" s="214"/>
      <c r="AD1042" s="214"/>
      <c r="AE1042" s="214"/>
      <c r="AF1042" s="214"/>
      <c r="AG1042" s="214"/>
    </row>
    <row r="1043" spans="24:33" x14ac:dyDescent="0.3">
      <c r="X1043" s="157"/>
      <c r="AC1043" s="214"/>
      <c r="AD1043" s="214"/>
      <c r="AE1043" s="214"/>
      <c r="AF1043" s="214"/>
      <c r="AG1043" s="214"/>
    </row>
    <row r="1044" spans="24:33" x14ac:dyDescent="0.3">
      <c r="X1044" s="157"/>
      <c r="AC1044" s="214"/>
      <c r="AD1044" s="214"/>
      <c r="AE1044" s="214"/>
      <c r="AF1044" s="214"/>
      <c r="AG1044" s="214"/>
    </row>
    <row r="1045" spans="24:33" x14ac:dyDescent="0.3">
      <c r="X1045" s="157"/>
      <c r="AC1045" s="214"/>
      <c r="AD1045" s="214"/>
      <c r="AE1045" s="214"/>
      <c r="AF1045" s="214"/>
      <c r="AG1045" s="214"/>
    </row>
    <row r="1046" spans="24:33" x14ac:dyDescent="0.3">
      <c r="X1046" s="157"/>
      <c r="AC1046" s="214"/>
      <c r="AD1046" s="214"/>
      <c r="AE1046" s="214"/>
      <c r="AF1046" s="214"/>
      <c r="AG1046" s="214"/>
    </row>
    <row r="1047" spans="24:33" x14ac:dyDescent="0.3">
      <c r="X1047" s="157"/>
      <c r="AC1047" s="214"/>
      <c r="AD1047" s="214"/>
      <c r="AE1047" s="214"/>
      <c r="AF1047" s="214"/>
      <c r="AG1047" s="214"/>
    </row>
    <row r="1048" spans="24:33" x14ac:dyDescent="0.3">
      <c r="X1048" s="157"/>
      <c r="AC1048" s="214"/>
      <c r="AD1048" s="214"/>
      <c r="AE1048" s="214"/>
      <c r="AF1048" s="214"/>
      <c r="AG1048" s="214"/>
    </row>
    <row r="1049" spans="24:33" x14ac:dyDescent="0.3">
      <c r="X1049" s="157"/>
      <c r="AC1049" s="214"/>
      <c r="AD1049" s="214"/>
      <c r="AE1049" s="214"/>
      <c r="AF1049" s="214"/>
      <c r="AG1049" s="214"/>
    </row>
    <row r="1050" spans="24:33" x14ac:dyDescent="0.3">
      <c r="X1050" s="157"/>
      <c r="AC1050" s="214"/>
      <c r="AD1050" s="214"/>
      <c r="AE1050" s="214"/>
      <c r="AF1050" s="214"/>
      <c r="AG1050" s="214"/>
    </row>
    <row r="1051" spans="24:33" x14ac:dyDescent="0.3">
      <c r="X1051" s="157"/>
      <c r="AC1051" s="214"/>
      <c r="AD1051" s="214"/>
      <c r="AE1051" s="214"/>
      <c r="AF1051" s="214"/>
      <c r="AG1051" s="214"/>
    </row>
    <row r="1052" spans="24:33" x14ac:dyDescent="0.3">
      <c r="X1052" s="157"/>
      <c r="AC1052" s="214"/>
      <c r="AD1052" s="214"/>
      <c r="AE1052" s="214"/>
      <c r="AF1052" s="214"/>
      <c r="AG1052" s="214"/>
    </row>
    <row r="1053" spans="24:33" x14ac:dyDescent="0.3">
      <c r="X1053" s="157"/>
      <c r="AC1053" s="214"/>
      <c r="AD1053" s="214"/>
      <c r="AE1053" s="214"/>
      <c r="AF1053" s="214"/>
      <c r="AG1053" s="214"/>
    </row>
    <row r="1054" spans="24:33" x14ac:dyDescent="0.3">
      <c r="X1054" s="157"/>
      <c r="AC1054" s="214"/>
      <c r="AD1054" s="214"/>
      <c r="AE1054" s="214"/>
      <c r="AF1054" s="214"/>
      <c r="AG1054" s="214"/>
    </row>
    <row r="1055" spans="24:33" x14ac:dyDescent="0.3">
      <c r="X1055" s="157"/>
      <c r="AC1055" s="214"/>
      <c r="AD1055" s="214"/>
      <c r="AE1055" s="214"/>
      <c r="AF1055" s="214"/>
      <c r="AG1055" s="214"/>
    </row>
    <row r="1056" spans="24:33" x14ac:dyDescent="0.3">
      <c r="X1056" s="157"/>
      <c r="AC1056" s="214"/>
      <c r="AD1056" s="214"/>
      <c r="AE1056" s="214"/>
      <c r="AF1056" s="214"/>
      <c r="AG1056" s="214"/>
    </row>
    <row r="1057" spans="24:33" x14ac:dyDescent="0.3">
      <c r="X1057" s="157"/>
      <c r="AC1057" s="214"/>
      <c r="AD1057" s="214"/>
      <c r="AE1057" s="214"/>
      <c r="AF1057" s="214"/>
      <c r="AG1057" s="214"/>
    </row>
    <row r="1058" spans="24:33" x14ac:dyDescent="0.3">
      <c r="X1058" s="157"/>
      <c r="AC1058" s="214"/>
      <c r="AD1058" s="214"/>
      <c r="AE1058" s="214"/>
      <c r="AF1058" s="214"/>
      <c r="AG1058" s="214"/>
    </row>
    <row r="1059" spans="24:33" x14ac:dyDescent="0.3">
      <c r="X1059" s="157"/>
      <c r="AC1059" s="214"/>
      <c r="AD1059" s="214"/>
      <c r="AE1059" s="214"/>
      <c r="AF1059" s="214"/>
      <c r="AG1059" s="214"/>
    </row>
    <row r="1060" spans="24:33" x14ac:dyDescent="0.3">
      <c r="X1060" s="157"/>
      <c r="AC1060" s="214"/>
      <c r="AD1060" s="214"/>
      <c r="AE1060" s="214"/>
      <c r="AF1060" s="214"/>
      <c r="AG1060" s="214"/>
    </row>
    <row r="1061" spans="24:33" x14ac:dyDescent="0.3">
      <c r="X1061" s="157"/>
      <c r="AC1061" s="214"/>
      <c r="AD1061" s="214"/>
      <c r="AE1061" s="214"/>
      <c r="AF1061" s="214"/>
      <c r="AG1061" s="214"/>
    </row>
    <row r="1062" spans="24:33" x14ac:dyDescent="0.3">
      <c r="X1062" s="157"/>
      <c r="AC1062" s="214"/>
      <c r="AD1062" s="214"/>
      <c r="AE1062" s="214"/>
      <c r="AF1062" s="214"/>
      <c r="AG1062" s="214"/>
    </row>
    <row r="1063" spans="24:33" x14ac:dyDescent="0.3">
      <c r="X1063" s="157"/>
      <c r="AC1063" s="214"/>
      <c r="AD1063" s="214"/>
      <c r="AE1063" s="214"/>
      <c r="AF1063" s="214"/>
      <c r="AG1063" s="214"/>
    </row>
    <row r="1064" spans="24:33" x14ac:dyDescent="0.3">
      <c r="X1064" s="157"/>
      <c r="AC1064" s="214"/>
      <c r="AD1064" s="214"/>
      <c r="AE1064" s="214"/>
      <c r="AF1064" s="214"/>
      <c r="AG1064" s="214"/>
    </row>
    <row r="1065" spans="24:33" x14ac:dyDescent="0.3">
      <c r="X1065" s="157"/>
      <c r="AC1065" s="214"/>
      <c r="AD1065" s="214"/>
      <c r="AE1065" s="214"/>
      <c r="AF1065" s="214"/>
      <c r="AG1065" s="214"/>
    </row>
    <row r="1066" spans="24:33" x14ac:dyDescent="0.3">
      <c r="X1066" s="157"/>
      <c r="AC1066" s="214"/>
      <c r="AD1066" s="214"/>
      <c r="AE1066" s="214"/>
      <c r="AF1066" s="214"/>
      <c r="AG1066" s="214"/>
    </row>
    <row r="1067" spans="24:33" x14ac:dyDescent="0.3">
      <c r="X1067" s="157"/>
      <c r="AC1067" s="214"/>
      <c r="AD1067" s="214"/>
      <c r="AE1067" s="214"/>
      <c r="AF1067" s="214"/>
      <c r="AG1067" s="214"/>
    </row>
    <row r="1068" spans="24:33" x14ac:dyDescent="0.3">
      <c r="X1068" s="157"/>
      <c r="AC1068" s="214"/>
      <c r="AD1068" s="214"/>
      <c r="AE1068" s="214"/>
      <c r="AF1068" s="214"/>
      <c r="AG1068" s="214"/>
    </row>
    <row r="1069" spans="24:33" x14ac:dyDescent="0.3">
      <c r="X1069" s="157"/>
      <c r="AC1069" s="214"/>
      <c r="AD1069" s="214"/>
      <c r="AE1069" s="214"/>
      <c r="AF1069" s="214"/>
      <c r="AG1069" s="214"/>
    </row>
    <row r="1070" spans="24:33" x14ac:dyDescent="0.3">
      <c r="X1070" s="157"/>
      <c r="AC1070" s="214"/>
      <c r="AD1070" s="214"/>
      <c r="AE1070" s="214"/>
      <c r="AF1070" s="214"/>
      <c r="AG1070" s="214"/>
    </row>
    <row r="1071" spans="24:33" x14ac:dyDescent="0.3">
      <c r="X1071" s="157"/>
      <c r="AC1071" s="214"/>
      <c r="AD1071" s="214"/>
      <c r="AE1071" s="214"/>
      <c r="AF1071" s="214"/>
      <c r="AG1071" s="214"/>
    </row>
    <row r="1072" spans="24:33" x14ac:dyDescent="0.3">
      <c r="X1072" s="157"/>
      <c r="AC1072" s="214"/>
      <c r="AD1072" s="214"/>
      <c r="AE1072" s="214"/>
      <c r="AF1072" s="214"/>
      <c r="AG1072" s="214"/>
    </row>
    <row r="1073" spans="24:33" x14ac:dyDescent="0.3">
      <c r="X1073" s="157"/>
      <c r="AC1073" s="214"/>
      <c r="AD1073" s="214"/>
      <c r="AE1073" s="214"/>
      <c r="AF1073" s="214"/>
      <c r="AG1073" s="214"/>
    </row>
    <row r="1074" spans="24:33" x14ac:dyDescent="0.3">
      <c r="X1074" s="157"/>
      <c r="AC1074" s="214"/>
      <c r="AD1074" s="214"/>
      <c r="AE1074" s="214"/>
      <c r="AF1074" s="214"/>
      <c r="AG1074" s="214"/>
    </row>
    <row r="1075" spans="24:33" x14ac:dyDescent="0.3">
      <c r="X1075" s="157"/>
      <c r="AC1075" s="214"/>
      <c r="AD1075" s="214"/>
      <c r="AE1075" s="214"/>
      <c r="AF1075" s="214"/>
      <c r="AG1075" s="214"/>
    </row>
    <row r="1076" spans="24:33" x14ac:dyDescent="0.3">
      <c r="X1076" s="157"/>
      <c r="AC1076" s="214"/>
      <c r="AD1076" s="214"/>
      <c r="AE1076" s="214"/>
      <c r="AF1076" s="214"/>
      <c r="AG1076" s="214"/>
    </row>
  </sheetData>
  <autoFilter ref="A3:BC699" xr:uid="{A772622E-5F33-4E1B-89E5-CA8102C7922E}"/>
  <mergeCells count="2">
    <mergeCell ref="G2:M2"/>
    <mergeCell ref="Z642:Z649"/>
  </mergeCell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0BD8B-F095-4F48-B01F-27BC0193D8DB}">
  <sheetPr>
    <pageSetUpPr fitToPage="1"/>
  </sheetPr>
  <dimension ref="A1:M30"/>
  <sheetViews>
    <sheetView topLeftCell="C1" zoomScale="85" zoomScaleNormal="85" workbookViewId="0">
      <pane ySplit="5" topLeftCell="A6" activePane="bottomLeft" state="frozen"/>
      <selection activeCell="F18" sqref="F18"/>
      <selection pane="bottomLeft" activeCell="J1" sqref="J1"/>
    </sheetView>
  </sheetViews>
  <sheetFormatPr defaultColWidth="8.88671875" defaultRowHeight="10.199999999999999" x14ac:dyDescent="0.3"/>
  <cols>
    <col min="1" max="1" width="8.88671875" style="25" customWidth="1"/>
    <col min="2" max="2" width="10" style="103" customWidth="1"/>
    <col min="3" max="3" width="14.109375" style="25" customWidth="1"/>
    <col min="4" max="4" width="27.33203125" style="25" customWidth="1"/>
    <col min="5" max="5" width="40.88671875" style="25" customWidth="1"/>
    <col min="6" max="13" width="30.6640625" style="25" customWidth="1"/>
    <col min="14" max="16384" width="8.88671875" style="25"/>
  </cols>
  <sheetData>
    <row r="1" spans="1:13" ht="29.4" customHeight="1" x14ac:dyDescent="0.3">
      <c r="A1" s="224" t="s">
        <v>29</v>
      </c>
      <c r="B1" s="224"/>
      <c r="C1" s="224"/>
      <c r="D1" s="212"/>
      <c r="E1" s="212"/>
      <c r="F1" s="212"/>
      <c r="G1" s="212"/>
      <c r="H1" s="212"/>
      <c r="I1" s="212"/>
      <c r="J1" s="212"/>
      <c r="K1" s="212"/>
      <c r="L1" s="212"/>
      <c r="M1" s="212"/>
    </row>
    <row r="2" spans="1:13" ht="31.95" customHeight="1" x14ac:dyDescent="0.3">
      <c r="A2" s="225" t="s">
        <v>30</v>
      </c>
      <c r="B2" s="225"/>
      <c r="C2" s="225"/>
      <c r="D2" s="212"/>
      <c r="E2" s="212"/>
      <c r="F2" s="212"/>
      <c r="G2" s="212"/>
      <c r="H2" s="212"/>
      <c r="I2" s="212"/>
      <c r="J2" s="212"/>
      <c r="K2" s="212"/>
      <c r="L2" s="212"/>
      <c r="M2" s="212"/>
    </row>
    <row r="3" spans="1:13" x14ac:dyDescent="0.3">
      <c r="A3" s="26"/>
      <c r="B3" s="27"/>
      <c r="C3" s="26"/>
      <c r="E3" s="212"/>
      <c r="F3" s="212"/>
      <c r="G3" s="212"/>
      <c r="H3" s="212"/>
      <c r="I3" s="212"/>
      <c r="J3" s="212"/>
      <c r="K3" s="212"/>
      <c r="L3" s="212"/>
      <c r="M3" s="212"/>
    </row>
    <row r="4" spans="1:13" x14ac:dyDescent="0.3">
      <c r="A4" s="26"/>
      <c r="B4" s="27"/>
      <c r="C4" s="26"/>
      <c r="E4" s="212"/>
      <c r="F4" s="212"/>
      <c r="G4" s="212"/>
      <c r="H4" s="212"/>
      <c r="I4" s="212"/>
      <c r="J4" s="212"/>
      <c r="K4" s="212"/>
      <c r="L4" s="212"/>
      <c r="M4" s="212"/>
    </row>
    <row r="5" spans="1:13" ht="21" thickBot="1" x14ac:dyDescent="0.35">
      <c r="A5" s="28" t="s">
        <v>875</v>
      </c>
      <c r="B5" s="29" t="s">
        <v>31</v>
      </c>
      <c r="C5" s="30" t="s">
        <v>46</v>
      </c>
      <c r="D5" s="31" t="s">
        <v>32</v>
      </c>
      <c r="E5" s="31" t="s">
        <v>880</v>
      </c>
      <c r="F5" s="30" t="s">
        <v>4343</v>
      </c>
      <c r="G5" s="30" t="s">
        <v>4344</v>
      </c>
      <c r="H5" s="30" t="s">
        <v>4345</v>
      </c>
      <c r="I5" s="30" t="s">
        <v>4346</v>
      </c>
      <c r="J5" s="30" t="s">
        <v>4347</v>
      </c>
      <c r="K5" s="30" t="s">
        <v>4348</v>
      </c>
      <c r="L5" s="30" t="s">
        <v>4349</v>
      </c>
      <c r="M5" s="30" t="s">
        <v>4350</v>
      </c>
    </row>
    <row r="6" spans="1:13" ht="86.4" customHeight="1" x14ac:dyDescent="0.3">
      <c r="A6" s="32">
        <v>2</v>
      </c>
      <c r="B6" s="33">
        <v>29</v>
      </c>
      <c r="C6" s="34" t="s">
        <v>4351</v>
      </c>
      <c r="D6" s="34" t="s">
        <v>1033</v>
      </c>
      <c r="E6" s="35" t="s">
        <v>4352</v>
      </c>
      <c r="F6" s="235" t="s">
        <v>4353</v>
      </c>
      <c r="G6" s="236"/>
      <c r="H6" s="236"/>
      <c r="I6" s="236"/>
      <c r="J6" s="236"/>
      <c r="K6" s="236"/>
      <c r="L6" s="236"/>
      <c r="M6" s="237"/>
    </row>
    <row r="7" spans="1:13" ht="68.25" customHeight="1" x14ac:dyDescent="0.3">
      <c r="A7" s="36"/>
      <c r="B7" s="37"/>
      <c r="C7" s="38"/>
      <c r="D7" s="38"/>
      <c r="E7" s="39"/>
      <c r="F7" s="233" t="s">
        <v>4354</v>
      </c>
      <c r="G7" s="224"/>
      <c r="H7" s="224"/>
      <c r="I7" s="224"/>
      <c r="J7" s="224"/>
      <c r="K7" s="224"/>
      <c r="L7" s="224"/>
      <c r="M7" s="234"/>
    </row>
    <row r="8" spans="1:13" ht="68.25" customHeight="1" x14ac:dyDescent="0.3">
      <c r="A8" s="36"/>
      <c r="B8" s="37"/>
      <c r="C8" s="38"/>
      <c r="D8" s="38"/>
      <c r="E8" s="39"/>
      <c r="F8" s="233" t="s">
        <v>4355</v>
      </c>
      <c r="G8" s="224"/>
      <c r="H8" s="224"/>
      <c r="I8" s="224"/>
      <c r="J8" s="224"/>
      <c r="K8" s="224"/>
      <c r="L8" s="224"/>
      <c r="M8" s="234"/>
    </row>
    <row r="9" spans="1:13" ht="68.25" customHeight="1" x14ac:dyDescent="0.3">
      <c r="A9" s="36"/>
      <c r="B9" s="37"/>
      <c r="C9" s="38"/>
      <c r="D9" s="38"/>
      <c r="E9" s="39"/>
      <c r="F9" s="233" t="s">
        <v>4356</v>
      </c>
      <c r="G9" s="224"/>
      <c r="H9" s="224"/>
      <c r="I9" s="224"/>
      <c r="J9" s="224"/>
      <c r="K9" s="224"/>
      <c r="L9" s="224"/>
      <c r="M9" s="234"/>
    </row>
    <row r="10" spans="1:13" ht="68.25" customHeight="1" x14ac:dyDescent="0.3">
      <c r="A10" s="36"/>
      <c r="B10" s="37"/>
      <c r="C10" s="38"/>
      <c r="D10" s="38"/>
      <c r="E10" s="39"/>
      <c r="F10" s="233" t="s">
        <v>4357</v>
      </c>
      <c r="G10" s="224"/>
      <c r="H10" s="224"/>
      <c r="I10" s="224"/>
      <c r="J10" s="224"/>
      <c r="K10" s="224"/>
      <c r="L10" s="224"/>
      <c r="M10" s="234"/>
    </row>
    <row r="11" spans="1:13" ht="68.25" customHeight="1" x14ac:dyDescent="0.3">
      <c r="A11" s="36"/>
      <c r="B11" s="37"/>
      <c r="C11" s="38"/>
      <c r="D11" s="38"/>
      <c r="E11" s="39"/>
      <c r="F11" s="233" t="s">
        <v>4358</v>
      </c>
      <c r="G11" s="224"/>
      <c r="H11" s="224"/>
      <c r="I11" s="224"/>
      <c r="J11" s="224"/>
      <c r="K11" s="224"/>
      <c r="L11" s="224"/>
      <c r="M11" s="234"/>
    </row>
    <row r="12" spans="1:13" ht="68.25" customHeight="1" x14ac:dyDescent="0.3">
      <c r="A12" s="36"/>
      <c r="B12" s="37"/>
      <c r="C12" s="38"/>
      <c r="D12" s="38"/>
      <c r="E12" s="39"/>
      <c r="F12" s="233" t="s">
        <v>4359</v>
      </c>
      <c r="G12" s="224"/>
      <c r="H12" s="224"/>
      <c r="I12" s="224"/>
      <c r="J12" s="224"/>
      <c r="K12" s="224"/>
      <c r="L12" s="224"/>
      <c r="M12" s="234"/>
    </row>
    <row r="13" spans="1:13" ht="48" customHeight="1" thickBot="1" x14ac:dyDescent="0.35">
      <c r="A13" s="40"/>
      <c r="B13" s="41"/>
      <c r="C13" s="42"/>
      <c r="D13" s="42"/>
      <c r="E13" s="43"/>
      <c r="F13" s="248" t="s">
        <v>4360</v>
      </c>
      <c r="G13" s="249"/>
      <c r="H13" s="249"/>
      <c r="I13" s="249"/>
      <c r="J13" s="249"/>
      <c r="K13" s="249"/>
      <c r="L13" s="249"/>
      <c r="M13" s="250"/>
    </row>
    <row r="14" spans="1:13" ht="96.75" customHeight="1" x14ac:dyDescent="0.3">
      <c r="A14" s="215">
        <v>3</v>
      </c>
      <c r="B14" s="44">
        <v>116</v>
      </c>
      <c r="C14" s="45" t="s">
        <v>1261</v>
      </c>
      <c r="D14" s="216" t="s">
        <v>4361</v>
      </c>
      <c r="E14" s="46" t="s">
        <v>4362</v>
      </c>
      <c r="F14" s="219" t="s">
        <v>4351</v>
      </c>
      <c r="G14" s="219" t="s">
        <v>4351</v>
      </c>
      <c r="H14" s="219" t="s">
        <v>4351</v>
      </c>
      <c r="I14" s="219" t="s">
        <v>4351</v>
      </c>
      <c r="J14" s="47" t="s">
        <v>4363</v>
      </c>
      <c r="K14" s="48" t="s">
        <v>4364</v>
      </c>
      <c r="L14" s="49" t="s">
        <v>4365</v>
      </c>
      <c r="M14" s="50" t="s">
        <v>4366</v>
      </c>
    </row>
    <row r="15" spans="1:13" ht="97.5" customHeight="1" x14ac:dyDescent="0.3">
      <c r="A15" s="51"/>
      <c r="B15" s="52"/>
      <c r="C15" s="53"/>
      <c r="D15" s="54"/>
      <c r="E15" s="53"/>
      <c r="F15" s="54"/>
      <c r="G15" s="54"/>
      <c r="H15" s="54"/>
      <c r="I15" s="54"/>
      <c r="J15" s="54"/>
      <c r="K15" s="55"/>
      <c r="L15" s="49" t="s">
        <v>4367</v>
      </c>
      <c r="M15" s="56"/>
    </row>
    <row r="16" spans="1:13" ht="96" customHeight="1" x14ac:dyDescent="0.3">
      <c r="A16" s="51"/>
      <c r="B16" s="52"/>
      <c r="C16" s="53"/>
      <c r="D16" s="54"/>
      <c r="E16" s="53"/>
      <c r="F16" s="54"/>
      <c r="G16" s="54"/>
      <c r="H16" s="54"/>
      <c r="I16" s="54"/>
      <c r="J16" s="54"/>
      <c r="K16" s="55"/>
      <c r="L16" s="49" t="s">
        <v>4368</v>
      </c>
      <c r="M16" s="56"/>
    </row>
    <row r="17" spans="1:13" ht="101.25" customHeight="1" thickBot="1" x14ac:dyDescent="0.35">
      <c r="A17" s="57"/>
      <c r="B17" s="58"/>
      <c r="C17" s="42"/>
      <c r="D17" s="59"/>
      <c r="E17" s="42"/>
      <c r="F17" s="59"/>
      <c r="G17" s="59"/>
      <c r="H17" s="59"/>
      <c r="I17" s="59"/>
      <c r="J17" s="59"/>
      <c r="K17" s="60"/>
      <c r="L17" s="61" t="s">
        <v>4369</v>
      </c>
      <c r="M17" s="62"/>
    </row>
    <row r="18" spans="1:13" s="16" customFormat="1" ht="84.75" customHeight="1" x14ac:dyDescent="0.3">
      <c r="A18" s="238">
        <v>3</v>
      </c>
      <c r="B18" s="240">
        <v>239</v>
      </c>
      <c r="C18" s="242" t="s">
        <v>1956</v>
      </c>
      <c r="D18" s="242" t="s">
        <v>1959</v>
      </c>
      <c r="E18" s="244" t="s">
        <v>4370</v>
      </c>
      <c r="F18" s="251" t="s">
        <v>4351</v>
      </c>
      <c r="G18" s="251" t="s">
        <v>4351</v>
      </c>
      <c r="H18" s="251" t="s">
        <v>4351</v>
      </c>
      <c r="I18" s="251" t="s">
        <v>4351</v>
      </c>
      <c r="J18" s="242" t="s">
        <v>4371</v>
      </c>
      <c r="K18" s="242"/>
      <c r="L18" s="242"/>
      <c r="M18" s="253"/>
    </row>
    <row r="19" spans="1:13" s="16" customFormat="1" ht="131.4" customHeight="1" x14ac:dyDescent="0.3">
      <c r="A19" s="239"/>
      <c r="B19" s="241"/>
      <c r="C19" s="243"/>
      <c r="D19" s="243"/>
      <c r="E19" s="245"/>
      <c r="F19" s="252"/>
      <c r="G19" s="252"/>
      <c r="H19" s="252"/>
      <c r="I19" s="252"/>
      <c r="J19" s="243"/>
      <c r="K19" s="243"/>
      <c r="L19" s="243"/>
      <c r="M19" s="254"/>
    </row>
    <row r="20" spans="1:13" s="16" customFormat="1" ht="292.95" customHeight="1" thickBot="1" x14ac:dyDescent="0.35">
      <c r="A20" s="63"/>
      <c r="B20" s="64"/>
      <c r="C20" s="65"/>
      <c r="D20" s="65"/>
      <c r="E20" s="65"/>
      <c r="F20" s="65"/>
      <c r="G20" s="65"/>
      <c r="H20" s="65"/>
      <c r="I20" s="65"/>
      <c r="J20" s="255" t="s">
        <v>4372</v>
      </c>
      <c r="K20" s="256"/>
      <c r="L20" s="256"/>
      <c r="M20" s="257"/>
    </row>
    <row r="21" spans="1:13" ht="180" customHeight="1" x14ac:dyDescent="0.3">
      <c r="A21" s="66">
        <v>10</v>
      </c>
      <c r="B21" s="67">
        <v>376</v>
      </c>
      <c r="C21" s="34" t="s">
        <v>2669</v>
      </c>
      <c r="D21" s="34" t="s">
        <v>611</v>
      </c>
      <c r="E21" s="218" t="s">
        <v>4373</v>
      </c>
      <c r="F21" s="34" t="s">
        <v>4374</v>
      </c>
      <c r="G21" s="34" t="s">
        <v>4375</v>
      </c>
      <c r="H21" s="246" t="s">
        <v>4376</v>
      </c>
      <c r="I21" s="247"/>
      <c r="J21" s="68" t="s">
        <v>4377</v>
      </c>
      <c r="K21" s="69" t="s">
        <v>4378</v>
      </c>
      <c r="L21" s="34" t="s">
        <v>4379</v>
      </c>
      <c r="M21" s="70" t="s">
        <v>4380</v>
      </c>
    </row>
    <row r="22" spans="1:13" ht="163.95" customHeight="1" x14ac:dyDescent="0.3">
      <c r="A22" s="71"/>
      <c r="B22" s="72"/>
      <c r="C22" s="38"/>
      <c r="D22" s="38"/>
      <c r="E22" s="220"/>
      <c r="F22" s="38"/>
      <c r="G22" s="38"/>
      <c r="H22" s="220"/>
      <c r="I22" s="73"/>
      <c r="J22" s="74" t="s">
        <v>4381</v>
      </c>
      <c r="K22" s="75"/>
      <c r="L22" s="38"/>
      <c r="M22" s="76"/>
    </row>
    <row r="23" spans="1:13" ht="118.95" customHeight="1" x14ac:dyDescent="0.3">
      <c r="A23" s="71"/>
      <c r="B23" s="72"/>
      <c r="C23" s="38"/>
      <c r="D23" s="38"/>
      <c r="E23" s="220"/>
      <c r="F23" s="38"/>
      <c r="G23" s="38"/>
      <c r="H23" s="220"/>
      <c r="I23" s="73"/>
      <c r="J23" s="74" t="s">
        <v>4382</v>
      </c>
      <c r="K23" s="75"/>
      <c r="L23" s="38"/>
      <c r="M23" s="76"/>
    </row>
    <row r="24" spans="1:13" ht="81.599999999999994" customHeight="1" thickBot="1" x14ac:dyDescent="0.35">
      <c r="A24" s="57"/>
      <c r="B24" s="58"/>
      <c r="C24" s="42"/>
      <c r="D24" s="42"/>
      <c r="E24" s="59"/>
      <c r="F24" s="42"/>
      <c r="G24" s="42"/>
      <c r="H24" s="59"/>
      <c r="I24" s="60"/>
      <c r="J24" s="77" t="s">
        <v>4383</v>
      </c>
      <c r="K24" s="78"/>
      <c r="L24" s="42"/>
      <c r="M24" s="79"/>
    </row>
    <row r="25" spans="1:13" ht="267" customHeight="1" thickBot="1" x14ac:dyDescent="0.35">
      <c r="A25" s="80">
        <v>10</v>
      </c>
      <c r="B25" s="81" t="s">
        <v>4384</v>
      </c>
      <c r="C25" s="82" t="s">
        <v>4385</v>
      </c>
      <c r="D25" s="83" t="s">
        <v>4386</v>
      </c>
      <c r="E25" s="82" t="s">
        <v>4387</v>
      </c>
      <c r="F25" s="84" t="s">
        <v>4351</v>
      </c>
      <c r="G25" s="85" t="s">
        <v>4388</v>
      </c>
      <c r="H25" s="85" t="s">
        <v>4389</v>
      </c>
      <c r="I25" s="85" t="s">
        <v>4390</v>
      </c>
      <c r="J25" s="85" t="s">
        <v>4391</v>
      </c>
      <c r="K25" s="85" t="s">
        <v>4392</v>
      </c>
      <c r="L25" s="85" t="s">
        <v>4393</v>
      </c>
      <c r="M25" s="86" t="s">
        <v>4394</v>
      </c>
    </row>
    <row r="26" spans="1:13" s="92" customFormat="1" ht="109.2" hidden="1" customHeight="1" x14ac:dyDescent="0.3">
      <c r="A26" s="87">
        <v>3</v>
      </c>
      <c r="B26" s="88" t="s">
        <v>4395</v>
      </c>
      <c r="C26" s="89" t="s">
        <v>1956</v>
      </c>
      <c r="D26" s="89" t="s">
        <v>1960</v>
      </c>
      <c r="E26" s="89" t="s">
        <v>4396</v>
      </c>
      <c r="F26" s="90"/>
      <c r="G26" s="90"/>
      <c r="H26" s="90"/>
      <c r="I26" s="90"/>
      <c r="J26" s="89" t="s">
        <v>4397</v>
      </c>
      <c r="K26" s="89" t="s">
        <v>4398</v>
      </c>
      <c r="L26" s="89" t="s">
        <v>4399</v>
      </c>
      <c r="M26" s="91" t="s">
        <v>4400</v>
      </c>
    </row>
    <row r="27" spans="1:13" s="92" customFormat="1" ht="89.25" hidden="1" customHeight="1" x14ac:dyDescent="0.3">
      <c r="A27" s="93"/>
      <c r="B27" s="94"/>
      <c r="C27" s="95"/>
      <c r="D27" s="95"/>
      <c r="E27" s="95"/>
      <c r="F27" s="95"/>
      <c r="G27" s="95"/>
      <c r="H27" s="95"/>
      <c r="I27" s="95"/>
      <c r="J27" s="96" t="s">
        <v>4401</v>
      </c>
      <c r="K27" s="96" t="s">
        <v>4402</v>
      </c>
      <c r="L27" s="95"/>
      <c r="M27" s="97"/>
    </row>
    <row r="28" spans="1:13" s="92" customFormat="1" ht="216.6" hidden="1" customHeight="1" x14ac:dyDescent="0.3">
      <c r="A28" s="93"/>
      <c r="B28" s="94"/>
      <c r="C28" s="95"/>
      <c r="D28" s="95"/>
      <c r="E28" s="95"/>
      <c r="F28" s="95"/>
      <c r="G28" s="95"/>
      <c r="H28" s="95"/>
      <c r="I28" s="95"/>
      <c r="J28" s="96" t="s">
        <v>4403</v>
      </c>
      <c r="K28" s="96" t="s">
        <v>4404</v>
      </c>
      <c r="L28" s="95"/>
      <c r="M28" s="97"/>
    </row>
    <row r="29" spans="1:13" s="92" customFormat="1" ht="163.80000000000001" hidden="1" thickBot="1" x14ac:dyDescent="0.35">
      <c r="A29" s="98"/>
      <c r="B29" s="99"/>
      <c r="C29" s="100"/>
      <c r="D29" s="100"/>
      <c r="E29" s="100"/>
      <c r="F29" s="100"/>
      <c r="G29" s="100"/>
      <c r="H29" s="100"/>
      <c r="I29" s="100"/>
      <c r="J29" s="100"/>
      <c r="K29" s="101" t="s">
        <v>4405</v>
      </c>
      <c r="L29" s="100"/>
      <c r="M29" s="102"/>
    </row>
    <row r="30" spans="1:13" ht="37.200000000000003" customHeight="1" x14ac:dyDescent="0.3"/>
  </sheetData>
  <sheetProtection sheet="1" objects="1" scenarios="1"/>
  <mergeCells count="22">
    <mergeCell ref="H21:I21"/>
    <mergeCell ref="F10:M10"/>
    <mergeCell ref="F11:M11"/>
    <mergeCell ref="F12:M12"/>
    <mergeCell ref="F13:M13"/>
    <mergeCell ref="F18:F19"/>
    <mergeCell ref="G18:G19"/>
    <mergeCell ref="H18:H19"/>
    <mergeCell ref="I18:I19"/>
    <mergeCell ref="J18:M19"/>
    <mergeCell ref="J20:M20"/>
    <mergeCell ref="A18:A19"/>
    <mergeCell ref="B18:B19"/>
    <mergeCell ref="C18:C19"/>
    <mergeCell ref="D18:D19"/>
    <mergeCell ref="E18:E19"/>
    <mergeCell ref="F9:M9"/>
    <mergeCell ref="A1:C1"/>
    <mergeCell ref="A2:C2"/>
    <mergeCell ref="F6:M6"/>
    <mergeCell ref="F7:M7"/>
    <mergeCell ref="F8:M8"/>
  </mergeCells>
  <hyperlinks>
    <hyperlink ref="A2" r:id="rId1" display="Kinetix 5100 Servo Drive User Manual, publication 2198-UM004" xr:uid="{D6A29803-DF91-428D-87D9-40842B6F9932}"/>
  </hyperlinks>
  <pageMargins left="0.7" right="0.7" top="0.75" bottom="0.75" header="0.3" footer="0.3"/>
  <pageSetup paperSize="17" scale="57" fitToHeight="0" orientation="landscape"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E42C662B6EFA442B8D324D391AC72D4" ma:contentTypeVersion="13" ma:contentTypeDescription="Create a new document." ma:contentTypeScope="" ma:versionID="267aeb28e50be70a3e6635e52c0f1b15">
  <xsd:schema xmlns:xsd="http://www.w3.org/2001/XMLSchema" xmlns:xs="http://www.w3.org/2001/XMLSchema" xmlns:p="http://schemas.microsoft.com/office/2006/metadata/properties" xmlns:ns2="47c87bbf-09cc-4240-9732-2de2d2a31a55" xmlns:ns3="abbdcb3d-099a-4938-9716-09002f94320e" targetNamespace="http://schemas.microsoft.com/office/2006/metadata/properties" ma:root="true" ma:fieldsID="46c2d32a3ad19b43fd28c3035c05446c" ns2:_="" ns3:_="">
    <xsd:import namespace="47c87bbf-09cc-4240-9732-2de2d2a31a55"/>
    <xsd:import namespace="abbdcb3d-099a-4938-9716-09002f94320e"/>
    <xsd:element name="properties">
      <xsd:complexType>
        <xsd:sequence>
          <xsd:element name="documentManagement">
            <xsd:complexType>
              <xsd:all>
                <xsd:element ref="ns2:_dlc_DocId" minOccurs="0"/>
                <xsd:element ref="ns2:_dlc_DocIdUrl" minOccurs="0"/>
                <xsd:element ref="ns2:_dlc_DocIdPersistId" minOccurs="0"/>
                <xsd:element ref="ns3:Pub_x0020_Number" minOccurs="0"/>
                <xsd:element ref="ns3:Web_x0020_Viewable_x0020_File" minOccurs="0"/>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7c87bbf-09cc-4240-9732-2de2d2a31a55"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3"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bbdcb3d-099a-4938-9716-09002f94320e" elementFormDefault="qualified">
    <xsd:import namespace="http://schemas.microsoft.com/office/2006/documentManagement/types"/>
    <xsd:import namespace="http://schemas.microsoft.com/office/infopath/2007/PartnerControls"/>
    <xsd:element name="Pub_x0020_Number" ma:index="11" nillable="true" ma:displayName="Pub Number" ma:description="unique identification of the content or publication" ma:indexed="true" ma:internalName="Pub_x0020_Number" ma:readOnly="false">
      <xsd:simpleType>
        <xsd:restriction base="dms:Text"/>
      </xsd:simpleType>
    </xsd:element>
    <xsd:element name="Web_x0020_Viewable_x0020_File" ma:index="12" nillable="true" ma:displayName="Web Viewable File" ma:default="FALSE" ma:internalName="Web_x0020_Viewable_x0020_File" ma:readOnly="fals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47c87bbf-09cc-4240-9732-2de2d2a31a55">
      <UserInfo>
        <DisplayName>Nandini Ganesan</DisplayName>
        <AccountId>1169</AccountId>
        <AccountType/>
      </UserInfo>
      <UserInfo>
        <DisplayName>David Brod</DisplayName>
        <AccountId>287</AccountId>
        <AccountType/>
      </UserInfo>
      <UserInfo>
        <DisplayName>Bob Kotowski</DisplayName>
        <AccountId>956</AccountId>
        <AccountType/>
      </UserInfo>
    </SharedWithUsers>
    <Pub_x0020_Number xmlns="abbdcb3d-099a-4938-9716-09002f94320e">2198-RD002A-EN-P</Pub_x0020_Number>
    <Web_x0020_Viewable_x0020_File xmlns="abbdcb3d-099a-4938-9716-09002f94320e">true</Web_x0020_Viewable_x0020_File>
    <_dlc_DocId xmlns="47c87bbf-09cc-4240-9732-2de2d2a31a55">X5CRWDN33DVV-118087910-141213</_dlc_DocId>
    <_dlc_DocIdUrl xmlns="47c87bbf-09cc-4240-9732-2de2d2a31a55">
      <Url>https://rockwellautomation.sharepoint.com/teams/DocMan_Other_Publications/_layouts/15/DocIdRedir.aspx?ID=X5CRWDN33DVV-118087910-141213</Url>
      <Description>X5CRWDN33DVV-118087910-141213</Description>
    </_dlc_DocIdUrl>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6A37E4E2-E45B-4F26-91DD-B66538E8E016}"/>
</file>

<file path=customXml/itemProps2.xml><?xml version="1.0" encoding="utf-8"?>
<ds:datastoreItem xmlns:ds="http://schemas.openxmlformats.org/officeDocument/2006/customXml" ds:itemID="{110A825C-30EC-4C8A-A2F7-3FA82E3409D6}">
  <ds:schemaRefs>
    <ds:schemaRef ds:uri="http://schemas.microsoft.com/sharepoint/v3/contenttype/forms"/>
  </ds:schemaRefs>
</ds:datastoreItem>
</file>

<file path=customXml/itemProps3.xml><?xml version="1.0" encoding="utf-8"?>
<ds:datastoreItem xmlns:ds="http://schemas.openxmlformats.org/officeDocument/2006/customXml" ds:itemID="{78B4AF61-5A83-478B-952D-458910172733}">
  <ds:schemaRefs>
    <ds:schemaRef ds:uri="01633ac1-1464-491e-95b6-c42b1695a602"/>
    <ds:schemaRef ds:uri="http://purl.org/dc/terms/"/>
    <ds:schemaRef ds:uri="abbdcb3d-099a-4938-9716-09002f94320e"/>
    <ds:schemaRef ds:uri="http://schemas.microsoft.com/office/2006/documentManagement/types"/>
    <ds:schemaRef ds:uri="http://schemas.microsoft.com/office/infopath/2007/PartnerControls"/>
    <ds:schemaRef ds:uri="http://purl.org/dc/elements/1.1/"/>
    <ds:schemaRef ds:uri="http://schemas.microsoft.com/office/2006/metadata/properties"/>
    <ds:schemaRef ds:uri="b3ab8358-a07e-4baf-9f65-f1e14f8ee12d"/>
    <ds:schemaRef ds:uri="http://schemas.openxmlformats.org/package/2006/metadata/core-properties"/>
    <ds:schemaRef ds:uri="002b6233-8143-4684-81b8-aeb8523421d7"/>
    <ds:schemaRef ds:uri="http://www.w3.org/XML/1998/namespace"/>
    <ds:schemaRef ds:uri="http://purl.org/dc/dcmitype/"/>
  </ds:schemaRefs>
</ds:datastoreItem>
</file>

<file path=customXml/itemProps4.xml><?xml version="1.0" encoding="utf-8"?>
<ds:datastoreItem xmlns:ds="http://schemas.openxmlformats.org/officeDocument/2006/customXml" ds:itemID="{65842863-7F98-451C-82E5-D877493B68F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Introduction</vt:lpstr>
      <vt:lpstr>Summary of Changes</vt:lpstr>
      <vt:lpstr>1 - Motor</vt:lpstr>
      <vt:lpstr>2 - Drive</vt:lpstr>
      <vt:lpstr>3 - General</vt:lpstr>
      <vt:lpstr>4 - Status Monitor</vt:lpstr>
      <vt:lpstr>5 - Control</vt:lpstr>
      <vt:lpstr>6 - IO</vt:lpstr>
      <vt:lpstr>7 - Communication</vt:lpstr>
      <vt:lpstr>8 - Diagnosis</vt:lpstr>
      <vt:lpstr>9 - Motion</vt:lpstr>
      <vt:lpstr>Sheet1</vt:lpstr>
      <vt:lpstr>Detailed Definitions</vt:lpstr>
    </vt:vector>
  </TitlesOfParts>
  <Manager/>
  <Company>Rockwell Automation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2198-RD002A-EN-P.xlsx</dc:title>
  <dc:subject/>
  <dc:creator>Rockwell Automation</dc:creator>
  <cp:keywords>Kinetix, EtherNet/IP</cp:keywords>
  <dc:description/>
  <cp:lastModifiedBy>Rockwell Automation</cp:lastModifiedBy>
  <cp:revision/>
  <dcterms:created xsi:type="dcterms:W3CDTF">2017-03-31T08:31:25Z</dcterms:created>
  <dcterms:modified xsi:type="dcterms:W3CDTF">2021-08-20T13:41:47Z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0x010100FE42C662B6EFA442B8D324D391AC72D4</vt:lpwstr>
  </property>
  <property fmtid="{D5CDD505-2E9C-101B-9397-08002B2CF9AE}" pid="3" name="RA Document Taxonomy">
    <vt:lpwstr/>
  </property>
  <property fmtid="{D5CDD505-2E9C-101B-9397-08002B2CF9AE}" pid="4" name="RA Document Classification">
    <vt:lpwstr/>
  </property>
  <property fmtid="{D5CDD505-2E9C-101B-9397-08002B2CF9AE}" pid="5" name="g74916a877b0498d96356c82c809a072">
    <vt:lpwstr/>
  </property>
  <property fmtid="{D5CDD505-2E9C-101B-9397-08002B2CF9AE}" pid="6" name="_dlc_DocIdItemGuid">
    <vt:lpwstr>b7a99fe8-8187-403c-a933-7bcc2d05570d</vt:lpwstr>
  </property>
  <property fmtid="{D5CDD505-2E9C-101B-9397-08002B2CF9AE}" pid="7" name="Extension">
    <vt:lpwstr>xlsx</vt:lpwstr>
  </property>
  <property fmtid="{D5CDD505-2E9C-101B-9397-08002B2CF9AE}" pid="8" name="TaxCatchAll">
    <vt:lpwstr/>
  </property>
</Properties>
</file>